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cruitment Dashboard" sheetId="1" state="visible" r:id="rId1"/>
    <sheet name="Client View" sheetId="2" state="visible" r:id="rId2"/>
    <sheet name="Recruiter View" sheetId="3" state="visible" r:id="rId3"/>
    <sheet name="Candidate Detail" sheetId="4" state="visible" r:id="rId4"/>
    <sheet name="Requirement" sheetId="5" state="visible" r:id="rId5"/>
    <sheet name="Master Data-2026" sheetId="6" state="visible" r:id="rId6"/>
    <sheet name="EOD Report" sheetId="7" state="visible" r:id="rId7"/>
    <sheet name="Submission template" sheetId="8" state="visible" r:id="rId8"/>
    <sheet name="Candidates attended walk-in dri" sheetId="9" state="visible" r:id="rId9"/>
    <sheet name=" Master Data-2025" sheetId="10" state="visible" r:id="rId10"/>
    <sheet name="Pivot Table - Master Data" sheetId="11" state="visible" r:id="rId11"/>
    <sheet name="Duplicate Master Data" sheetId="12" state="visible" r:id="rId12"/>
    <sheet name="Pivot Table 5" sheetId="13" state="visible" r:id="rId13"/>
    <sheet name="Dashboard Calc" sheetId="14" state="visible" r:id="rId14"/>
    <sheet name="Reference" sheetId="15" state="visible" r:id="rId15"/>
  </sheets>
  <definedNames>
    <definedName name="StageNameRef">Reference!$B$7:$B$13</definedName>
    <definedName name="StageOrderRef">Reference!$C$7:$C$13</definedName>
    <definedName name="LocPattern">Reference!$B$17:$B$46</definedName>
    <definedName name="LocCity">Reference!$C$17:$C$46</definedName>
    <definedName name="LocIdx">Reference!$D$17:$D$46</definedName>
    <definedName name="TargetLocation">Reference!$C$51</definedName>
    <definedName name="MinExperience">Reference!$C$52</definedName>
    <definedName name="SeniorExperience">Reference!$C$53</definedName>
    <definedName name="MaxNoticeDays">Reference!$C$54</definedName>
    <definedName name="SelRecruiter">'Recruitment Dashboard'!$B$7</definedName>
    <definedName name="SelCity">'Recruitment Dashboard'!$E$7</definedName>
    <definedName name="SelStage">'Recruitment Dashboard'!$H$7</definedName>
    <definedName name="SelRequisition">'Recruitment Dashboard'!$K$7</definedName>
    <definedName name="SelCandidate">'Candidate Detail'!$B$7</definedName>
    <definedName name="ListRecruiter">OFFSET('Dashboard Calc'!$BH$6,0,0,MAX(1,SUMPRODUCT(('Dashboard Calc'!$BH$6:$BH$21&lt;&gt;"")*1)),1)</definedName>
    <definedName name="ListCity">OFFSET('Dashboard Calc'!$BI$6,0,0,MAX(1,SUMPRODUCT(('Dashboard Calc'!$BI$6:$BI$21&lt;&gt;"")*1)),1)</definedName>
    <definedName name="ListStage">OFFSET('Dashboard Calc'!$BJ$6,0,0,MAX(1,SUMPRODUCT(('Dashboard Calc'!$BJ$6:$BJ$21&lt;&gt;"")*1)),1)</definedName>
    <definedName name="ListRequisition">OFFSET('Dashboard Calc'!$BK$6,0,0,MAX(1,SUMPRODUCT(('Dashboard Calc'!$BK$6:$BK$21&lt;&gt;"")*1)),1)</definedName>
    <definedName name="ListCandidate">OFFSET('Dashboard Calc'!$BL$6,0,0,MAX(1,SUMPRODUCT(('Dashboard Calc'!$BL$6:$BL$125&lt;&gt;"")*1)),1)</definedName>
    <definedName name="_xlnm._FilterDatabase" localSheetId="2" hidden="1">'Recruiter View'!$B$5:$U$125</definedName>
  </definedNames>
  <calcPr calcId="124519" fullCalcOnLoad="1"/>
  <pivotCaches>
    <pivotCache cacheId="0" r:id="rId16"/>
    <pivotCache cacheId="1" r:id="rId17"/>
  </pivotCaches>
</workbook>
</file>

<file path=xl/styles.xml><?xml version="1.0" encoding="utf-8"?>
<styleSheet xmlns="http://schemas.openxmlformats.org/spreadsheetml/2006/main">
  <numFmts count="14">
    <numFmt numFmtId="164" formatCode="dd-mm-yyyy"/>
    <numFmt numFmtId="165" formatCode="dd-mmm-yyyy"/>
    <numFmt numFmtId="166" formatCode="d-m"/>
    <numFmt numFmtId="167" formatCode="dd-mmm-yy"/>
    <numFmt numFmtId="168" formatCode="d-mmm-yyyy"/>
    <numFmt numFmtId="169" formatCode="0.0&quot; LPA&quot;;-0.0&quot; LPA&quot;;&quot;–&quot;"/>
    <numFmt numFmtId="170" formatCode="0.0%;-0.0%;&quot;–&quot;"/>
    <numFmt numFmtId="171" formatCode="0.0&quot; yrs&quot;;-0.0&quot; yrs&quot;;&quot;–&quot;"/>
    <numFmt numFmtId="172" formatCode="#,##0;-#,##0;&quot;–&quot;"/>
    <numFmt numFmtId="173" formatCode="0.0;-0.0;&quot;–&quot;"/>
    <numFmt numFmtId="174" formatCode="0%;-0%;&quot;–&quot;"/>
    <numFmt numFmtId="175" formatCode="0.0&quot; yrs&quot;;;&quot;–&quot;"/>
    <numFmt numFmtId="176" formatCode="dd mmm yyyy"/>
    <numFmt numFmtId="177" formatCode="0;&quot;Not recorded&quot;;&quot;Immediate&quot;"/>
  </numFmts>
  <fonts count="64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rgb="FFFFFFFF"/>
      <sz val="11"/>
    </font>
    <font>
      <name val="Calibri"/>
      <color theme="1"/>
      <scheme val="minor"/>
    </font>
    <font>
      <name val="Calibri"/>
      <color rgb="FF1F1F1F"/>
      <sz val="11"/>
    </font>
    <font>
      <name val="Arial"/>
      <color rgb="FF222222"/>
    </font>
    <font>
      <name val="Calibri"/>
      <color rgb="FF222222"/>
      <sz val="11"/>
    </font>
    <font>
      <name val="Calibri"/>
      <color rgb="FF000000"/>
      <sz val="11"/>
    </font>
    <font>
      <name val="Calibri"/>
      <color rgb="FF000000"/>
      <sz val="11"/>
      <u val="single"/>
    </font>
    <font>
      <name val="Calibri"/>
      <color rgb="FF000000"/>
      <scheme val="minor"/>
    </font>
    <font>
      <name val="Calibri"/>
      <color rgb="FF0000FF"/>
      <sz val="11"/>
      <u val="single"/>
    </font>
    <font>
      <name val="Calibri"/>
      <color rgb="FF000000"/>
    </font>
    <font>
      <name val="Calibri"/>
      <color rgb="FF0000FF"/>
      <sz val="11"/>
      <u val="single"/>
    </font>
    <font>
      <name val="Calibri"/>
      <color theme="1"/>
      <sz val="12"/>
    </font>
    <font>
      <name val="Calibri"/>
      <b val="1"/>
      <color theme="1"/>
      <sz val="12"/>
    </font>
    <font>
      <name val="Calibri"/>
      <color rgb="FF424242"/>
      <sz val="11"/>
    </font>
    <font>
      <name val="Calibri"/>
      <color rgb="FF262626"/>
      <sz val="11"/>
    </font>
    <font>
      <name val="Calibri"/>
      <color rgb="FF17365D"/>
      <sz val="11"/>
    </font>
    <font>
      <name val="-apple-system"/>
      <color rgb="FF000000"/>
      <sz val="11"/>
    </font>
    <font>
      <name val="Arial"/>
      <b val="1"/>
      <color rgb="00FFFFFF"/>
      <sz val="9"/>
    </font>
    <font>
      <name val="Arial"/>
      <color rgb="001A1D23"/>
      <sz val="9"/>
    </font>
    <font>
      <name val="Arial"/>
      <b val="1"/>
      <color rgb="001A1D23"/>
      <sz val="13"/>
    </font>
    <font>
      <name val="Arial"/>
      <color rgb="008A94A6"/>
      <sz val="8"/>
    </font>
    <font>
      <name val="Arial"/>
      <b val="1"/>
      <color rgb="008A94A6"/>
      <sz val="8"/>
    </font>
    <font>
      <name val="Arial"/>
      <b val="1"/>
      <color rgb="004B5563"/>
      <sz val="8"/>
    </font>
    <font>
      <name val="Arial"/>
      <b val="1"/>
      <color rgb="002563EB"/>
      <sz val="9"/>
    </font>
    <font>
      <name val="Arial"/>
      <color rgb="004B5563"/>
      <sz val="9"/>
    </font>
    <font>
      <name val="Arial"/>
      <b val="1"/>
      <color rgb="002563EB"/>
      <sz val="10"/>
    </font>
    <font>
      <name val="Arial"/>
      <b val="1"/>
      <color rgb="002563EB"/>
      <sz val="8"/>
    </font>
    <font>
      <name val="Arial"/>
      <color rgb="004B5563"/>
      <sz val="8"/>
    </font>
    <font>
      <name val="Arial"/>
      <b val="1"/>
      <color rgb="001A1D23"/>
      <sz val="11"/>
    </font>
    <font>
      <name val="Arial"/>
      <color rgb="00C9CED6"/>
      <sz val="8"/>
    </font>
    <font>
      <name val="Arial"/>
      <b val="1"/>
      <color rgb="001A1D23"/>
      <sz val="8"/>
    </font>
    <font>
      <name val="Arial"/>
      <b val="1"/>
      <color rgb="00C8860D"/>
      <sz val="9"/>
    </font>
    <font>
      <name val="Arial"/>
      <b val="1"/>
      <color rgb="001A1D23"/>
      <sz val="19"/>
    </font>
    <font>
      <name val="Arial"/>
      <color rgb="008A94A6"/>
      <sz val="8.5"/>
    </font>
    <font>
      <name val="Arial"/>
      <b val="1"/>
      <color rgb="008A94A6"/>
      <sz val="7.5"/>
    </font>
    <font>
      <name val="Arial"/>
      <b val="1"/>
      <color rgb="001D4ED8"/>
      <sz val="10"/>
    </font>
    <font>
      <name val="Arial"/>
      <b val="1"/>
      <color rgb="001A1D23"/>
      <sz val="10"/>
    </font>
    <font>
      <name val="Arial"/>
      <b val="1"/>
      <color rgb="002563EB"/>
      <sz val="20"/>
    </font>
    <font>
      <name val="Arial"/>
      <color rgb="008A94A6"/>
      <sz val="7.5"/>
    </font>
    <font>
      <name val="Arial"/>
      <b val="1"/>
      <color rgb="000F9D58"/>
      <sz val="20"/>
    </font>
    <font>
      <name val="Arial"/>
      <b val="1"/>
      <color rgb="001A1D23"/>
      <sz val="20"/>
    </font>
    <font>
      <name val="Arial"/>
      <b val="1"/>
      <color rgb="00D33A3A"/>
      <sz val="20"/>
    </font>
    <font>
      <name val="Arial"/>
      <b val="1"/>
      <color rgb="00C8860D"/>
      <sz val="20"/>
    </font>
    <font>
      <name val="Arial"/>
      <b val="1"/>
      <color rgb="001A1D23"/>
      <sz val="10.5"/>
    </font>
    <font>
      <name val="Arial"/>
      <b val="1"/>
      <color rgb="004B5563"/>
      <sz val="7.5"/>
    </font>
    <font>
      <name val="Arial"/>
      <b val="1"/>
      <color rgb="001A1D23"/>
      <sz val="8.5"/>
    </font>
    <font>
      <name val="Arial"/>
      <b val="1"/>
      <color rgb="004B5563"/>
      <sz val="8.5"/>
    </font>
    <font>
      <name val="Arial"/>
      <color rgb="001A1D23"/>
      <sz val="8.5"/>
    </font>
    <font>
      <name val="Arial"/>
      <color rgb="004B5563"/>
      <sz val="8.5"/>
    </font>
    <font>
      <name val="Arial"/>
      <color rgb="008A94A6"/>
      <sz val="9"/>
    </font>
    <font>
      <name val="Arial"/>
      <color rgb="004B5563"/>
      <sz val="9.5"/>
    </font>
    <font>
      <name val="Arial"/>
      <color rgb="001A1D23"/>
      <sz val="9.5"/>
    </font>
    <font>
      <name val="Arial"/>
      <b val="1"/>
      <color rgb="001A1D23"/>
      <sz val="9.5"/>
    </font>
    <font>
      <name val="Arial"/>
      <b val="1"/>
      <color rgb="002563EB"/>
      <sz val="11"/>
    </font>
    <font>
      <name val="Arial"/>
      <b val="1"/>
      <color rgb="001A1D23"/>
      <sz val="17"/>
    </font>
    <font>
      <name val="Arial"/>
      <b val="1"/>
      <color rgb="001D4ED8"/>
      <sz val="12"/>
    </font>
    <font>
      <name val="Arial"/>
      <b val="1"/>
      <color rgb="001A1D23"/>
      <sz val="18"/>
    </font>
    <font>
      <name val="Arial"/>
      <color rgb="008A94A6"/>
      <sz val="9.5"/>
    </font>
    <font>
      <name val="Arial"/>
      <b val="1"/>
      <color rgb="008A94A6"/>
      <sz val="7"/>
    </font>
    <font>
      <name val="Arial"/>
      <b val="1"/>
      <color rgb="001A1D23"/>
      <sz val="12"/>
    </font>
    <font>
      <name val="Arial"/>
      <b val="1"/>
      <color rgb="001D4ED8"/>
      <sz val="11"/>
    </font>
  </fonts>
  <fills count="16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BF9000"/>
        <bgColor rgb="FFBF90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001A1D23"/>
      </patternFill>
    </fill>
    <fill>
      <patternFill patternType="solid">
        <fgColor rgb="00F6F7F9"/>
      </patternFill>
    </fill>
    <fill>
      <patternFill patternType="solid">
        <fgColor rgb="00F1F3F6"/>
      </patternFill>
    </fill>
    <fill>
      <patternFill patternType="solid">
        <fgColor rgb="00FFFFFF"/>
      </patternFill>
    </fill>
    <fill>
      <patternFill patternType="solid">
        <fgColor rgb="00EFF4FF"/>
      </patternFill>
    </fill>
    <fill>
      <patternFill patternType="solid">
        <fgColor rgb="00FAFBF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00E4E7EC"/>
      </bottom>
    </border>
    <border>
      <bottom style="thin">
        <color rgb="00F0F1F4"/>
      </bottom>
    </border>
    <border>
      <left style="thin">
        <color rgb="00E4E7EC"/>
      </left>
      <right style="thin">
        <color rgb="00E4E7EC"/>
      </right>
      <top style="thin">
        <color rgb="00E4E7EC"/>
      </top>
      <bottom style="thin">
        <color rgb="00E4E7EC"/>
      </bottom>
    </border>
    <border>
      <left style="thin">
        <color rgb="00E4E7EC"/>
      </left>
      <top style="thin">
        <color rgb="00E4E7EC"/>
      </top>
    </border>
    <border>
      <left style="thin">
        <color rgb="00E4E7EC"/>
      </left>
      <bottom style="thin">
        <color rgb="00E4E7EC"/>
      </bottom>
    </border>
    <border>
      <top style="thin">
        <color rgb="00E4E7EC"/>
      </top>
    </border>
    <border>
      <right style="thin">
        <color rgb="00E4E7EC"/>
      </right>
      <top style="thin">
        <color rgb="00E4E7EC"/>
      </top>
    </border>
    <border>
      <right style="thin">
        <color rgb="00E4E7EC"/>
      </right>
      <bottom style="thin">
        <color rgb="00E4E7EC"/>
      </bottom>
    </border>
    <border>
      <left style="thin">
        <color rgb="00E4E7EC"/>
      </left>
    </border>
    <border>
      <right style="thin">
        <color rgb="00E4E7EC"/>
      </right>
    </border>
    <border>
      <left style="thin">
        <color rgb="00C7D7FB"/>
      </left>
      <right style="thin">
        <color rgb="00C7D7FB"/>
      </right>
      <top style="thin">
        <color rgb="00C7D7FB"/>
      </top>
      <bottom style="thin">
        <color rgb="00C7D7FB"/>
      </bottom>
    </border>
    <border>
      <left style="thin">
        <color rgb="00E4E7EC"/>
      </left>
      <right style="thin">
        <color rgb="00E4E7EC"/>
      </right>
    </border>
    <border>
      <top style="thin">
        <color rgb="00E4E7EC"/>
      </top>
      <bottom style="thin">
        <color rgb="00E4E7EC"/>
      </bottom>
    </border>
  </borders>
  <cellStyleXfs count="1">
    <xf numFmtId="0" fontId="0" fillId="0" borderId="0"/>
  </cellStyleXfs>
  <cellXfs count="25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1" fillId="0" borderId="1" pivotButton="0" quotePrefix="0" xfId="0"/>
    <xf numFmtId="0" fontId="3" fillId="3" borderId="1" applyAlignment="1" pivotButton="0" quotePrefix="0" xfId="0">
      <alignment horizontal="left" vertical="bottom"/>
    </xf>
    <xf numFmtId="0" fontId="2" fillId="0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2" fillId="0" borderId="1" applyAlignment="1" pivotButton="0" quotePrefix="0" xfId="0">
      <alignment horizontal="center" vertical="bottom"/>
    </xf>
    <xf numFmtId="165" fontId="1" fillId="0" borderId="1" pivotButton="0" quotePrefix="0" xfId="0"/>
    <xf numFmtId="0" fontId="4" fillId="0" borderId="1" applyAlignment="1" pivotButton="0" quotePrefix="0" xfId="0">
      <alignment horizontal="left"/>
    </xf>
    <xf numFmtId="0" fontId="4" fillId="0" borderId="1" pivotButton="0" quotePrefix="0" xfId="0"/>
    <xf numFmtId="0" fontId="2" fillId="0" borderId="0" applyAlignment="1" pivotButton="0" quotePrefix="0" xfId="0">
      <alignment horizontal="center" vertical="bottom"/>
    </xf>
    <xf numFmtId="0" fontId="1" fillId="0" borderId="1" pivotButton="0" quotePrefix="0" xfId="0"/>
    <xf numFmtId="0" fontId="2" fillId="2" borderId="1" applyAlignment="1" pivotButton="0" quotePrefix="0" xfId="0">
      <alignment horizontal="left" vertical="bottom"/>
    </xf>
    <xf numFmtId="166" fontId="1" fillId="0" borderId="1" pivotButton="0" quotePrefix="0" xfId="0"/>
    <xf numFmtId="0" fontId="1" fillId="0" borderId="1" applyAlignment="1" pivotButton="0" quotePrefix="0" xfId="0">
      <alignment horizontal="left" vertical="bottom"/>
    </xf>
    <xf numFmtId="167" fontId="1" fillId="0" borderId="1" applyAlignment="1" pivotButton="0" quotePrefix="0" xfId="0">
      <alignment horizontal="left" vertical="bottom"/>
    </xf>
    <xf numFmtId="0" fontId="1" fillId="0" borderId="1" applyAlignment="1" pivotButton="0" quotePrefix="0" xfId="0">
      <alignment horizontal="left"/>
    </xf>
    <xf numFmtId="0" fontId="5" fillId="4" borderId="1" applyAlignment="1" pivotButton="0" quotePrefix="0" xfId="0">
      <alignment horizontal="left"/>
    </xf>
    <xf numFmtId="0" fontId="6" fillId="4" borderId="0" applyAlignment="1" pivotButton="0" quotePrefix="0" xfId="0">
      <alignment/>
    </xf>
    <xf numFmtId="0" fontId="7" fillId="4" borderId="1" applyAlignment="1" pivotButton="0" quotePrefix="0" xfId="0">
      <alignment horizontal="left"/>
    </xf>
    <xf numFmtId="0" fontId="7" fillId="4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left" vertical="bottom"/>
    </xf>
    <xf numFmtId="0" fontId="9" fillId="0" borderId="1" applyAlignment="1" pivotButton="0" quotePrefix="0" xfId="0">
      <alignment horizontal="left" vertical="bottom"/>
    </xf>
    <xf numFmtId="168" fontId="1" fillId="0" borderId="1" pivotButton="0" quotePrefix="0" xfId="0"/>
    <xf numFmtId="0" fontId="8" fillId="0" borderId="1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5" fontId="4" fillId="0" borderId="1" applyAlignment="1" pivotButton="0" quotePrefix="0" xfId="0">
      <alignment horizontal="left"/>
    </xf>
    <xf numFmtId="0" fontId="4" fillId="0" borderId="1" pivotButton="0" quotePrefix="0" xfId="0"/>
    <xf numFmtId="0" fontId="10" fillId="0" borderId="1" pivotButton="0" quotePrefix="0" xfId="0"/>
    <xf numFmtId="0" fontId="4" fillId="0" borderId="0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8" fillId="5" borderId="1" applyAlignment="1" pivotButton="0" quotePrefix="0" xfId="0">
      <alignment horizontal="left"/>
    </xf>
    <xf numFmtId="0" fontId="11" fillId="2" borderId="1" applyAlignment="1" pivotButton="0" quotePrefix="0" xfId="0">
      <alignment horizontal="left"/>
    </xf>
    <xf numFmtId="0" fontId="8" fillId="4" borderId="1" applyAlignment="1" pivotButton="0" quotePrefix="0" xfId="0">
      <alignment horizontal="left"/>
    </xf>
    <xf numFmtId="0" fontId="12" fillId="4" borderId="0" pivotButton="0" quotePrefix="0" xfId="0"/>
    <xf numFmtId="0" fontId="1" fillId="0" borderId="1" applyAlignment="1" pivotButton="0" quotePrefix="0" xfId="0">
      <alignment horizontal="left"/>
    </xf>
    <xf numFmtId="15" fontId="1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4" fillId="2" borderId="0" pivotButton="0" quotePrefix="0" xfId="0"/>
    <xf numFmtId="164" fontId="4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1" fillId="2" borderId="3" applyAlignment="1" pivotButton="0" quotePrefix="0" xfId="0">
      <alignment horizontal="left"/>
    </xf>
    <xf numFmtId="0" fontId="1" fillId="0" borderId="4" applyAlignment="1" pivotButton="0" quotePrefix="0" xfId="0">
      <alignment horizontal="left"/>
    </xf>
    <xf numFmtId="164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15" fontId="8" fillId="0" borderId="1" applyAlignment="1" pivotButton="0" quotePrefix="0" xfId="0">
      <alignment horizontal="left"/>
    </xf>
    <xf numFmtId="0" fontId="12" fillId="0" borderId="1" applyAlignment="1" pivotButton="0" quotePrefix="0" xfId="0">
      <alignment horizontal="left"/>
    </xf>
    <xf numFmtId="0" fontId="14" fillId="0" borderId="1" pivotButton="0" quotePrefix="0" xfId="0"/>
    <xf numFmtId="0" fontId="8" fillId="0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4" fillId="7" borderId="1" applyAlignment="1" pivotButton="0" quotePrefix="0" xfId="0">
      <alignment horizontal="left"/>
    </xf>
    <xf numFmtId="0" fontId="8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/>
    </xf>
    <xf numFmtId="15" fontId="12" fillId="0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0" fontId="16" fillId="7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4" fillId="8" borderId="1" applyAlignment="1" pivotButton="0" quotePrefix="0" xfId="0">
      <alignment horizontal="left"/>
    </xf>
    <xf numFmtId="0" fontId="4" fillId="8" borderId="0" applyAlignment="1" pivotButton="0" quotePrefix="0" xfId="0">
      <alignment horizontal="left"/>
    </xf>
    <xf numFmtId="0" fontId="4" fillId="9" borderId="1" applyAlignment="1" pivotButton="0" quotePrefix="0" xfId="0">
      <alignment horizontal="left"/>
    </xf>
    <xf numFmtId="0" fontId="4" fillId="5" borderId="1" applyAlignment="1" pivotButton="0" quotePrefix="0" xfId="0">
      <alignment horizontal="left"/>
    </xf>
    <xf numFmtId="16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4" fillId="4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left"/>
    </xf>
    <xf numFmtId="0" fontId="1" fillId="0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/>
    </xf>
    <xf numFmtId="0" fontId="4" fillId="0" borderId="0" pivotButton="0" quotePrefix="0" xfId="0"/>
    <xf numFmtId="0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0" fillId="0" borderId="0" pivotButton="0" quotePrefix="0" xfId="0"/>
    <xf numFmtId="0" fontId="21" fillId="11" borderId="0" pivotButton="0" quotePrefix="0" xfId="0"/>
    <xf numFmtId="0" fontId="35" fillId="11" borderId="0" applyAlignment="1" pivotButton="0" quotePrefix="0" xfId="0">
      <alignment horizontal="left" vertical="center"/>
    </xf>
    <xf numFmtId="0" fontId="36" fillId="11" borderId="0" applyAlignment="1" pivotButton="0" quotePrefix="0" xfId="0">
      <alignment horizontal="right" vertical="center"/>
    </xf>
    <xf numFmtId="0" fontId="36" fillId="11" borderId="0" pivotButton="0" quotePrefix="0" xfId="0"/>
    <xf numFmtId="0" fontId="21" fillId="11" borderId="5" pivotButton="0" quotePrefix="0" xfId="0"/>
    <xf numFmtId="0" fontId="21" fillId="13" borderId="8" pivotButton="0" quotePrefix="0" xfId="0"/>
    <xf numFmtId="0" fontId="21" fillId="13" borderId="10" pivotButton="0" quotePrefix="0" xfId="0"/>
    <xf numFmtId="0" fontId="21" fillId="13" borderId="11" pivotButton="0" quotePrefix="0" xfId="0"/>
    <xf numFmtId="0" fontId="37" fillId="13" borderId="13" applyAlignment="1" pivotButton="0" quotePrefix="0" xfId="0">
      <alignment horizontal="left" vertical="center" indent="1"/>
    </xf>
    <xf numFmtId="0" fontId="37" fillId="13" borderId="0" applyAlignment="1" pivotButton="0" quotePrefix="0" xfId="0">
      <alignment horizontal="left" vertical="center" indent="1"/>
    </xf>
    <xf numFmtId="0" fontId="37" fillId="13" borderId="14" applyAlignment="1" pivotButton="0" quotePrefix="0" xfId="0">
      <alignment horizontal="right" vertical="center" indent="1"/>
    </xf>
    <xf numFmtId="0" fontId="0" fillId="0" borderId="14" pivotButton="0" quotePrefix="0" xfId="0"/>
    <xf numFmtId="0" fontId="38" fillId="14" borderId="15" applyAlignment="1" pivotButton="0" quotePrefix="0" xfId="0">
      <alignment horizontal="left" vertical="center" indent="1"/>
    </xf>
    <xf numFmtId="0" fontId="0" fillId="14" borderId="15" pivotButton="0" quotePrefix="0" xfId="0"/>
    <xf numFmtId="0" fontId="39" fillId="13" borderId="14" applyAlignment="1" pivotButton="0" quotePrefix="0" xfId="0">
      <alignment horizontal="right" vertical="center" indent="1"/>
    </xf>
    <xf numFmtId="0" fontId="21" fillId="13" borderId="9" pivotButton="0" quotePrefix="0" xfId="0"/>
    <xf numFmtId="0" fontId="21" fillId="13" borderId="5" pivotButton="0" quotePrefix="0" xfId="0"/>
    <xf numFmtId="0" fontId="21" fillId="13" borderId="12" pivotButton="0" quotePrefix="0" xfId="0"/>
    <xf numFmtId="0" fontId="37" fillId="13" borderId="16" applyAlignment="1" pivotButton="0" quotePrefix="0" xfId="0">
      <alignment horizontal="left" vertical="center" indent="1"/>
    </xf>
    <xf numFmtId="172" fontId="40" fillId="13" borderId="16" applyAlignment="1" pivotButton="0" quotePrefix="0" xfId="0">
      <alignment horizontal="left" vertical="center" indent="1"/>
    </xf>
    <xf numFmtId="172" fontId="42" fillId="13" borderId="16" applyAlignment="1" pivotButton="0" quotePrefix="0" xfId="0">
      <alignment horizontal="left" vertical="center" indent="1"/>
    </xf>
    <xf numFmtId="0" fontId="41" fillId="13" borderId="16" applyAlignment="1" pivotButton="0" quotePrefix="0" xfId="0">
      <alignment horizontal="left" vertical="center" indent="1"/>
    </xf>
    <xf numFmtId="172" fontId="43" fillId="13" borderId="16" applyAlignment="1" pivotButton="0" quotePrefix="0" xfId="0">
      <alignment horizontal="left" vertical="center" indent="1"/>
    </xf>
    <xf numFmtId="172" fontId="44" fillId="13" borderId="16" applyAlignment="1" pivotButton="0" quotePrefix="0" xfId="0">
      <alignment horizontal="left" vertical="center" indent="1"/>
    </xf>
    <xf numFmtId="170" fontId="42" fillId="13" borderId="16" applyAlignment="1" pivotButton="0" quotePrefix="0" xfId="0">
      <alignment horizontal="left" vertical="center" indent="1"/>
    </xf>
    <xf numFmtId="169" fontId="43" fillId="13" borderId="16" applyAlignment="1" pivotButton="0" quotePrefix="0" xfId="0">
      <alignment horizontal="left" vertical="center" indent="1"/>
    </xf>
    <xf numFmtId="170" fontId="45" fillId="13" borderId="16" applyAlignment="1" pivotButton="0" quotePrefix="0" xfId="0">
      <alignment horizontal="left" vertical="center" indent="1"/>
    </xf>
    <xf numFmtId="170" fontId="40" fillId="13" borderId="16" applyAlignment="1" pivotButton="0" quotePrefix="0" xfId="0">
      <alignment horizontal="left" vertical="center" indent="1"/>
    </xf>
    <xf numFmtId="0" fontId="46" fillId="11" borderId="0" applyAlignment="1" pivotButton="0" quotePrefix="0" xfId="0">
      <alignment horizontal="left" vertical="bottom"/>
    </xf>
    <xf numFmtId="0" fontId="23" fillId="11" borderId="0" pivotButton="0" quotePrefix="0" xfId="0"/>
    <xf numFmtId="0" fontId="21" fillId="13" borderId="13" pivotButton="0" quotePrefix="0" xfId="0"/>
    <xf numFmtId="0" fontId="21" fillId="13" borderId="0" pivotButton="0" quotePrefix="0" xfId="0"/>
    <xf numFmtId="0" fontId="21" fillId="13" borderId="14" pivotButton="0" quotePrefix="0" xfId="0"/>
    <xf numFmtId="0" fontId="47" fillId="12" borderId="17" applyAlignment="1" pivotButton="0" quotePrefix="0" xfId="0">
      <alignment horizontal="center" vertical="center"/>
    </xf>
    <xf numFmtId="0" fontId="47" fillId="12" borderId="17" applyAlignment="1" pivotButton="0" quotePrefix="0" xfId="0">
      <alignment horizontal="left" vertical="center" indent="1"/>
    </xf>
    <xf numFmtId="0" fontId="0" fillId="12" borderId="17" pivotButton="0" quotePrefix="0" xfId="0"/>
    <xf numFmtId="172" fontId="48" fillId="13" borderId="6" applyAlignment="1" pivotButton="0" quotePrefix="0" xfId="0">
      <alignment horizontal="center" vertical="center"/>
    </xf>
    <xf numFmtId="0" fontId="48" fillId="13" borderId="6" applyAlignment="1" pivotButton="0" quotePrefix="0" xfId="0">
      <alignment horizontal="left" vertical="center" indent="1"/>
    </xf>
    <xf numFmtId="0" fontId="0" fillId="13" borderId="6" pivotButton="0" quotePrefix="0" xfId="0"/>
    <xf numFmtId="0" fontId="49" fillId="13" borderId="6" applyAlignment="1" pivotButton="0" quotePrefix="0" xfId="0">
      <alignment horizontal="left" vertical="center" indent="1"/>
    </xf>
    <xf numFmtId="171" fontId="49" fillId="13" borderId="6" applyAlignment="1" pivotButton="0" quotePrefix="0" xfId="0">
      <alignment horizontal="center" vertical="center"/>
    </xf>
    <xf numFmtId="169" fontId="49" fillId="13" borderId="6" applyAlignment="1" pivotButton="0" quotePrefix="0" xfId="0">
      <alignment horizontal="center" vertical="center"/>
    </xf>
    <xf numFmtId="170" fontId="49" fillId="13" borderId="6" applyAlignment="1" pivotButton="0" quotePrefix="0" xfId="0">
      <alignment horizontal="center" vertical="center"/>
    </xf>
    <xf numFmtId="0" fontId="49" fillId="13" borderId="6" applyAlignment="1" pivotButton="0" quotePrefix="0" xfId="0">
      <alignment horizontal="center" vertical="center"/>
    </xf>
    <xf numFmtId="172" fontId="50" fillId="15" borderId="6" applyAlignment="1" pivotButton="0" quotePrefix="0" xfId="0">
      <alignment horizontal="center" vertical="center"/>
    </xf>
    <xf numFmtId="0" fontId="50" fillId="15" borderId="6" applyAlignment="1" pivotButton="0" quotePrefix="0" xfId="0">
      <alignment horizontal="left" vertical="center" indent="1"/>
    </xf>
    <xf numFmtId="0" fontId="0" fillId="15" borderId="6" pivotButton="0" quotePrefix="0" xfId="0"/>
    <xf numFmtId="0" fontId="51" fillId="15" borderId="6" applyAlignment="1" pivotButton="0" quotePrefix="0" xfId="0">
      <alignment horizontal="left" vertical="center" indent="1"/>
    </xf>
    <xf numFmtId="171" fontId="51" fillId="15" borderId="6" applyAlignment="1" pivotButton="0" quotePrefix="0" xfId="0">
      <alignment horizontal="center" vertical="center"/>
    </xf>
    <xf numFmtId="169" fontId="51" fillId="15" borderId="6" applyAlignment="1" pivotButton="0" quotePrefix="0" xfId="0">
      <alignment horizontal="center" vertical="center"/>
    </xf>
    <xf numFmtId="170" fontId="51" fillId="15" borderId="6" applyAlignment="1" pivotButton="0" quotePrefix="0" xfId="0">
      <alignment horizontal="center" vertical="center"/>
    </xf>
    <xf numFmtId="0" fontId="51" fillId="15" borderId="6" applyAlignment="1" pivotButton="0" quotePrefix="0" xfId="0">
      <alignment horizontal="center" vertical="center"/>
    </xf>
    <xf numFmtId="172" fontId="50" fillId="13" borderId="6" applyAlignment="1" pivotButton="0" quotePrefix="0" xfId="0">
      <alignment horizontal="center" vertical="center"/>
    </xf>
    <xf numFmtId="0" fontId="50" fillId="13" borderId="6" applyAlignment="1" pivotButton="0" quotePrefix="0" xfId="0">
      <alignment horizontal="left" vertical="center" indent="1"/>
    </xf>
    <xf numFmtId="0" fontId="51" fillId="13" borderId="6" applyAlignment="1" pivotButton="0" quotePrefix="0" xfId="0">
      <alignment horizontal="left" vertical="center" indent="1"/>
    </xf>
    <xf numFmtId="171" fontId="51" fillId="13" borderId="6" applyAlignment="1" pivotButton="0" quotePrefix="0" xfId="0">
      <alignment horizontal="center" vertical="center"/>
    </xf>
    <xf numFmtId="169" fontId="51" fillId="13" borderId="6" applyAlignment="1" pivotButton="0" quotePrefix="0" xfId="0">
      <alignment horizontal="center" vertical="center"/>
    </xf>
    <xf numFmtId="170" fontId="51" fillId="13" borderId="6" applyAlignment="1" pivotButton="0" quotePrefix="0" xfId="0">
      <alignment horizontal="center" vertical="center"/>
    </xf>
    <xf numFmtId="0" fontId="51" fillId="13" borderId="6" applyAlignment="1" pivotButton="0" quotePrefix="0" xfId="0">
      <alignment horizontal="center" vertical="center"/>
    </xf>
    <xf numFmtId="172" fontId="51" fillId="13" borderId="6" applyAlignment="1" pivotButton="0" quotePrefix="0" xfId="0">
      <alignment horizontal="center" vertical="center"/>
    </xf>
    <xf numFmtId="173" fontId="51" fillId="13" borderId="6" applyAlignment="1" pivotButton="0" quotePrefix="0" xfId="0">
      <alignment horizontal="center" vertical="center"/>
    </xf>
    <xf numFmtId="174" fontId="51" fillId="13" borderId="6" applyAlignment="1" pivotButton="0" quotePrefix="0" xfId="0">
      <alignment horizontal="center" vertical="center"/>
    </xf>
    <xf numFmtId="172" fontId="51" fillId="15" borderId="6" applyAlignment="1" pivotButton="0" quotePrefix="0" xfId="0">
      <alignment horizontal="center" vertical="center"/>
    </xf>
    <xf numFmtId="173" fontId="51" fillId="15" borderId="6" applyAlignment="1" pivotButton="0" quotePrefix="0" xfId="0">
      <alignment horizontal="center" vertical="center"/>
    </xf>
    <xf numFmtId="174" fontId="51" fillId="15" borderId="6" applyAlignment="1" pivotButton="0" quotePrefix="0" xfId="0">
      <alignment horizontal="center" vertical="center"/>
    </xf>
    <xf numFmtId="0" fontId="41" fillId="11" borderId="0" pivotButton="0" quotePrefix="0" xfId="0"/>
    <xf numFmtId="0" fontId="35" fillId="11" borderId="0" pivotButton="0" quotePrefix="0" xfId="0"/>
    <xf numFmtId="0" fontId="52" fillId="11" borderId="0" pivotButton="0" quotePrefix="0" xfId="0"/>
    <xf numFmtId="0" fontId="53" fillId="13" borderId="0" applyAlignment="1" pivotButton="0" quotePrefix="0" xfId="0">
      <alignment horizontal="left" vertical="center" wrapText="1"/>
    </xf>
    <xf numFmtId="171" fontId="43" fillId="13" borderId="16" applyAlignment="1" pivotButton="0" quotePrefix="0" xfId="0">
      <alignment horizontal="left" vertical="center" indent="1"/>
    </xf>
    <xf numFmtId="172" fontId="54" fillId="13" borderId="6" applyAlignment="1" pivotButton="0" quotePrefix="0" xfId="0">
      <alignment horizontal="center" vertical="center"/>
    </xf>
    <xf numFmtId="0" fontId="55" fillId="13" borderId="6" applyAlignment="1" pivotButton="0" quotePrefix="0" xfId="0">
      <alignment horizontal="left" vertical="center" indent="1"/>
    </xf>
    <xf numFmtId="0" fontId="53" fillId="13" borderId="6" applyAlignment="1" pivotButton="0" quotePrefix="0" xfId="0">
      <alignment horizontal="left" vertical="center" indent="1"/>
    </xf>
    <xf numFmtId="171" fontId="53" fillId="13" borderId="6" applyAlignment="1" pivotButton="0" quotePrefix="0" xfId="0">
      <alignment horizontal="center" vertical="center"/>
    </xf>
    <xf numFmtId="169" fontId="53" fillId="13" borderId="6" applyAlignment="1" pivotButton="0" quotePrefix="0" xfId="0">
      <alignment horizontal="center" vertical="center"/>
    </xf>
    <xf numFmtId="0" fontId="53" fillId="13" borderId="6" applyAlignment="1" pivotButton="0" quotePrefix="0" xfId="0">
      <alignment horizontal="center" vertical="center"/>
    </xf>
    <xf numFmtId="172" fontId="54" fillId="15" borderId="6" applyAlignment="1" pivotButton="0" quotePrefix="0" xfId="0">
      <alignment horizontal="center" vertical="center"/>
    </xf>
    <xf numFmtId="0" fontId="55" fillId="15" borderId="6" applyAlignment="1" pivotButton="0" quotePrefix="0" xfId="0">
      <alignment horizontal="left" vertical="center" indent="1"/>
    </xf>
    <xf numFmtId="0" fontId="53" fillId="15" borderId="6" applyAlignment="1" pivotButton="0" quotePrefix="0" xfId="0">
      <alignment horizontal="left" vertical="center" indent="1"/>
    </xf>
    <xf numFmtId="171" fontId="53" fillId="15" borderId="6" applyAlignment="1" pivotButton="0" quotePrefix="0" xfId="0">
      <alignment horizontal="center" vertical="center"/>
    </xf>
    <xf numFmtId="169" fontId="53" fillId="15" borderId="6" applyAlignment="1" pivotButton="0" quotePrefix="0" xfId="0">
      <alignment horizontal="center" vertical="center"/>
    </xf>
    <xf numFmtId="0" fontId="53" fillId="15" borderId="6" applyAlignment="1" pivotButton="0" quotePrefix="0" xfId="0">
      <alignment horizontal="center" vertical="center"/>
    </xf>
    <xf numFmtId="0" fontId="37" fillId="13" borderId="0" pivotButton="0" quotePrefix="0" xfId="0"/>
    <xf numFmtId="0" fontId="54" fillId="13" borderId="0" applyAlignment="1" pivotButton="0" quotePrefix="0" xfId="0">
      <alignment horizontal="left" vertical="center"/>
    </xf>
    <xf numFmtId="0" fontId="56" fillId="13" borderId="14" applyAlignment="1" pivotButton="0" quotePrefix="0" xfId="0">
      <alignment horizontal="right" vertical="center" indent="1"/>
    </xf>
    <xf numFmtId="171" fontId="56" fillId="13" borderId="14" applyAlignment="1" pivotButton="0" quotePrefix="0" xfId="0">
      <alignment horizontal="right" vertical="center" indent="1"/>
    </xf>
    <xf numFmtId="0" fontId="41" fillId="13" borderId="6" pivotButton="0" quotePrefix="0" xfId="0"/>
    <xf numFmtId="0" fontId="0" fillId="0" borderId="6" pivotButton="0" quotePrefix="0" xfId="0"/>
    <xf numFmtId="172" fontId="56" fillId="13" borderId="14" applyAlignment="1" pivotButton="0" quotePrefix="0" xfId="0">
      <alignment horizontal="right" vertical="center" indent="1"/>
    </xf>
    <xf numFmtId="170" fontId="56" fillId="13" borderId="14" applyAlignment="1" pivotButton="0" quotePrefix="0" xfId="0">
      <alignment horizontal="right" vertical="center" indent="1"/>
    </xf>
    <xf numFmtId="169" fontId="56" fillId="13" borderId="14" applyAlignment="1" pivotButton="0" quotePrefix="0" xfId="0">
      <alignment horizontal="right" vertical="center" indent="1"/>
    </xf>
    <xf numFmtId="0" fontId="57" fillId="11" borderId="0" pivotButton="0" quotePrefix="0" xfId="0"/>
    <xf numFmtId="0" fontId="47" fillId="12" borderId="17" applyAlignment="1" pivotButton="0" quotePrefix="0" xfId="0">
      <alignment horizontal="center" vertical="center" wrapText="1"/>
    </xf>
    <xf numFmtId="167" fontId="51" fillId="13" borderId="6" applyAlignment="1" pivotButton="0" quotePrefix="0" xfId="0">
      <alignment horizontal="center" vertical="center"/>
    </xf>
    <xf numFmtId="167" fontId="51" fillId="15" borderId="6" applyAlignment="1" pivotButton="0" quotePrefix="0" xfId="0">
      <alignment horizontal="center" vertical="center"/>
    </xf>
    <xf numFmtId="0" fontId="37" fillId="11" borderId="0" applyAlignment="1" pivotButton="0" quotePrefix="0" xfId="0">
      <alignment horizontal="left" vertical="center" indent="1"/>
    </xf>
    <xf numFmtId="0" fontId="58" fillId="14" borderId="15" applyAlignment="1" pivotButton="0" quotePrefix="0" xfId="0">
      <alignment horizontal="left" vertical="center" indent="1"/>
    </xf>
    <xf numFmtId="0" fontId="59" fillId="13" borderId="0" applyAlignment="1" pivotButton="0" quotePrefix="0" xfId="0">
      <alignment horizontal="left" vertical="center"/>
    </xf>
    <xf numFmtId="0" fontId="56" fillId="13" borderId="14" applyAlignment="1" pivotButton="0" quotePrefix="0" xfId="0">
      <alignment horizontal="right" vertical="center"/>
    </xf>
    <xf numFmtId="0" fontId="60" fillId="13" borderId="0" pivotButton="0" quotePrefix="0" xfId="0"/>
    <xf numFmtId="0" fontId="61" fillId="13" borderId="0" pivotButton="0" quotePrefix="0" xfId="0"/>
    <xf numFmtId="0" fontId="61" fillId="13" borderId="14" pivotButton="0" quotePrefix="0" xfId="0"/>
    <xf numFmtId="0" fontId="62" fillId="13" borderId="0" pivotButton="0" quotePrefix="0" xfId="0"/>
    <xf numFmtId="175" fontId="62" fillId="13" borderId="0" pivotButton="0" quotePrefix="0" xfId="0"/>
    <xf numFmtId="169" fontId="62" fillId="13" borderId="0" pivotButton="0" quotePrefix="0" xfId="0"/>
    <xf numFmtId="0" fontId="62" fillId="13" borderId="14" pivotButton="0" quotePrefix="0" xfId="0"/>
    <xf numFmtId="0" fontId="36" fillId="13" borderId="6" applyAlignment="1" pivotButton="0" quotePrefix="0" xfId="0">
      <alignment horizontal="left" vertical="center"/>
    </xf>
    <xf numFmtId="0" fontId="39" fillId="13" borderId="6" applyAlignment="1" pivotButton="0" quotePrefix="0" xfId="0">
      <alignment horizontal="left" vertical="center"/>
    </xf>
    <xf numFmtId="175" fontId="39" fillId="13" borderId="6" applyAlignment="1" pivotButton="0" quotePrefix="0" xfId="0">
      <alignment horizontal="left" vertical="center"/>
    </xf>
    <xf numFmtId="169" fontId="39" fillId="13" borderId="6" applyAlignment="1" pivotButton="0" quotePrefix="0" xfId="0">
      <alignment horizontal="left" vertical="center"/>
    </xf>
    <xf numFmtId="176" fontId="39" fillId="13" borderId="6" applyAlignment="1" pivotButton="0" quotePrefix="0" xfId="0">
      <alignment horizontal="left" vertical="center"/>
    </xf>
    <xf numFmtId="170" fontId="39" fillId="13" borderId="6" applyAlignment="1" pivotButton="0" quotePrefix="0" xfId="0">
      <alignment horizontal="left" vertical="center"/>
    </xf>
    <xf numFmtId="177" fontId="39" fillId="13" borderId="6" applyAlignment="1" pivotButton="0" quotePrefix="0" xfId="0">
      <alignment horizontal="left" vertical="center"/>
    </xf>
    <xf numFmtId="0" fontId="49" fillId="13" borderId="6" applyAlignment="1" pivotButton="0" quotePrefix="0" xfId="0">
      <alignment horizontal="left" vertical="center"/>
    </xf>
    <xf numFmtId="0" fontId="54" fillId="13" borderId="6" applyAlignment="1" pivotButton="0" quotePrefix="0" xfId="0">
      <alignment horizontal="left" vertical="center" indent="1"/>
    </xf>
    <xf numFmtId="0" fontId="32" fillId="11" borderId="0" pivotButton="0" quotePrefix="0" xfId="0"/>
    <xf numFmtId="0" fontId="63" fillId="13" borderId="0" applyAlignment="1" pivotButton="0" quotePrefix="0" xfId="0">
      <alignment horizontal="left" vertical="center" wrapText="1"/>
    </xf>
    <xf numFmtId="0" fontId="53" fillId="13" borderId="6" applyAlignment="1" pivotButton="0" quotePrefix="0" xfId="0">
      <alignment horizontal="left" vertical="center" wrapText="1"/>
    </xf>
    <xf numFmtId="0" fontId="37" fillId="11" borderId="0" pivotButton="0" quotePrefix="0" xfId="0"/>
    <xf numFmtId="0" fontId="20" fillId="10" borderId="1" applyAlignment="1" pivotButton="0" quotePrefix="0" xfId="0">
      <alignment horizontal="center" vertical="center" wrapText="1"/>
    </xf>
    <xf numFmtId="0" fontId="20" fillId="10" borderId="0" applyAlignment="1" pivotButton="0" quotePrefix="0" xfId="0">
      <alignment horizontal="center" vertical="center" wrapText="1"/>
    </xf>
    <xf numFmtId="15" fontId="4" fillId="0" borderId="1" applyAlignment="1" pivotButton="0" quotePrefix="0" xfId="0">
      <alignment horizontal="left"/>
    </xf>
    <xf numFmtId="15" fontId="1" fillId="0" borderId="1" applyAlignment="1" pivotButton="0" quotePrefix="0" xfId="0">
      <alignment horizontal="left"/>
    </xf>
    <xf numFmtId="15" fontId="8" fillId="0" borderId="1" applyAlignment="1" pivotButton="0" quotePrefix="0" xfId="0">
      <alignment horizontal="left"/>
    </xf>
    <xf numFmtId="15" fontId="12" fillId="0" borderId="1" applyAlignment="1" pivotButton="0" quotePrefix="0" xfId="0">
      <alignment horizontal="left"/>
    </xf>
    <xf numFmtId="0" fontId="22" fillId="0" borderId="0" pivotButton="0" quotePrefix="0" xfId="0"/>
    <xf numFmtId="0" fontId="23" fillId="0" borderId="0" pivotButton="0" quotePrefix="0" xfId="0"/>
    <xf numFmtId="0" fontId="26" fillId="0" borderId="0" pivotButton="0" quotePrefix="0" xfId="0"/>
    <xf numFmtId="0" fontId="25" fillId="12" borderId="5" applyAlignment="1" pivotButton="0" quotePrefix="0" xfId="0">
      <alignment horizontal="center" vertical="center" wrapText="1"/>
    </xf>
    <xf numFmtId="0" fontId="24" fillId="0" borderId="0" pivotButton="0" quotePrefix="0" xfId="0"/>
    <xf numFmtId="0" fontId="30" fillId="13" borderId="6" pivotButton="0" quotePrefix="0" xfId="0"/>
    <xf numFmtId="167" fontId="30" fillId="13" borderId="6" pivotButton="0" quotePrefix="0" xfId="0"/>
    <xf numFmtId="169" fontId="30" fillId="13" borderId="6" pivotButton="0" quotePrefix="0" xfId="0"/>
    <xf numFmtId="170" fontId="30" fillId="13" borderId="6" pivotButton="0" quotePrefix="0" xfId="0"/>
    <xf numFmtId="172" fontId="30" fillId="13" borderId="6" pivotButton="0" quotePrefix="0" xfId="0"/>
    <xf numFmtId="171" fontId="30" fillId="13" borderId="6" pivotButton="0" quotePrefix="0" xfId="0"/>
    <xf numFmtId="0" fontId="30" fillId="15" borderId="6" pivotButton="0" quotePrefix="0" xfId="0"/>
    <xf numFmtId="167" fontId="30" fillId="15" borderId="6" pivotButton="0" quotePrefix="0" xfId="0"/>
    <xf numFmtId="169" fontId="30" fillId="15" borderId="6" pivotButton="0" quotePrefix="0" xfId="0"/>
    <xf numFmtId="170" fontId="30" fillId="15" borderId="6" pivotButton="0" quotePrefix="0" xfId="0"/>
    <xf numFmtId="172" fontId="30" fillId="15" borderId="6" pivotButton="0" quotePrefix="0" xfId="0"/>
    <xf numFmtId="171" fontId="30" fillId="15" borderId="6" pivotButton="0" quotePrefix="0" xfId="0"/>
    <xf numFmtId="0" fontId="31" fillId="0" borderId="0" pivotButton="0" quotePrefix="0" xfId="0"/>
    <xf numFmtId="0" fontId="25" fillId="12" borderId="5" applyAlignment="1" pivotButton="0" quotePrefix="0" xfId="0">
      <alignment horizontal="left" vertical="center"/>
    </xf>
    <xf numFmtId="0" fontId="25" fillId="12" borderId="5" applyAlignment="1" pivotButton="0" quotePrefix="0" xfId="0">
      <alignment horizontal="center" vertical="center"/>
    </xf>
    <xf numFmtId="0" fontId="32" fillId="0" borderId="0" pivotButton="0" quotePrefix="0" xfId="0"/>
    <xf numFmtId="0" fontId="33" fillId="13" borderId="6" pivotButton="0" quotePrefix="0" xfId="0"/>
    <xf numFmtId="172" fontId="26" fillId="13" borderId="6" applyAlignment="1" pivotButton="0" quotePrefix="0" xfId="0">
      <alignment horizontal="center" vertical="center"/>
    </xf>
    <xf numFmtId="0" fontId="23" fillId="13" borderId="6" pivotButton="0" quotePrefix="0" xfId="0"/>
    <xf numFmtId="0" fontId="33" fillId="15" borderId="6" pivotButton="0" quotePrefix="0" xfId="0"/>
    <xf numFmtId="172" fontId="26" fillId="15" borderId="6" applyAlignment="1" pivotButton="0" quotePrefix="0" xfId="0">
      <alignment horizontal="center" vertical="center"/>
    </xf>
    <xf numFmtId="0" fontId="23" fillId="15" borderId="6" pivotButton="0" quotePrefix="0" xfId="0"/>
    <xf numFmtId="170" fontId="26" fillId="15" borderId="6" applyAlignment="1" pivotButton="0" quotePrefix="0" xfId="0">
      <alignment horizontal="center" vertical="center"/>
    </xf>
    <xf numFmtId="170" fontId="26" fillId="13" borderId="6" applyAlignment="1" pivotButton="0" quotePrefix="0" xfId="0">
      <alignment horizontal="center" vertical="center"/>
    </xf>
    <xf numFmtId="169" fontId="26" fillId="13" borderId="6" applyAlignment="1" pivotButton="0" quotePrefix="0" xfId="0">
      <alignment horizontal="center" vertical="center"/>
    </xf>
    <xf numFmtId="169" fontId="26" fillId="15" borderId="6" applyAlignment="1" pivotButton="0" quotePrefix="0" xfId="0">
      <alignment horizontal="center" vertical="center"/>
    </xf>
    <xf numFmtId="171" fontId="26" fillId="13" borderId="6" applyAlignment="1" pivotButton="0" quotePrefix="0" xfId="0">
      <alignment horizontal="center" vertical="center"/>
    </xf>
    <xf numFmtId="171" fontId="26" fillId="15" borderId="6" applyAlignment="1" pivotButton="0" quotePrefix="0" xfId="0">
      <alignment horizontal="center" vertical="center"/>
    </xf>
    <xf numFmtId="0" fontId="26" fillId="15" borderId="6" applyAlignment="1" pivotButton="0" quotePrefix="0" xfId="0">
      <alignment horizontal="center" vertical="center"/>
    </xf>
    <xf numFmtId="0" fontId="26" fillId="13" borderId="6" applyAlignment="1" pivotButton="0" quotePrefix="0" xfId="0">
      <alignment horizontal="center" vertical="center"/>
    </xf>
    <xf numFmtId="0" fontId="34" fillId="13" borderId="6" applyAlignment="1" pivotButton="0" quotePrefix="0" xfId="0">
      <alignment horizontal="center" vertical="center"/>
    </xf>
    <xf numFmtId="0" fontId="34" fillId="15" borderId="6" applyAlignment="1" pivotButton="0" quotePrefix="0" xfId="0">
      <alignment horizontal="center" vertical="center"/>
    </xf>
    <xf numFmtId="0" fontId="22" fillId="11" borderId="0" pivotButton="0" quotePrefix="0" xfId="0"/>
    <xf numFmtId="0" fontId="24" fillId="11" borderId="0" pivotButton="0" quotePrefix="0" xfId="0"/>
    <xf numFmtId="0" fontId="23" fillId="11" borderId="0" applyAlignment="1" pivotButton="0" quotePrefix="0" xfId="0">
      <alignment horizontal="left" vertical="top" wrapText="1"/>
    </xf>
    <xf numFmtId="0" fontId="21" fillId="13" borderId="6" pivotButton="0" quotePrefix="0" xfId="0"/>
    <xf numFmtId="0" fontId="27" fillId="13" borderId="6" applyAlignment="1" pivotButton="0" quotePrefix="0" xfId="0">
      <alignment horizontal="center" vertical="center"/>
    </xf>
    <xf numFmtId="0" fontId="27" fillId="13" borderId="6" pivotButton="0" quotePrefix="0" xfId="0"/>
    <xf numFmtId="0" fontId="23" fillId="13" borderId="6" applyAlignment="1" pivotButton="0" quotePrefix="0" xfId="0">
      <alignment horizontal="center" vertical="center"/>
    </xf>
    <xf numFmtId="0" fontId="28" fillId="14" borderId="7" applyAlignment="1" pivotButton="0" quotePrefix="0" xfId="0">
      <alignment horizontal="center" vertical="center"/>
    </xf>
    <xf numFmtId="0" fontId="29" fillId="11" borderId="0" pivotButton="0" quotePrefix="0" xfId="0"/>
    <xf numFmtId="0" fontId="25" fillId="11" borderId="0" pivotButton="0" quotePrefix="0" xfId="0"/>
    <xf numFmtId="0" fontId="27" fillId="11" borderId="0" pivotButton="0" quotePrefix="0" xfId="0"/>
  </cellXfs>
  <cellStyles count="1">
    <cellStyle name="Normal" xfId="0" builtinId="0"/>
  </cellStyles>
  <dxfs count="9">
    <dxf>
      <font>
        <name val="Arial"/>
        <b val="1"/>
        <color rgb="000F9D58"/>
        <sz val="8.5"/>
      </font>
      <fill>
        <patternFill patternType="solid">
          <fgColor rgb="00E7F5EC"/>
        </patternFill>
      </fill>
    </dxf>
    <dxf>
      <font>
        <name val="Arial"/>
        <color rgb="001D4ED8"/>
        <sz val="8.5"/>
      </font>
      <fill>
        <patternFill patternType="solid">
          <fgColor rgb="00EFF4FF"/>
        </patternFill>
      </fill>
    </dxf>
    <dxf>
      <font>
        <name val="Arial"/>
        <color rgb="00D33A3A"/>
        <sz val="8.5"/>
      </font>
      <fill>
        <patternFill patternType="solid">
          <fgColor rgb="00FBEAEA"/>
        </patternFill>
      </fill>
    </dxf>
    <dxf>
      <font>
        <name val="Arial"/>
        <color rgb="008A94A6"/>
        <sz val="8.5"/>
      </font>
      <fill>
        <patternFill patternType="solid">
          <fgColor rgb="00F1F3F6"/>
        </patternFill>
      </fill>
    </dxf>
    <dxf>
      <font>
        <name val="Arial"/>
        <color rgb="00C9CED6"/>
        <sz val="8.5"/>
      </font>
    </dxf>
    <dxf>
      <font>
        <name val="Arial"/>
        <color rgb="000F9D58"/>
        <sz val="8.5"/>
      </font>
      <fill>
        <patternFill patternType="solid">
          <fgColor rgb="00E7F5EC"/>
        </patternFill>
      </fill>
    </dxf>
    <dxf>
      <font>
        <name val="Arial"/>
        <color rgb="000F9D58"/>
        <sz val="9.5"/>
      </font>
      <fill>
        <patternFill patternType="solid">
          <fgColor rgb="00E7F5EC"/>
        </patternFill>
      </fill>
    </dxf>
    <dxf>
      <font>
        <name val="Arial"/>
        <color rgb="00C8860D"/>
        <sz val="9.5"/>
      </font>
      <fill>
        <patternFill patternType="solid">
          <fgColor rgb="00FDF3E2"/>
        </patternFill>
      </fill>
    </dxf>
    <dxf>
      <font>
        <name val="Arial"/>
        <color rgb="00D33A3A"/>
        <sz val="9.5"/>
      </font>
      <fill>
        <patternFill patternType="solid">
          <fgColor rgb="00FBEAE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pivotCacheDefinition" Target="/xl/pivotCache/pivotCacheDefinition1.xml" Id="rId16" /><Relationship Type="http://schemas.openxmlformats.org/officeDocument/2006/relationships/pivotCacheDefinition" Target="/xl/pivotCache/pivotCacheDefinition2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Candidates reaching each stage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 Calc'!C222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Calc'!$A$223:$A$229</f>
            </numRef>
          </cat>
          <val>
            <numRef>
              <f>'Dashboard Calc'!$C$223:$C$229</f>
            </numRef>
          </val>
        </ser>
        <dLbls>
          <showLegendKey val="0"/>
          <showVal val="1"/>
          <showCatName val="0"/>
          <showSerName val="0"/>
        </dLbls>
        <gapWidth val="3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Where the pipeline sits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Calc'!D211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563EB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5B8DEF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8FB3F6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B9CEF9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0F9D58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6FC08C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D33A3A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8A94A6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cat>
            <numRef>
              <f>'Dashboard Calc'!$A$212:$A$219</f>
            </numRef>
          </cat>
          <val>
            <numRef>
              <f>'Dashboard Calc'!$D$212:$D$219</f>
            </numRef>
          </val>
        </ser>
        <dLbls>
          <showLegendKey val="0"/>
          <showVal val="1"/>
          <showCatName val="0"/>
          <showSerName val="0"/>
        </dLbls>
        <firstSliceAng val="0"/>
        <holeSize val="62"/>
      </doughnutChart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Candidates by city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 Calc'!B231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Calc'!$A$232:$A$240</f>
            </numRef>
          </cat>
          <val>
            <numRef>
              <f>'Dashboard Calc'!$B$232:$B$240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Pipeline by requisition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 Calc'!B244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Calc'!$A$245:$A$252</f>
            </numRef>
          </cat>
          <val>
            <numRef>
              <f>'Dashboard Calc'!$B$245:$B$252</f>
            </numRef>
          </val>
        </ser>
        <ser>
          <idx val="1"/>
          <order val="1"/>
          <tx>
            <strRef>
              <f>'Dashboard Calc'!C244</f>
            </strRef>
          </tx>
          <spPr>
            <a:solidFill>
              <a:srgbClr val="A9C2F8"/>
            </a:solidFill>
            <a:ln>
              <a:noFill/>
              <a:prstDash val="solid"/>
            </a:ln>
          </spPr>
          <cat>
            <numRef>
              <f>'Dashboard Calc'!$A$245:$A$252</f>
            </numRef>
          </cat>
          <val>
            <numRef>
              <f>'Dashboard Calc'!$C$245:$C$252</f>
            </numRef>
          </val>
        </ser>
        <dLbls>
          <showLegendKey val="0"/>
          <showVal val="1"/>
          <showCatName val="0"/>
          <showSerName val="0"/>
        </dLbls>
        <gapWidth val="4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Throughput by recruiter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Calc'!B256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Calc'!$A$257:$A$271</f>
            </numRef>
          </cat>
          <val>
            <numRef>
              <f>'Dashboard Calc'!$B$257:$B$271</f>
            </numRef>
          </val>
        </ser>
        <ser>
          <idx val="1"/>
          <order val="1"/>
          <tx>
            <strRef>
              <f>'Dashboard Calc'!C256</f>
            </strRef>
          </tx>
          <spPr>
            <a:solidFill>
              <a:srgbClr val="8FB3F6"/>
            </a:solidFill>
            <a:ln>
              <a:noFill/>
              <a:prstDash val="solid"/>
            </a:ln>
          </spPr>
          <cat>
            <numRef>
              <f>'Dashboard Calc'!$A$257:$A$271</f>
            </numRef>
          </cat>
          <val>
            <numRef>
              <f>'Dashboard Calc'!$C$257:$C$271</f>
            </numRef>
          </val>
        </ser>
        <ser>
          <idx val="2"/>
          <order val="2"/>
          <tx>
            <strRef>
              <f>'Dashboard Calc'!D256</f>
            </strRef>
          </tx>
          <spPr>
            <a:solidFill>
              <a:srgbClr val="0F9D58"/>
            </a:solidFill>
            <a:ln>
              <a:noFill/>
              <a:prstDash val="solid"/>
            </a:ln>
          </spPr>
          <cat>
            <numRef>
              <f>'Dashboard Calc'!$A$257:$A$271</f>
            </numRef>
          </cat>
          <val>
            <numRef>
              <f>'Dashboard Calc'!$D$257:$D$271</f>
            </numRef>
          </val>
        </ser>
        <dLbls>
          <showLegendKey val="0"/>
          <showVal val="1"/>
          <showCatName val="0"/>
          <showSerName val="0"/>
        </dLbls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Candidates sourced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Calc'!B294</f>
            </strRef>
          </tx>
          <spPr>
            <a:solidFill>
              <a:srgbClr val="C3CAD6"/>
            </a:solidFill>
            <a:ln>
              <a:noFill/>
              <a:prstDash val="solid"/>
            </a:ln>
          </spPr>
          <cat>
            <numRef>
              <f>'Dashboard Calc'!$A$295:$A$306</f>
            </numRef>
          </cat>
          <val>
            <numRef>
              <f>'Dashboard Calc'!$B$295:$B$306</f>
            </numRef>
          </val>
        </ser>
        <ser>
          <idx val="1"/>
          <order val="1"/>
          <tx>
            <strRef>
              <f>'Dashboard Calc'!C294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Calc'!$A$295:$A$306</f>
            </numRef>
          </cat>
          <val>
            <numRef>
              <f>'Dashboard Calc'!$C$295:$C$306</f>
            </numRef>
          </val>
        </ser>
        <gapWidth val="4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Experience against salary expectation</a:t>
            </a:r>
          </a:p>
        </rich>
      </tx>
    </title>
    <plotArea>
      <scatterChart>
        <ser>
          <idx val="0"/>
          <order val="0"/>
          <tx>
            <v>Candidate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563EB"/>
              </a:solidFill>
              <a:ln w="9525">
                <a:solidFill>
                  <a:srgbClr val="FFFFFF"/>
                </a:solidFill>
                <a:prstDash val="solid"/>
              </a:ln>
            </spPr>
          </marker>
          <xVal>
            <numRef>
              <f>'Dashboard Calc'!$BD$6:$BD$45</f>
            </numRef>
          </xVal>
          <yVal>
            <numRef>
              <f>'Dashboard Calc'!$BE$5:$BE$45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Total experience (years)</a:t>
                </a:r>
              </a:p>
            </rich>
          </tx>
        </title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2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Expected CTC (LPA)</a:t>
                </a:r>
              </a:p>
            </rich>
          </tx>
        </title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How quickly the pool can join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Calc'!B275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dPt>
            <idx val="0"/>
            <spPr>
              <a:solidFill>
                <a:srgbClr val="0F9D58"/>
              </a:solidFill>
              <a:ln>
                <a:prstDash val="solid"/>
              </a:ln>
            </spPr>
          </dPt>
          <dPt>
            <idx val="1"/>
            <spPr>
              <a:solidFill>
                <a:srgbClr val="0F9D58"/>
              </a:solidFill>
              <a:ln>
                <a:prstDash val="solid"/>
              </a:ln>
            </spPr>
          </dPt>
          <dPt>
            <idx val="2"/>
            <spPr>
              <a:solidFill>
                <a:srgbClr val="C8860D"/>
              </a:solidFill>
              <a:ln>
                <a:prstDash val="solid"/>
              </a:ln>
            </spPr>
          </dPt>
          <dPt>
            <idx val="3"/>
            <spPr>
              <a:solidFill>
                <a:srgbClr val="D33A3A"/>
              </a:solidFill>
              <a:ln>
                <a:prstDash val="solid"/>
              </a:ln>
            </spPr>
          </dPt>
          <dPt>
            <idx val="4"/>
            <spPr>
              <a:solidFill>
                <a:srgbClr val="8A94A6"/>
              </a:solidFill>
              <a:ln>
                <a:prstDash val="solid"/>
              </a:ln>
            </spPr>
          </dPt>
          <cat>
            <numRef>
              <f>'Dashboard Calc'!$A$276:$A$280</f>
            </numRef>
          </cat>
          <val>
            <numRef>
              <f>'Dashboard Calc'!$B$276:$B$280</f>
            </numRef>
          </val>
        </ser>
        <dLbls>
          <showLegendKey val="0"/>
          <showVal val="1"/>
          <showCatName val="0"/>
          <showSerName val="0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Depth of the submitted pool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Calc'!B284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Calc'!$A$285:$A$290</f>
            </numRef>
          </cat>
          <val>
            <numRef>
              <f>'Dashboard Calc'!$B$285:$B$290</f>
            </numRef>
          </val>
        </ser>
        <dLbls>
          <showLegendKey val="0"/>
          <showVal val="1"/>
          <showCatName val="0"/>
          <showSerName val="0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Salary uplift being asked for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Calc'!B310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dPt>
            <idx val="0"/>
            <spPr>
              <a:solidFill>
                <a:srgbClr val="0F9D58"/>
              </a:solidFill>
              <a:ln>
                <a:prstDash val="solid"/>
              </a:ln>
            </spPr>
          </dPt>
          <dPt>
            <idx val="1"/>
            <spPr>
              <a:solidFill>
                <a:srgbClr val="0F9D58"/>
              </a:solidFill>
              <a:ln>
                <a:prstDash val="solid"/>
              </a:ln>
            </spPr>
          </dPt>
          <dPt>
            <idx val="2"/>
            <spPr>
              <a:solidFill>
                <a:srgbClr val="C8860D"/>
              </a:solidFill>
              <a:ln>
                <a:prstDash val="solid"/>
              </a:ln>
            </spPr>
          </dPt>
          <dPt>
            <idx val="3"/>
            <spPr>
              <a:solidFill>
                <a:srgbClr val="C8860D"/>
              </a:solidFill>
              <a:ln>
                <a:prstDash val="solid"/>
              </a:ln>
            </spPr>
          </dPt>
          <dPt>
            <idx val="4"/>
            <spPr>
              <a:solidFill>
                <a:srgbClr val="D33A3A"/>
              </a:solidFill>
              <a:ln>
                <a:prstDash val="solid"/>
              </a:ln>
            </spPr>
          </dPt>
          <dPt>
            <idx val="5"/>
            <spPr>
              <a:solidFill>
                <a:srgbClr val="D33A3A"/>
              </a:solidFill>
              <a:ln>
                <a:prstDash val="solid"/>
              </a:ln>
            </spPr>
          </dPt>
          <cat>
            <numRef>
              <f>'Dashboard Calc'!$A$311:$A$316</f>
            </numRef>
          </cat>
          <val>
            <numRef>
              <f>'Dashboard Calc'!$B$311:$B$316</f>
            </numRef>
          </val>
        </ser>
        <dLbls>
          <showLegendKey val="0"/>
          <showVal val="1"/>
          <showCatName val="0"/>
          <showSerName val="0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How the pipeline narrows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 Calc'!C222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Calc'!$A$223:$A$229</f>
            </numRef>
          </cat>
          <val>
            <numRef>
              <f>'Dashboard Calc'!$C$223:$C$229</f>
            </numRef>
          </val>
        </ser>
        <dLbls>
          <showLegendKey val="0"/>
          <showVal val="1"/>
          <showCatName val="0"/>
          <showSerName val="0"/>
        </dLbls>
        <gapWidth val="3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Where the candidates are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 Calc'!B231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'Dashboard Calc'!$A$232:$A$240</f>
            </numRef>
          </cat>
          <val>
            <numRef>
              <f>'Dashboard Calc'!$B$232:$B$240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9525">
              <a:solidFill>
                <a:srgbClr val="F0F1F4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E4E7E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4B5563"/>
                </a:solidFill>
              </a:defRPr>
            </a:pPr>
            <a:r>
              <a:t/>
            </a:r>
            <a:endParaRPr sz="800" b="0">
              <a:solidFill>
                <a:srgbClr val="4B5563"/>
              </a:solidFill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36</row>
      <rowOff>0</rowOff>
    </from>
    <ext cx="4644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36</row>
      <rowOff>0</rowOff>
    </from>
    <ext cx="4644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57</row>
      <rowOff>0</rowOff>
    </from>
    <ext cx="4644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57</row>
      <rowOff>0</rowOff>
    </from>
    <ext cx="4644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78</row>
      <rowOff>0</rowOff>
    </from>
    <ext cx="4644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78</row>
      <rowOff>0</rowOff>
    </from>
    <ext cx="4644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99</row>
      <rowOff>0</rowOff>
    </from>
    <ext cx="4644000" cy="259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99</row>
      <rowOff>0</rowOff>
    </from>
    <ext cx="4644000" cy="259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120</row>
      <rowOff>0</rowOff>
    </from>
    <ext cx="4644000" cy="259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120</row>
      <rowOff>0</rowOff>
    </from>
    <ext cx="4644000" cy="259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66</row>
      <rowOff>0</rowOff>
    </from>
    <ext cx="4536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66</row>
      <rowOff>0</rowOff>
    </from>
    <ext cx="4536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1:M79" sheet=" Master Data-2025"/>
  </cacheSource>
  <cacheFields count="13">
    <cacheField name="Recruiter Name" uniqueList="1" numFmtId="0" sqlType="0" hierarchy="0" level="0" databaseField="1">
      <sharedItems count="3">
        <s v="Vijay Anand"/>
        <s v="Sarath"/>
        <s v="Arohi"/>
      </sharedItems>
    </cacheField>
    <cacheField name="Date" uniqueList="1" sqlType="0" hierarchy="0" level="0" databaseField="1">
      <sharedItems count="14" containsDate="1" containsMixedTypes="1" containsSemiMixedTypes="0" containsString="0">
        <d v="2025-01-08T00:00:00"/>
        <d v="2025-01-09T00:00:00"/>
        <n v="45666"/>
        <d v="2025-01-10T00:00:00"/>
        <d v="2025-01-13T00:00:00"/>
        <d v="2025-01-14T00:00:00"/>
        <d v="2025-01-15T00:00:00"/>
        <d v="2025-01-16T00:00:00"/>
        <d v="2025-01-20T00:00:00"/>
        <d v="2025-01-29T00:00:00"/>
        <d v="2025-01-30T00:00:00"/>
        <d v="2025-01-31T00:00:00"/>
        <d v="2025-02-11T00:00:00"/>
        <d v="2025-02-25T00:00:00"/>
      </sharedItems>
    </cacheField>
    <cacheField name="Month" uniqueList="1" numFmtId="0" sqlType="0" hierarchy="0" level="0" databaseField="1">
      <sharedItems count="2">
        <s v="January"/>
        <s v="February"/>
      </sharedItems>
    </cacheField>
    <cacheField name="Candidate Name" uniqueList="1" numFmtId="0" sqlType="0" hierarchy="0" level="0" databaseField="1">
      <sharedItems count="77">
        <s v="Sandhya S"/>
        <s v="Bakya Vijayan"/>
        <s v="Naveen Asapu"/>
        <s v="Alaghu Sundram"/>
        <s v="Jegan P"/>
        <s v="Naresh Ponnusamy"/>
        <s v="Syed Hameed"/>
        <s v="Pradeepraj Arumugam"/>
        <s v="Sivakumar Kandappan"/>
        <s v="Venkatesh Prabhu"/>
        <s v="Dibakar Hazra"/>
        <s v="Mayank Khandelwal"/>
        <s v="Aravindkumar Perumal"/>
        <s v="Noorul Sirajudeen"/>
        <s v="Ruth Angel Balu"/>
        <s v="Jagadeesh Murugaiyan"/>
        <s v="Ashok Hariharan"/>
        <s v="Elangovan Mathan"/>
        <s v="Nirmalkumar Neelamegan"/>
        <s v="Vinodhini Martin "/>
        <s v="Preethi Sekar"/>
        <s v="Mathan Kumar S"/>
        <s v="Owais Nismo"/>
        <s v="Kamatchi venkatesan"/>
        <s v="Humera Yasmeen"/>
        <s v="Indiver Piyush"/>
        <s v="Bibin Christopher"/>
        <s v="Tamil Selvan"/>
        <s v="Harish Sundhar"/>
        <s v="Abinaya S"/>
        <s v="Ramya Muthuraman"/>
        <s v="Elangovan Murugan"/>
        <s v="Ram Kumar"/>
        <s v="Vanishri Boopathy"/>
        <s v="Hareharan R S"/>
        <s v="Rohith H"/>
        <s v="Santhosh S"/>
        <s v="Anandh C"/>
        <s v="Thulasiram M"/>
        <s v="Rengashree R"/>
        <s v="Santhiya Ravi"/>
        <s v="Mohamed Irfan F"/>
        <s v="Arun R"/>
        <s v="Vengatesh V"/>
        <s v="Prawin Krishna"/>
        <s v="Manoj Kumar"/>
        <s v="Mohamed Rahmatullah"/>
        <s v="L Satheesh Kumar"/>
        <s v="Srinu Nagula"/>
        <s v="Raja"/>
        <s v="Bhuvaneswari Devi"/>
        <s v="Gayathri Srinivasan"/>
        <s v="Vinodh Kumar"/>
        <s v="Jagadeesh Korraee"/>
        <s v="Raman Seshadri"/>
        <s v="Arun Athithyan"/>
        <s v="Mahammed Abdul"/>
        <s v="Shivam Chauhan"/>
        <s v="Ibrahim A"/>
        <s v="Meenakshi Kumar"/>
        <s v="Ramya Maheswari"/>
        <s v="Kokila P"/>
        <s v="Amsath Ali"/>
        <s v="Saurav Kumar"/>
        <s v="Sasi Kumar"/>
        <s v="Varshini M"/>
        <s v="Priyadarshini Murugan"/>
        <s v="Prakash S"/>
        <s v="Prabakar Raja"/>
        <s v="Muthu Karuppasamy"/>
        <s v="Dhanavandhan K"/>
        <s v="Lavanya"/>
        <s v="Kanimozli"/>
        <s v="Sudhakar"/>
        <s v="Nagalaskmi"/>
        <s v="Harikrishnan R"/>
        <s v="Thirugnasambandhar"/>
      </sharedItems>
    </cacheField>
    <cacheField name="Contact Number" uniqueList="1" numFmtId="0" sqlType="0" hierarchy="0" level="0" databaseField="1">
      <sharedItems count="77" containsInteger="1" containsNumber="1" containsSemiMixedTypes="0" containsString="0">
        <n v="8667092941"/>
        <n v="9600790511"/>
        <n v="8124457892"/>
        <n v="8939114429"/>
        <n v="7904841246"/>
        <n v="8015392688"/>
        <n v="9025729639"/>
        <n v="9943300927"/>
        <n v="6381585734"/>
        <n v="7010645183"/>
        <n v="7908313425"/>
        <n v="9871532875"/>
        <n v="9629284742"/>
        <n v="9677909469"/>
        <n v="9952981253"/>
        <n v="9677231132"/>
        <n v="9894887733"/>
        <n v="9500866068"/>
        <n v="7339451508"/>
        <n v="9025831044"/>
        <n v="7358129494"/>
        <n v="8248540437"/>
        <n v="9074086377"/>
        <n v="9600241024"/>
        <n v="7598459786"/>
        <n v="8148859722"/>
        <n v="6383938335"/>
        <n v="7010349163"/>
        <n v="8973631907"/>
        <n v="9360174449"/>
        <n v="7339092698"/>
        <n v="8056732185"/>
        <n v="8610028776"/>
        <n v="9677228396"/>
        <n v="7358207040"/>
        <n v="9884538089"/>
        <n v="8838295808"/>
        <n v="8838249278"/>
        <n v="7708735444"/>
        <n v="9342272661"/>
        <n v="8015647157"/>
        <n v="9566676562"/>
        <n v="9384594294"/>
        <n v="9788874996"/>
        <n v="9551741668"/>
        <n v="8778178737"/>
        <n v="8939732284"/>
        <n v="95978876055"/>
        <n v="9701430042"/>
        <n v="9842628783"/>
        <n v="9701244844"/>
        <n v="6382294895"/>
        <n v="8019144327"/>
        <n v="9642497850"/>
        <n v="9499955041"/>
        <n v="9788242496"/>
        <n v="9150396516"/>
        <n v="7017000093"/>
        <n v="7871157867"/>
        <n v="7092382985"/>
        <n v="8939703368"/>
        <n v="8072128911"/>
        <n v="9886045732"/>
        <n v="9078799175"/>
        <n v="6303786560"/>
        <n v="9585302629"/>
        <n v="9788952997"/>
        <n v="9944551807"/>
        <n v="9500664216"/>
        <n v="9080024928"/>
        <n v="6374053802"/>
        <n v="9962628126"/>
        <n v="9148582928"/>
        <n v="9840319606"/>
        <n v="9566984949"/>
        <n v="9061002008"/>
        <n v="9994356559"/>
      </sharedItems>
    </cacheField>
    <cacheField name="Current Location" uniqueList="1" numFmtId="0" sqlType="0" hierarchy="0" level="0" databaseField="1">
      <sharedItems count="4">
        <s v="Chennai"/>
        <s v="Kovilpatti"/>
        <s v="Noida"/>
        <s v="Bangalore"/>
      </sharedItems>
    </cacheField>
    <cacheField name="Req Title" uniqueList="1" numFmtId="0" sqlType="0" hierarchy="0" level="0" databaseField="1">
      <sharedItems count="2">
        <s v="Full Stack Developer"/>
        <s v="DBA"/>
      </sharedItems>
    </cacheField>
    <cacheField name="Screening Status" uniqueList="1" numFmtId="0" sqlType="0" hierarchy="0" level="0" databaseField="1">
      <sharedItems count="6">
        <s v="Candidate Withdrawn"/>
        <s v="Telephonic Screening"/>
        <s v="ZN Submission"/>
        <s v="ZN Hire"/>
        <s v="ZN Interview"/>
        <s v="ZN Offer"/>
      </sharedItems>
    </cacheField>
    <cacheField name="Comments" uniqueList="1" numFmtId="0" sqlType="0" hierarchy="0" level="0" databaseField="1">
      <sharedItems count="26" containsBlank="1">
        <s v="Backed out"/>
        <s v="Reject- Budget Constraint"/>
        <s v="Reject"/>
        <s v="Reject- 3 months NP"/>
        <s v="Not intrested"/>
        <s v="Beyond the budget"/>
        <s v="Beyond Budget"/>
        <s v="Offer accepted"/>
        <s v="need to send"/>
        <m/>
        <s v="L1 feed back pending"/>
        <s v="On 14-01-25"/>
        <s v="Selected"/>
        <s v="Submitted for Review"/>
        <s v="On hold due to high exp"/>
        <s v="He needs time to think about the opportunity with ZeroNorth"/>
        <s v="R1 completed - 14 Feb (awaiting feedback)"/>
        <s v="L1-TBRS"/>
        <s v="Review"/>
        <s v="Duplication - ZN already have resume"/>
        <s v="Reject - 3 months NP"/>
        <s v="He has 90days notice period"/>
        <s v="Put on hold(due to budget/NP)"/>
        <s v="Bugdet constrain"/>
        <s v="Reject-looking for remote only"/>
        <s v="High expectation"/>
      </sharedItems>
    </cacheField>
    <cacheField name="Current Salary" uniqueList="1" numFmtId="0" sqlType="0" hierarchy="0" level="0" databaseField="1">
      <sharedItems count="32" containsBlank="1">
        <s v="10.2 LPA"/>
        <s v="18 LPA"/>
        <s v="22.50 LPA"/>
        <m/>
        <s v="13 LPA"/>
        <s v="25 LPA"/>
        <s v="22 LPA"/>
        <s v="26 LPA"/>
        <s v="7 LPA"/>
        <s v="8 LPA"/>
        <s v="6 LPA"/>
        <s v="7.5 LPA"/>
        <s v="7.50 LPA"/>
        <s v="4.9 LPA"/>
        <s v="20 LPA"/>
        <s v="9.2 LPA"/>
        <s v="12 LPA"/>
        <s v="4 LPA"/>
        <s v="14 LPA"/>
        <s v="3.8LPA"/>
        <s v="4.3LPA"/>
        <s v="5LPA"/>
        <s v="4.5LPA"/>
        <s v="11 LPA"/>
        <s v="4.30 LPA"/>
        <s v="4.5 LPA"/>
        <s v="4.8 LPA"/>
        <s v="14.70 LPA"/>
        <s v="9.8 LPA"/>
        <s v="5.5 LPA"/>
        <s v="16 LPA"/>
        <s v="19 LPA"/>
      </sharedItems>
    </cacheField>
    <cacheField name="Expected Salary" uniqueList="1" numFmtId="0" sqlType="0" hierarchy="0" level="0" databaseField="1">
      <sharedItems count="29" containsBlank="1">
        <s v="16 LPA"/>
        <s v="33 LPA"/>
        <s v="32 LPA"/>
        <m/>
        <s v="As per the company standard"/>
        <s v="28 LPA"/>
        <s v="13.50 LPA"/>
        <s v="13 LPA"/>
        <s v="10 LPA"/>
        <s v="15 LPA"/>
        <s v="12 LPA"/>
        <s v="9 LPA"/>
        <s v="25 LPA"/>
        <s v="14 LPA"/>
        <s v="20 LPA"/>
        <s v="6.5 LPA - 7 LPA"/>
        <s v="18 LPA"/>
        <s v="7-8LPA"/>
        <s v="7.25LPA"/>
        <s v="8-9LPA"/>
        <s v="8LPA"/>
        <s v="21 LPA"/>
        <s v="40% Hike"/>
        <s v="23 LPA"/>
        <s v="8 LPA"/>
        <s v="19 LPA"/>
        <s v="18-20 LPA"/>
        <s v="26 LPA"/>
        <s v="22 LPA"/>
      </sharedItems>
    </cacheField>
    <cacheField name="comments2" uniqueList="1" numFmtId="0" sqlType="0" hierarchy="0" level="0" databaseField="1">
      <sharedItems count="26" containsBlank="1">
        <s v="candidate backed out"/>
        <m/>
        <s v="don't have any cloud exp"/>
        <s v="2 Months "/>
        <s v="Immediate"/>
        <s v="1 Month"/>
        <s v="Immediate "/>
        <s v="7th Feb last date"/>
        <s v="30 Days"/>
        <s v="90 Days(Negotiable t0 45)"/>
        <s v="15 Days"/>
        <s v="90 Days(Negotioable to 45days0"/>
        <s v="60 Days(Negotiable to 30days)"/>
        <s v="Immediate Joiner"/>
        <s v="Can join after 15 days"/>
        <s v="3 months"/>
        <s v="45 days  nego to 30 Days"/>
        <s v="10 Feb last working"/>
        <s v="90Days"/>
        <s v="90 days"/>
        <s v="60 Days"/>
        <s v="20 Days"/>
        <s v="60 Days(Negotioable to 45days)"/>
        <s v="1 Month(March15th last working)"/>
        <s v="Alreay holding 2offers"/>
        <s v="90 Days(60 NE)"/>
      </sharedItems>
    </cacheField>
    <cacheField name=" " uniqueList="1" numFmtId="0" sqlType="0" hierarchy="0" level="0" databaseField="1">
      <sharedItems count="2" containsBlank="1">
        <m/>
        <s v="Joining on 20jan"/>
      </sharedItems>
    </cacheField>
  </cacheFields>
</pivotCacheDefinition>
</file>

<file path=xl/pivotCache/pivotCacheDefinition2.xml><?xml version="1.0" encoding="utf-8"?>
<pivotCacheDefinition xmlns="http://schemas.openxmlformats.org/spreadsheetml/2006/main" invalid="1" refreshOnLoad="1">
  <cacheSource type="worksheet">
    <worksheetSource ref="A1:M79" sheet="Duplicate Master Data"/>
  </cacheSource>
  <cacheFields count="13">
    <cacheField name="Recruiter Name" uniqueList="1" numFmtId="0" sqlType="0" hierarchy="0" level="0" databaseField="1">
      <sharedItems count="3">
        <s v="Vijay Anand"/>
        <s v="Sarath"/>
        <s v="Arohi"/>
      </sharedItems>
    </cacheField>
    <cacheField name="Date" uniqueList="1" sqlType="0" hierarchy="0" level="0" databaseField="1">
      <sharedItems count="14" containsDate="1" containsMixedTypes="1" containsSemiMixedTypes="0" containsString="0">
        <d v="2025-01-08T00:00:00"/>
        <d v="2025-01-09T00:00:00"/>
        <n v="45666"/>
        <d v="2025-01-10T00:00:00"/>
        <d v="2025-01-13T00:00:00"/>
        <d v="2025-01-14T00:00:00"/>
        <d v="2025-01-15T00:00:00"/>
        <d v="2025-01-16T00:00:00"/>
        <d v="2025-01-20T00:00:00"/>
        <d v="2025-01-29T00:00:00"/>
        <d v="2025-01-30T00:00:00"/>
        <d v="2025-01-31T00:00:00"/>
        <d v="2025-02-11T00:00:00"/>
        <d v="2025-02-25T00:00:00"/>
      </sharedItems>
    </cacheField>
    <cacheField name="Month" uniqueList="1" numFmtId="0" sqlType="0" hierarchy="0" level="0" databaseField="1">
      <sharedItems count="2">
        <s v="January"/>
        <s v="February"/>
      </sharedItems>
    </cacheField>
    <cacheField name="Candidate Name" uniqueList="1" numFmtId="0" sqlType="0" hierarchy="0" level="0" databaseField="1">
      <sharedItems count="77">
        <s v="Sandhya S"/>
        <s v="Bakya Vijayan"/>
        <s v="Naveen Asapu"/>
        <s v="Alaghu Sundram"/>
        <s v="Jegan P"/>
        <s v="Naresh Ponnusamy"/>
        <s v="Syed Hameed"/>
        <s v="Pradeepraj Arumugam"/>
        <s v="Sivakumar Kandappan"/>
        <s v="Venkatesh Prabhu"/>
        <s v="Dibakar Hazra"/>
        <s v="Mayank Khandelwal"/>
        <s v="Aravindkumar Perumal"/>
        <s v="Noorul Sirajudeen"/>
        <s v="Ruth Angel Balu"/>
        <s v="Jagadeesh Murugaiyan"/>
        <s v="Ashok Hariharan"/>
        <s v="Elangovan Mathan"/>
        <s v="Nirmalkumar Neelamegan"/>
        <s v="Vinodhini Martin "/>
        <s v="Preethi Sekar"/>
        <s v="Mathan Kumar S"/>
        <s v="Owais Nismo"/>
        <s v="Kamatchi venkatesan"/>
        <s v="Humera Yasmeen"/>
        <s v="Indiver Piyush"/>
        <s v="Bibin Christopher"/>
        <s v="Tamil Selvan"/>
        <s v="Harish Sundhar"/>
        <s v="Abinaya S"/>
        <s v="Ramya Muthuraman"/>
        <s v="Elangovan Murugan"/>
        <s v="Ram Kumar"/>
        <s v="Vanishri Boopathy"/>
        <s v="Hareharan R S"/>
        <s v="Rohith H"/>
        <s v="Santhosh S"/>
        <s v="Anandh C"/>
        <s v="Thulasiram M"/>
        <s v="Rengashree R"/>
        <s v="Santhiya Ravi"/>
        <s v="Mohamed Irfan F"/>
        <s v="Arun R"/>
        <s v="Vengatesh V"/>
        <s v="Prawin Krishna"/>
        <s v="Manoj Kumar"/>
        <s v="Mohamed Rahmatullah"/>
        <s v="L Satheesh Kumar"/>
        <s v="Srinu Nagula"/>
        <s v="Raja"/>
        <s v="Bhuvaneswari Devi"/>
        <s v="Gayathri Srinivasan"/>
        <s v="Vinodh Kumar"/>
        <s v="Jagadeesh Korraee"/>
        <s v="Raman Seshadri"/>
        <s v="Arun Athithyan"/>
        <s v="Mahammed Abdul"/>
        <s v="Shivam Chauhan"/>
        <s v="Ibrahim A"/>
        <s v="Meenakshi Kumar"/>
        <s v="Ramya Maheswari"/>
        <s v="Kokila P"/>
        <s v="Amsath Ali"/>
        <s v="Saurav Kumar"/>
        <s v="Sasi Kumar"/>
        <s v="Varshini M"/>
        <s v="Priyadarshini Murugan"/>
        <s v="Prakash S"/>
        <s v="Prabakar Raja"/>
        <s v="Muthu Karuppasamy"/>
        <s v="Dhanavandhan K"/>
        <s v="Lavanya"/>
        <s v="Kanimozli"/>
        <s v="Sudhakar"/>
        <s v="Nagalaskmi"/>
        <s v="Harikrishnan R"/>
        <s v="Thirugnasambandhar"/>
      </sharedItems>
    </cacheField>
    <cacheField name="Contact Number" uniqueList="1" numFmtId="0" sqlType="0" hierarchy="0" level="0" databaseField="1">
      <sharedItems count="77" containsInteger="1" containsNumber="1" containsSemiMixedTypes="0" containsString="0">
        <n v="8667092941"/>
        <n v="9600790511"/>
        <n v="8124457892"/>
        <n v="8939114429"/>
        <n v="7904841246"/>
        <n v="8015392688"/>
        <n v="9025729639"/>
        <n v="9943300927"/>
        <n v="6381585734"/>
        <n v="7010645183"/>
        <n v="7908313425"/>
        <n v="9871532875"/>
        <n v="9629284742"/>
        <n v="9677909469"/>
        <n v="9952981253"/>
        <n v="9677231132"/>
        <n v="9894887733"/>
        <n v="9500866068"/>
        <n v="7339451508"/>
        <n v="9025831044"/>
        <n v="7358129494"/>
        <n v="8248540437"/>
        <n v="9074086377"/>
        <n v="9600241024"/>
        <n v="7598459786"/>
        <n v="8148859722"/>
        <n v="6383938335"/>
        <n v="7010349163"/>
        <n v="8973631907"/>
        <n v="9360174449"/>
        <n v="7339092698"/>
        <n v="8056732185"/>
        <n v="8610028776"/>
        <n v="9677228396"/>
        <n v="7358207040"/>
        <n v="9884538089"/>
        <n v="8838295808"/>
        <n v="8838249278"/>
        <n v="7708735444"/>
        <n v="9342272661"/>
        <n v="8015647157"/>
        <n v="9566676562"/>
        <n v="9384594294"/>
        <n v="9788874996"/>
        <n v="9551741668"/>
        <n v="8778178737"/>
        <n v="8939732284"/>
        <n v="95978876055"/>
        <n v="9701430042"/>
        <n v="9842628783"/>
        <n v="9701244844"/>
        <n v="6382294895"/>
        <n v="8019144327"/>
        <n v="9642497850"/>
        <n v="9499955041"/>
        <n v="9788242496"/>
        <n v="9150396516"/>
        <n v="7017000093"/>
        <n v="7871157867"/>
        <n v="7092382985"/>
        <n v="8939703368"/>
        <n v="8072128911"/>
        <n v="9886045732"/>
        <n v="9078799175"/>
        <n v="6303786560"/>
        <n v="9585302629"/>
        <n v="9788952997"/>
        <n v="9944551807"/>
        <n v="9500664216"/>
        <n v="9080024928"/>
        <n v="6374053802"/>
        <n v="9962628126"/>
        <n v="9148582928"/>
        <n v="9840319606"/>
        <n v="9566984949"/>
        <n v="9061002008"/>
        <n v="9994356559"/>
      </sharedItems>
    </cacheField>
    <cacheField name="Current Location" uniqueList="1" numFmtId="0" sqlType="0" hierarchy="0" level="0" databaseField="1">
      <sharedItems count="4">
        <s v="Chennai"/>
        <s v="Kovilpatti"/>
        <s v="Noida"/>
        <s v="Bangalore"/>
      </sharedItems>
    </cacheField>
    <cacheField name="Req Title" uniqueList="1" numFmtId="0" sqlType="0" hierarchy="0" level="0" databaseField="1">
      <sharedItems count="2">
        <s v="Full Stack Developer"/>
        <s v="DBA"/>
      </sharedItems>
    </cacheField>
    <cacheField name="Screening Status" uniqueList="1" numFmtId="0" sqlType="0" hierarchy="0" level="0" databaseField="1">
      <sharedItems count="6">
        <s v="Candidate Withdrawn"/>
        <s v="Telephonic Screening"/>
        <s v="ZN Submission"/>
        <s v="ZN Hire"/>
        <s v="ZN Interview"/>
        <s v="ZN Offer"/>
      </sharedItems>
    </cacheField>
    <cacheField name="Comments" uniqueList="1" numFmtId="0" sqlType="0" hierarchy="0" level="0" databaseField="1">
      <sharedItems count="26" containsBlank="1">
        <s v="Backed out"/>
        <s v="Reject- Budget Constraint"/>
        <s v="Reject"/>
        <s v="Reject- 3 months NP"/>
        <s v="Not intrested"/>
        <s v="Beyond the budget"/>
        <s v="Beyond Budget"/>
        <s v="Offer accepted"/>
        <s v="need to send"/>
        <m/>
        <s v="Rejected"/>
        <s v="On 14-01-25"/>
        <s v="Selected"/>
        <s v="Submitted for Review"/>
        <s v="On hold due to high exp"/>
        <s v="He needs time to think about the opportunity with ZeroNorth"/>
        <s v="R1 completed - 14 Feb (awaiting feedback)"/>
        <s v="L1-TBRS"/>
        <s v="Review"/>
        <s v="Duplication - ZN already have resume"/>
        <s v="Reject - 3 months NP"/>
        <s v="He has 90days notice period"/>
        <s v="Put on hold(due to budget/NP)"/>
        <s v="Bugdet constrain"/>
        <s v="Reject-looking for remote only"/>
        <s v="High expectation"/>
      </sharedItems>
    </cacheField>
    <cacheField name="Current Salary" uniqueList="1" numFmtId="0" sqlType="0" hierarchy="0" level="0" databaseField="1">
      <sharedItems count="32" containsBlank="1">
        <s v="10.2 LPA"/>
        <s v="18 LPA"/>
        <s v="22.50 LPA"/>
        <m/>
        <s v="13 LPA"/>
        <s v="25 LPA"/>
        <s v="22 LPA"/>
        <s v="26 LPA"/>
        <s v="7 LPA"/>
        <s v="8 LPA"/>
        <s v="6 LPA"/>
        <s v="7.5 LPA"/>
        <s v="7.50 LPA"/>
        <s v="4.9 LPA"/>
        <s v="20 LPA"/>
        <s v="9.2 LPA"/>
        <s v="12 LPA"/>
        <s v="4 LPA"/>
        <s v="14 LPA"/>
        <s v="3.8LPA"/>
        <s v="4.3LPA"/>
        <s v="5LPA"/>
        <s v="4.5LPA"/>
        <s v="11 LPA"/>
        <s v="4.30 LPA"/>
        <s v="4.5 LPA"/>
        <s v="4.8 LPA"/>
        <s v="14.70 LPA"/>
        <s v="9.8 LPA"/>
        <s v="5.5 LPA"/>
        <s v="16 LPA"/>
        <s v="19 LPA"/>
      </sharedItems>
    </cacheField>
    <cacheField name="Expected Salary" uniqueList="1" numFmtId="0" sqlType="0" hierarchy="0" level="0" databaseField="1">
      <sharedItems count="29" containsBlank="1">
        <s v="16 LPA"/>
        <s v="33 LPA"/>
        <s v="32 LPA"/>
        <m/>
        <s v="As per the company standard"/>
        <s v="28 LPA"/>
        <s v="13.50 LPA"/>
        <s v="13 LPA"/>
        <s v="10 LPA"/>
        <s v="15 LPA"/>
        <s v="12 LPA"/>
        <s v="9 LPA"/>
        <s v="25 LPA"/>
        <s v="14 LPA"/>
        <s v="20 LPA"/>
        <s v="6.5 LPA - 7 LPA"/>
        <s v="18 LPA"/>
        <s v="7-8LPA"/>
        <s v="7.25LPA"/>
        <s v="8-9LPA"/>
        <s v="8LPA"/>
        <s v="21 LPA"/>
        <s v="40% Hike"/>
        <s v="23 LPA"/>
        <s v="8 LPA"/>
        <s v="19 LPA"/>
        <s v="18-20 LPA"/>
        <s v="26 LPA"/>
        <s v="22 LPA"/>
      </sharedItems>
    </cacheField>
    <cacheField name="comments2" uniqueList="1" numFmtId="0" sqlType="0" hierarchy="0" level="0" databaseField="1">
      <sharedItems count="26" containsBlank="1">
        <s v="candidate backed out"/>
        <m/>
        <s v="don't have any cloud exp"/>
        <s v="2 Months "/>
        <s v="Immediate"/>
        <s v="1 Month"/>
        <s v="Immediate "/>
        <s v="7th Feb last date"/>
        <s v="30 Days"/>
        <s v="90 Days(Negotiable t0 45)"/>
        <s v="15 Days"/>
        <s v="90 Days(Negotioable to 45days0"/>
        <s v="60 Days(Negotiable to 30days)"/>
        <s v="Immediate Joiner"/>
        <s v="Can join after 15 days"/>
        <s v="3 months"/>
        <s v="45 days  nego to 30 Days"/>
        <s v="10 Feb last working"/>
        <s v="90Days"/>
        <s v="90 days"/>
        <s v="60 Days"/>
        <s v="20 Days"/>
        <s v="60 Days(Negotioable to 45days)"/>
        <s v="1 Month(March15th last working)"/>
        <s v="Alreay holding 2offers"/>
        <s v="90 Days(60 NE)"/>
      </sharedItems>
    </cacheField>
    <cacheField name=" " uniqueList="1" numFmtId="0" sqlType="0" hierarchy="0" level="0" databaseField="1">
      <sharedItems count="2" containsBlank="1">
        <m/>
        <s v="Joining on 20jan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 Table - Master Data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1:H5" firstHeaderRow="0" firstDataRow="1" firstDataCol="1"/>
  <pivotFields count="13">
    <pivotField name="Recruiter Name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Date" showDropDowns="1" compact="0" outline="0" subtotalTop="1" dragToRow="1" dragToCol="1" multipleItemSelectionAllowed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name="Month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Candidate Name" showDropDowns="1" compact="0" outline="0" subtotalTop="1" dragToRow="1" dragToCol="1" multipleItemSelectionAllowed="1" dragToPage="1" dragToData="1" dragOff="1" showAll="0" topAutoShow="1" itemPageCount="10" sortType="manual" defaultSubtotal="1">
      <items count="7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efault" sd="1"/>
      </items>
    </pivotField>
    <pivotField name="Contact Number" showDropDowns="1" compact="0" outline="0" subtotalTop="1" dragToRow="1" dragToCol="1" multipleItemSelectionAllowed="1" dragToPage="1" dragToData="1" dragOff="1" showAll="0" topAutoShow="1" itemPageCount="10" sortType="manual" defaultSubtotal="1">
      <items count="7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efault" sd="1"/>
      </items>
    </pivotField>
    <pivotField name="Current Location" showDropDowns="1" compact="0" outline="0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name="Req Title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1"/>
        <item t="data" sd="1" x="0"/>
        <item t="default" sd="1"/>
      </items>
    </pivotField>
    <pivotField name="Screening Status" axis="axisCol" dataField="1" showDropDowns="1" compact="0" outline="0" subtotalTop="1" dragToRow="1" dragToCol="1" multipleItemSelectionAllowed="1" dragToPage="1" dragToData="1" dragOff="1" showAll="0" topAutoShow="1" itemPageCount="10" sortType="ascending" defaultSubtotal="1">
      <items count="7">
        <item t="data" sd="1" x="0"/>
        <item t="data" sd="1" x="1"/>
        <item t="data" sd="1" x="3"/>
        <item t="data" sd="1" x="4"/>
        <item t="data" sd="1" x="5"/>
        <item t="data" sd="1" x="2"/>
        <item t="default" sd="1"/>
      </items>
    </pivotField>
    <pivotField name="Comments" showDropDowns="1" compact="0" outline="0" subtotalTop="1" dragToRow="1" dragToCol="1" multipleItemSelectionAllowed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name="Current Salary" showDropDowns="1" compact="0" outline="0" subtotalTop="1" dragToRow="1" dragToCol="1" multipleItemSelectionAllowed="1" dragToPage="1" dragToData="1" dragOff="1" showAll="0" topAutoShow="1" itemPageCount="10" sortType="manual" defaultSubtotal="1">
      <items count="3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efault" sd="1"/>
      </items>
    </pivotField>
    <pivotField name="Expected Salary" showDropDowns="1" compact="0" outline="0" subtotalTop="1" dragToRow="1" dragToCol="1" multipleItemSelectionAllowed="1" dragToPage="1" dragToData="1" dragOff="1" showAll="0" topAutoShow="1" itemPageCount="10" sortType="manual" defaultSubtotal="1">
      <items count="3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efault" sd="1"/>
      </items>
    </pivotField>
    <pivotField name="comments2" showDropDowns="1" compact="0" outline="0" subtotalTop="1" dragToRow="1" dragToCol="1" multipleItemSelectionAllowed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name=" 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1">
    <field x="6"/>
  </rowFields>
  <colFields count="1">
    <field x="7"/>
  </colFields>
  <dataFields count="1">
    <dataField name="COUNTA of Screening Status" fld="7" subtotal="count" showDataAs="normal" baseField="0" baseItem="1048832"/>
  </dataFields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 Table 5" cacheId="1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1:H5" firstHeaderRow="0" firstDataRow="1" firstDataCol="1"/>
  <pivotFields count="13">
    <pivotField name="Recruiter Name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Date" showDropDowns="1" compact="0" outline="0" subtotalTop="1" dragToRow="1" dragToCol="1" multipleItemSelectionAllowed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name="Month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Candidate Name" showDropDowns="1" compact="0" outline="0" subtotalTop="1" dragToRow="1" dragToCol="1" multipleItemSelectionAllowed="1" dragToPage="1" dragToData="1" dragOff="1" showAll="0" topAutoShow="1" itemPageCount="10" sortType="manual" defaultSubtotal="1">
      <items count="7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efault" sd="1"/>
      </items>
    </pivotField>
    <pivotField name="Contact Number" showDropDowns="1" compact="0" outline="0" subtotalTop="1" dragToRow="1" dragToCol="1" multipleItemSelectionAllowed="1" dragToPage="1" dragToData="1" dragOff="1" showAll="0" topAutoShow="1" itemPageCount="10" sortType="manual" defaultSubtotal="1">
      <items count="7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efault" sd="1"/>
      </items>
    </pivotField>
    <pivotField name="Current Location" showDropDowns="1" compact="0" outline="0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name="Req Title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1"/>
        <item t="data" sd="1" x="0"/>
        <item t="default" sd="1"/>
      </items>
    </pivotField>
    <pivotField name="Screening Status" axis="axisCol" dataField="1" showDropDowns="1" compact="0" outline="0" subtotalTop="1" dragToRow="1" dragToCol="1" multipleItemSelectionAllowed="1" dragToPage="1" dragToData="1" dragOff="1" showAll="0" topAutoShow="1" itemPageCount="10" sortType="ascending" defaultSubtotal="1">
      <items count="7">
        <item t="data" sd="1" x="0"/>
        <item t="data" sd="1" x="1"/>
        <item t="data" sd="1" x="3"/>
        <item t="data" sd="1" x="4"/>
        <item t="data" sd="1" x="5"/>
        <item t="data" sd="1" x="2"/>
        <item t="default" sd="1"/>
      </items>
    </pivotField>
    <pivotField name="Comments" showDropDowns="1" compact="0" outline="0" subtotalTop="1" dragToRow="1" dragToCol="1" multipleItemSelectionAllowed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name="Current Salary" showDropDowns="1" compact="0" outline="0" subtotalTop="1" dragToRow="1" dragToCol="1" multipleItemSelectionAllowed="1" dragToPage="1" dragToData="1" dragOff="1" showAll="0" topAutoShow="1" itemPageCount="10" sortType="manual" defaultSubtotal="1">
      <items count="3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efault" sd="1"/>
      </items>
    </pivotField>
    <pivotField name="Expected Salary" showDropDowns="1" compact="0" outline="0" subtotalTop="1" dragToRow="1" dragToCol="1" multipleItemSelectionAllowed="1" dragToPage="1" dragToData="1" dragOff="1" showAll="0" topAutoShow="1" itemPageCount="10" sortType="manual" defaultSubtotal="1">
      <items count="3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efault" sd="1"/>
      </items>
    </pivotField>
    <pivotField name="comments2" showDropDowns="1" compact="0" outline="0" subtotalTop="1" dragToRow="1" dragToCol="1" multipleItemSelectionAllowed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name=" 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1">
    <field x="6"/>
  </rowFields>
  <colFields count="1">
    <field x="7"/>
  </colFields>
  <dataFields count="1">
    <dataField name="COUNTA of Screening Status" fld="7" subtotal="count" showDataAs="normal" baseField="0" baseItem="1048832"/>
  </dataFields>
</pivotTableDefinition>
</file>

<file path=xl/tables/table1.xml><?xml version="1.0" encoding="utf-8"?>
<table xmlns="http://schemas.openxmlformats.org/spreadsheetml/2006/main" id="1" name="tblMaster2026" displayName="tblMaster2026" ref="A1:M53" headerRowCount="1">
  <autoFilter ref="A1:M53"/>
  <tableColumns count="13">
    <tableColumn id="1" name="Recruiter Name"/>
    <tableColumn id="2" name="Date"/>
    <tableColumn id="3" name="Month"/>
    <tableColumn id="4" name="Candidate Name"/>
    <tableColumn id="5" name="Contact Number"/>
    <tableColumn id="6" name="Current Location"/>
    <tableColumn id="7" name="Req Title"/>
    <tableColumn id="8" name="Screening Status"/>
    <tableColumn id="9" name="Comments"/>
    <tableColumn id="10" name="Current Salary"/>
    <tableColumn id="11" name="Expected Salary"/>
    <tableColumn id="12" name="NP"/>
    <tableColumn id="13" name="Additional Notes"/>
  </tableColumns>
  <tableStyleInfo name="TableStyleLight9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mailto:elangovanmathan@outlook.com" TargetMode="External" Id="rId1" /><Relationship Type="http://schemas.openxmlformats.org/officeDocument/2006/relationships/hyperlink" Target="mailto:sandhya.0305s@gmail.com" TargetMode="External" Id="rId2" /><Relationship Type="http://schemas.openxmlformats.org/officeDocument/2006/relationships/hyperlink" Target="mailto:syedham29@gmail.com" TargetMode="External" Id="rId3" /><Relationship Type="http://schemas.openxmlformats.org/officeDocument/2006/relationships/hyperlink" Target="http://s.no/" TargetMode="External" Id="rId4" /><Relationship Type="http://schemas.openxmlformats.org/officeDocument/2006/relationships/hyperlink" Target="http://m.sc" TargetMode="External" Id="rId5" /><Relationship Type="http://schemas.openxmlformats.org/officeDocument/2006/relationships/hyperlink" Target="http://s.no/" TargetMode="External" Id="rId6" /></Relationships>
</file>

<file path=xl/worksheets/_rels/sheet1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1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002563EB"/>
    <outlinePr summaryBelow="1" summaryRight="1"/>
    <pageSetUpPr fitToPage="1"/>
  </sheetPr>
  <dimension ref="A1:S185"/>
  <sheetViews>
    <sheetView showGridLines="0" workbookViewId="0">
      <selection activeCell="A1" sqref="A1"/>
    </sheetView>
  </sheetViews>
  <sheetFormatPr baseColWidth="8" defaultRowHeight="15"/>
  <cols>
    <col width="2.2" customWidth="1" style="83" min="1" max="1"/>
    <col width="9.6" customWidth="1" style="83" min="2" max="2"/>
    <col width="9.6" customWidth="1" style="83" min="3" max="3"/>
    <col width="9.6" customWidth="1" style="83" min="4" max="4"/>
    <col width="9.6" customWidth="1" style="83" min="5" max="5"/>
    <col width="9.6" customWidth="1" style="83" min="6" max="6"/>
    <col width="9.6" customWidth="1" style="83" min="7" max="7"/>
    <col width="9.6" customWidth="1" style="83" min="8" max="8"/>
    <col width="9.6" customWidth="1" style="83" min="9" max="9"/>
    <col width="9.6" customWidth="1" style="83" min="10" max="10"/>
    <col width="9.6" customWidth="1" style="83" min="11" max="11"/>
    <col width="9.6" customWidth="1" style="83" min="12" max="12"/>
    <col width="9.6" customWidth="1" style="83" min="13" max="13"/>
    <col width="9.6" customWidth="1" style="83" min="14" max="14"/>
    <col width="9.6" customWidth="1" style="83" min="15" max="15"/>
    <col width="9.6" customWidth="1" style="83" min="16" max="16"/>
    <col width="9.6" customWidth="1" style="83" min="17" max="17"/>
    <col width="2.2" customWidth="1" style="83" min="18" max="18"/>
    <col width="2.2" customWidth="1" style="83" min="19" max="19"/>
  </cols>
  <sheetData>
    <row r="1" ht="8" customHeight="1" s="83">
      <c r="A1" s="84" t="n"/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26" customHeight="1" s="83">
      <c r="A2" s="84" t="n"/>
      <c r="B2" s="85" t="inlineStr">
        <is>
          <t>Recruitment Intelligence</t>
        </is>
      </c>
      <c r="L2" s="84" t="n"/>
      <c r="M2" s="84" t="n"/>
      <c r="N2" s="84" t="n"/>
      <c r="O2" s="86" t="str">
        <f>"Refreshed "&amp;TEXT(TODAY(),"d mmm yyyy")</f>
        <v>Refreshed 31 Aug 2026</v>
      </c>
      <c r="R2" s="84" t="n"/>
      <c r="S2" s="84" t="n"/>
    </row>
    <row r="3" ht="14" customHeight="1" s="83">
      <c r="A3" s="84" t="n"/>
      <c r="B3" s="87" t="inlineStr">
        <is>
          <t>Zeronorth talent pipeline · every figure below is a formula over Master Data-2026 and the Submission template — nothing is typed in.</t>
        </is>
      </c>
      <c r="O3" s="84" t="n"/>
      <c r="P3" s="84" t="n"/>
      <c r="Q3" s="84" t="n"/>
      <c r="R3" s="84" t="n"/>
      <c r="S3" s="84" t="n"/>
    </row>
    <row r="4" ht="10" customHeight="1" s="83">
      <c r="A4" s="84" t="n"/>
      <c r="B4" s="88" t="n"/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4" t="n"/>
      <c r="S4" s="84" t="n"/>
    </row>
    <row r="5" ht="6" customHeight="1" s="83">
      <c r="A5" s="84" t="n"/>
      <c r="B5" s="89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0" t="n"/>
      <c r="Q5" s="91" t="n"/>
      <c r="R5" s="84" t="n"/>
      <c r="S5" s="84" t="n"/>
    </row>
    <row r="6" ht="13" customHeight="1" s="83">
      <c r="A6" s="84" t="n"/>
      <c r="B6" s="92" t="inlineStr">
        <is>
          <t>RECRUITER</t>
        </is>
      </c>
      <c r="E6" s="93" t="inlineStr">
        <is>
          <t>LOCATION</t>
        </is>
      </c>
      <c r="H6" s="93" t="inlineStr">
        <is>
          <t>PIPELINE STAGE</t>
        </is>
      </c>
      <c r="K6" s="93" t="inlineStr">
        <is>
          <t>REQUISITION</t>
        </is>
      </c>
      <c r="N6" s="94" t="inlineStr">
        <is>
          <t>CURRENT SELECTION</t>
        </is>
      </c>
      <c r="Q6" s="95" t="n"/>
      <c r="R6" s="84" t="n"/>
      <c r="S6" s="84" t="n"/>
    </row>
    <row r="7" ht="21" customHeight="1" s="83">
      <c r="A7" s="84" t="n"/>
      <c r="B7" s="96" t="inlineStr">
        <is>
          <t>All</t>
        </is>
      </c>
      <c r="C7" s="97" t="n"/>
      <c r="D7" s="97" t="n"/>
      <c r="E7" s="96" t="inlineStr">
        <is>
          <t>All</t>
        </is>
      </c>
      <c r="F7" s="97" t="n"/>
      <c r="G7" s="97" t="n"/>
      <c r="H7" s="96" t="inlineStr">
        <is>
          <t>All</t>
        </is>
      </c>
      <c r="I7" s="97" t="n"/>
      <c r="J7" s="97" t="n"/>
      <c r="K7" s="96" t="inlineStr">
        <is>
          <t>All</t>
        </is>
      </c>
      <c r="L7" s="97" t="n"/>
      <c r="M7" s="97" t="n"/>
      <c r="N7" s="98" t="str">
        <f>"Showing "&amp;TEXT('Dashboard Calc'!$B$352,"0")&amp;" of "&amp;TEXT('Dashboard Calc'!$B$353,"0")&amp;" candidates"</f>
        <v>Showing 52 of 52 candidates</v>
      </c>
      <c r="Q7" s="95" t="n"/>
      <c r="R7" s="84" t="n"/>
      <c r="S7" s="84" t="n"/>
    </row>
    <row r="8" ht="7" customHeight="1" s="83">
      <c r="A8" s="84" t="n"/>
      <c r="B8" s="99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1" t="n"/>
      <c r="R8" s="84" t="n"/>
      <c r="S8" s="84" t="n"/>
    </row>
    <row r="9" ht="12" customHeight="1" s="83">
      <c r="A9" s="84" t="n"/>
      <c r="B9" s="84" t="n"/>
      <c r="C9" s="84" t="n"/>
      <c r="D9" s="84" t="n"/>
      <c r="E9" s="84" t="n"/>
      <c r="F9" s="84" t="n"/>
      <c r="G9" s="84" t="n"/>
      <c r="H9" s="84" t="n"/>
      <c r="I9" s="84" t="n"/>
      <c r="J9" s="84" t="n"/>
      <c r="K9" s="84" t="n"/>
      <c r="L9" s="84" t="n"/>
      <c r="M9" s="84" t="n"/>
      <c r="N9" s="84" t="n"/>
      <c r="O9" s="84" t="n"/>
      <c r="P9" s="84" t="n"/>
      <c r="Q9" s="84" t="n"/>
      <c r="R9" s="84" t="n"/>
      <c r="S9" s="84" t="n"/>
    </row>
    <row r="10" ht="6" customHeight="1" s="83">
      <c r="A10" s="84" t="n"/>
      <c r="B10" s="89" t="n"/>
      <c r="C10" s="90" t="n"/>
      <c r="D10" s="90" t="n"/>
      <c r="E10" s="91" t="n"/>
      <c r="F10" s="89" t="n"/>
      <c r="G10" s="90" t="n"/>
      <c r="H10" s="90" t="n"/>
      <c r="I10" s="91" t="n"/>
      <c r="J10" s="89" t="n"/>
      <c r="K10" s="90" t="n"/>
      <c r="L10" s="90" t="n"/>
      <c r="M10" s="91" t="n"/>
      <c r="N10" s="89" t="n"/>
      <c r="O10" s="90" t="n"/>
      <c r="P10" s="90" t="n"/>
      <c r="Q10" s="91" t="n"/>
      <c r="R10" s="84" t="n"/>
      <c r="S10" s="84" t="n"/>
    </row>
    <row r="11" ht="13" customHeight="1" s="83">
      <c r="A11" s="84" t="n"/>
      <c r="B11" s="102" t="inlineStr">
        <is>
          <t>CANDIDATES IN PIPELINE</t>
        </is>
      </c>
      <c r="E11" s="95" t="n"/>
      <c r="F11" s="102" t="inlineStr">
        <is>
          <t>SUBMITTED TO CLIENT</t>
        </is>
      </c>
      <c r="I11" s="95" t="n"/>
      <c r="J11" s="102" t="inlineStr">
        <is>
          <t>IN CLIENT INTERVIEW</t>
        </is>
      </c>
      <c r="M11" s="95" t="n"/>
      <c r="N11" s="102" t="inlineStr">
        <is>
          <t>OFFERS AND HIRES</t>
        </is>
      </c>
      <c r="Q11" s="95" t="n"/>
      <c r="R11" s="84" t="n"/>
      <c r="S11" s="84" t="n"/>
    </row>
    <row r="12" ht="27" customHeight="1" s="83">
      <c r="A12" s="84" t="n"/>
      <c r="B12" s="103">
        <f>'Dashboard Calc'!$B$352</f>
        <v>52</v>
      </c>
      <c r="E12" s="95" t="n"/>
      <c r="F12" s="103">
        <f>'Dashboard Calc'!$B$356</f>
        <v>23</v>
      </c>
      <c r="I12" s="95" t="n"/>
      <c r="J12" s="103">
        <f>'Dashboard Calc'!$B$357</f>
        <v>3</v>
      </c>
      <c r="M12" s="95" t="n"/>
      <c r="N12" s="104">
        <f>'Dashboard Calc'!$B$358</f>
        <v>0</v>
      </c>
      <c r="Q12" s="95" t="n"/>
      <c r="R12" s="84" t="n"/>
      <c r="S12" s="84" t="n"/>
    </row>
    <row r="13" ht="13" customHeight="1" s="83">
      <c r="A13" s="84" t="n"/>
      <c r="B13" s="105" t="str">
        <f>"of "&amp;TEXT('Dashboard Calc'!$B$353,"0")&amp;" on file in Master Data-2026"</f>
        <v>of 52 on file in Master Data-2026</v>
      </c>
      <c r="E13" s="95" t="n"/>
      <c r="F13" s="105" t="str">
        <f>TEXT('Dashboard Calc'!$B$361,"0%")&amp;" of the filtered pipeline"</f>
        <v>44% of the filtered pipeline</v>
      </c>
      <c r="I13" s="95" t="n"/>
      <c r="J13" s="105" t="str">
        <f>TEXT('Dashboard Calc'!$B$362,"0%")&amp;" of submitted candidates"</f>
        <v>13% of submitted candidates</v>
      </c>
      <c r="M13" s="95" t="n"/>
      <c r="N13" s="105" t="str">
        <f>"Offer stage and beyond"</f>
        <v>Offer stage and beyond</v>
      </c>
      <c r="Q13" s="95" t="n"/>
      <c r="R13" s="84" t="n"/>
      <c r="S13" s="84" t="n"/>
    </row>
    <row r="14" ht="7" customHeight="1" s="83">
      <c r="A14" s="84" t="n"/>
      <c r="B14" s="99" t="n"/>
      <c r="C14" s="100" t="n"/>
      <c r="D14" s="100" t="n"/>
      <c r="E14" s="101" t="n"/>
      <c r="F14" s="99" t="n"/>
      <c r="G14" s="100" t="n"/>
      <c r="H14" s="100" t="n"/>
      <c r="I14" s="101" t="n"/>
      <c r="J14" s="99" t="n"/>
      <c r="K14" s="100" t="n"/>
      <c r="L14" s="100" t="n"/>
      <c r="M14" s="101" t="n"/>
      <c r="N14" s="99" t="n"/>
      <c r="O14" s="100" t="n"/>
      <c r="P14" s="100" t="n"/>
      <c r="Q14" s="101" t="n"/>
      <c r="R14" s="84" t="n"/>
      <c r="S14" s="84" t="n"/>
    </row>
    <row r="15" ht="6" customHeight="1" s="83">
      <c r="A15" s="84" t="n"/>
      <c r="B15" s="84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 t="n"/>
      <c r="P15" s="84" t="n"/>
      <c r="Q15" s="84" t="n"/>
      <c r="R15" s="84" t="n"/>
      <c r="S15" s="84" t="n"/>
    </row>
    <row r="16" ht="6" customHeight="1" s="83">
      <c r="A16" s="84" t="n"/>
      <c r="B16" s="89" t="n"/>
      <c r="C16" s="90" t="n"/>
      <c r="D16" s="90" t="n"/>
      <c r="E16" s="91" t="n"/>
      <c r="F16" s="89" t="n"/>
      <c r="G16" s="90" t="n"/>
      <c r="H16" s="90" t="n"/>
      <c r="I16" s="91" t="n"/>
      <c r="J16" s="89" t="n"/>
      <c r="K16" s="90" t="n"/>
      <c r="L16" s="90" t="n"/>
      <c r="M16" s="91" t="n"/>
      <c r="N16" s="89" t="n"/>
      <c r="O16" s="90" t="n"/>
      <c r="P16" s="90" t="n"/>
      <c r="Q16" s="91" t="n"/>
      <c r="R16" s="84" t="n"/>
      <c r="S16" s="84" t="n"/>
    </row>
    <row r="17" ht="13" customHeight="1" s="83">
      <c r="A17" s="84" t="n"/>
      <c r="B17" s="102" t="inlineStr">
        <is>
          <t>AT TELEPHONIC SCREENING</t>
        </is>
      </c>
      <c r="E17" s="95" t="n"/>
      <c r="F17" s="102" t="inlineStr">
        <is>
          <t>WITHDRAWN / LOST</t>
        </is>
      </c>
      <c r="I17" s="95" t="n"/>
      <c r="J17" s="102" t="inlineStr">
        <is>
          <t>SUBMISSION RATE</t>
        </is>
      </c>
      <c r="M17" s="95" t="n"/>
      <c r="N17" s="102" t="inlineStr">
        <is>
          <t>SCREEN TO INTERVIEW</t>
        </is>
      </c>
      <c r="Q17" s="95" t="n"/>
      <c r="R17" s="84" t="n"/>
      <c r="S17" s="84" t="n"/>
    </row>
    <row r="18" ht="27" customHeight="1" s="83">
      <c r="A18" s="84" t="n"/>
      <c r="B18" s="106">
        <f>'Dashboard Calc'!$B$355</f>
        <v>29</v>
      </c>
      <c r="E18" s="95" t="n"/>
      <c r="F18" s="107">
        <f>'Dashboard Calc'!$B$359</f>
        <v>0</v>
      </c>
      <c r="I18" s="95" t="n"/>
      <c r="J18" s="108">
        <f>'Dashboard Calc'!$B$361</f>
        <v>0.4423076923076923</v>
      </c>
      <c r="M18" s="95" t="n"/>
      <c r="N18" s="108">
        <f>'Dashboard Calc'!$B$362</f>
        <v>0.13043478260869565</v>
      </c>
      <c r="Q18" s="95" t="n"/>
      <c r="R18" s="84" t="n"/>
      <c r="S18" s="84" t="n"/>
    </row>
    <row r="19" ht="13" customHeight="1" s="83">
      <c r="A19" s="84" t="n"/>
      <c r="B19" s="105" t="str">
        <f>"Earliest live stage"</f>
        <v>Earliest live stage</v>
      </c>
      <c r="E19" s="95" t="n"/>
      <c r="F19" s="105" t="str">
        <f>"Exited the process"</f>
        <v>Exited the process</v>
      </c>
      <c r="I19" s="95" t="n"/>
      <c r="J19" s="105" t="str">
        <f>"Pipeline converted to client submission"</f>
        <v>Pipeline converted to client submission</v>
      </c>
      <c r="M19" s="95" t="n"/>
      <c r="N19" s="105" t="str">
        <f>"Submissions converted to interview"</f>
        <v>Submissions converted to interview</v>
      </c>
      <c r="Q19" s="95" t="n"/>
      <c r="R19" s="84" t="n"/>
      <c r="S19" s="84" t="n"/>
    </row>
    <row r="20" ht="7" customHeight="1" s="83">
      <c r="A20" s="84" t="n"/>
      <c r="B20" s="99" t="n"/>
      <c r="C20" s="100" t="n"/>
      <c r="D20" s="100" t="n"/>
      <c r="E20" s="101" t="n"/>
      <c r="F20" s="99" t="n"/>
      <c r="G20" s="100" t="n"/>
      <c r="H20" s="100" t="n"/>
      <c r="I20" s="101" t="n"/>
      <c r="J20" s="99" t="n"/>
      <c r="K20" s="100" t="n"/>
      <c r="L20" s="100" t="n"/>
      <c r="M20" s="101" t="n"/>
      <c r="N20" s="99" t="n"/>
      <c r="O20" s="100" t="n"/>
      <c r="P20" s="100" t="n"/>
      <c r="Q20" s="101" t="n"/>
      <c r="R20" s="84" t="n"/>
      <c r="S20" s="84" t="n"/>
    </row>
    <row r="21" ht="6" customHeight="1" s="83">
      <c r="A21" s="84" t="n"/>
      <c r="B21" s="84" t="n"/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</row>
    <row r="22" ht="6" customHeight="1" s="83">
      <c r="A22" s="84" t="n"/>
      <c r="B22" s="89" t="n"/>
      <c r="C22" s="90" t="n"/>
      <c r="D22" s="90" t="n"/>
      <c r="E22" s="91" t="n"/>
      <c r="F22" s="89" t="n"/>
      <c r="G22" s="90" t="n"/>
      <c r="H22" s="90" t="n"/>
      <c r="I22" s="91" t="n"/>
      <c r="J22" s="89" t="n"/>
      <c r="K22" s="90" t="n"/>
      <c r="L22" s="90" t="n"/>
      <c r="M22" s="91" t="n"/>
      <c r="N22" s="89" t="n"/>
      <c r="O22" s="90" t="n"/>
      <c r="P22" s="90" t="n"/>
      <c r="Q22" s="91" t="n"/>
      <c r="R22" s="84" t="n"/>
      <c r="S22" s="84" t="n"/>
    </row>
    <row r="23" ht="13" customHeight="1" s="83">
      <c r="A23" s="84" t="n"/>
      <c r="B23" s="102" t="inlineStr">
        <is>
          <t>AVG CURRENT CTC</t>
        </is>
      </c>
      <c r="E23" s="95" t="n"/>
      <c r="F23" s="102" t="inlineStr">
        <is>
          <t>AVG EXPECTED CTC</t>
        </is>
      </c>
      <c r="I23" s="95" t="n"/>
      <c r="J23" s="102" t="inlineStr">
        <is>
          <t>AVG EXPECTED HIKE</t>
        </is>
      </c>
      <c r="M23" s="95" t="n"/>
      <c r="N23" s="102" t="inlineStr">
        <is>
          <t>HIGHEST EXPECTED CTC</t>
        </is>
      </c>
      <c r="Q23" s="95" t="n"/>
      <c r="R23" s="84" t="n"/>
      <c r="S23" s="84" t="n"/>
    </row>
    <row r="24" ht="27" customHeight="1" s="83">
      <c r="A24" s="84" t="n"/>
      <c r="B24" s="109">
        <f>'Dashboard Calc'!$B$364</f>
        <v>14.024666666666667</v>
      </c>
      <c r="E24" s="95" t="n"/>
      <c r="F24" s="109">
        <f>'Dashboard Calc'!$B$365</f>
        <v>19.896551724137932</v>
      </c>
      <c r="I24" s="95" t="n"/>
      <c r="J24" s="110">
        <f>'Dashboard Calc'!$B$366</f>
        <v>0.4881948670129424</v>
      </c>
      <c r="M24" s="95" t="n"/>
      <c r="N24" s="109">
        <f>'Dashboard Calc'!$B$367</f>
        <v>35</v>
      </c>
      <c r="Q24" s="95" t="n"/>
      <c r="R24" s="84" t="n"/>
      <c r="S24" s="84" t="n"/>
    </row>
    <row r="25" ht="13" customHeight="1" s="83">
      <c r="A25" s="84" t="n"/>
      <c r="B25" s="105" t="str">
        <f>"Across "&amp;TEXT('Dashboard Calc'!$B$380,"0%")&amp;" with CTC recorded"</f>
        <v>Across 48% with CTC recorded</v>
      </c>
      <c r="E25" s="95" t="n"/>
      <c r="F25" s="105" t="str">
        <f>"Mean ask across the filtered pool"</f>
        <v>Mean ask across the filtered pool</v>
      </c>
      <c r="I25" s="95" t="n"/>
      <c r="J25" s="105" t="str">
        <f>"Uplift sought on current CTC"</f>
        <v>Uplift sought on current CTC</v>
      </c>
      <c r="M25" s="95" t="n"/>
      <c r="N25" s="105" t="str">
        <f>"Top of the range"</f>
        <v>Top of the range</v>
      </c>
      <c r="Q25" s="95" t="n"/>
      <c r="R25" s="84" t="n"/>
      <c r="S25" s="84" t="n"/>
    </row>
    <row r="26" ht="7" customHeight="1" s="83">
      <c r="A26" s="84" t="n"/>
      <c r="B26" s="99" t="n"/>
      <c r="C26" s="100" t="n"/>
      <c r="D26" s="100" t="n"/>
      <c r="E26" s="101" t="n"/>
      <c r="F26" s="99" t="n"/>
      <c r="G26" s="100" t="n"/>
      <c r="H26" s="100" t="n"/>
      <c r="I26" s="101" t="n"/>
      <c r="J26" s="99" t="n"/>
      <c r="K26" s="100" t="n"/>
      <c r="L26" s="100" t="n"/>
      <c r="M26" s="101" t="n"/>
      <c r="N26" s="99" t="n"/>
      <c r="O26" s="100" t="n"/>
      <c r="P26" s="100" t="n"/>
      <c r="Q26" s="101" t="n"/>
      <c r="R26" s="84" t="n"/>
      <c r="S26" s="84" t="n"/>
    </row>
    <row r="27" ht="6" customHeight="1" s="83">
      <c r="A27" s="84" t="n"/>
      <c r="B27" s="84" t="n"/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 t="n"/>
      <c r="P27" s="84" t="n"/>
      <c r="Q27" s="84" t="n"/>
      <c r="R27" s="84" t="n"/>
      <c r="S27" s="84" t="n"/>
    </row>
    <row r="28" ht="6" customHeight="1" s="83">
      <c r="A28" s="84" t="n"/>
      <c r="B28" s="89" t="n"/>
      <c r="C28" s="90" t="n"/>
      <c r="D28" s="90" t="n"/>
      <c r="E28" s="91" t="n"/>
      <c r="F28" s="89" t="n"/>
      <c r="G28" s="90" t="n"/>
      <c r="H28" s="90" t="n"/>
      <c r="I28" s="91" t="n"/>
      <c r="J28" s="89" t="n"/>
      <c r="K28" s="90" t="n"/>
      <c r="L28" s="90" t="n"/>
      <c r="M28" s="91" t="n"/>
      <c r="N28" s="89" t="n"/>
      <c r="O28" s="90" t="n"/>
      <c r="P28" s="90" t="n"/>
      <c r="Q28" s="91" t="n"/>
      <c r="R28" s="84" t="n"/>
      <c r="S28" s="84" t="n"/>
    </row>
    <row r="29" ht="13" customHeight="1" s="83">
      <c r="A29" s="84" t="n"/>
      <c r="B29" s="102" t="inlineStr">
        <is>
          <t>MEETS EXPERIENCE BAR</t>
        </is>
      </c>
      <c r="E29" s="95" t="n"/>
      <c r="F29" s="102" t="inlineStr">
        <is>
          <t>JOINER-READY</t>
        </is>
      </c>
      <c r="I29" s="95" t="n"/>
      <c r="J29" s="102" t="inlineStr">
        <is>
          <t>TARGET-LOCATION MATCH</t>
        </is>
      </c>
      <c r="M29" s="95" t="n"/>
      <c r="N29" s="102" t="inlineStr">
        <is>
          <t>RECRUITERS ACTIVE</t>
        </is>
      </c>
      <c r="Q29" s="95" t="n"/>
      <c r="R29" s="84" t="n"/>
      <c r="S29" s="84" t="n"/>
    </row>
    <row r="30" ht="27" customHeight="1" s="83">
      <c r="A30" s="84" t="n"/>
      <c r="B30" s="104">
        <f>'Dashboard Calc'!$B$370</f>
        <v>18</v>
      </c>
      <c r="E30" s="95" t="n"/>
      <c r="F30" s="104">
        <f>'Dashboard Calc'!$B$372</f>
        <v>11</v>
      </c>
      <c r="I30" s="95" t="n"/>
      <c r="J30" s="111">
        <f>'Dashboard Calc'!$B$375</f>
        <v>0.75</v>
      </c>
      <c r="M30" s="95" t="n"/>
      <c r="N30" s="106">
        <f>'Dashboard Calc'!$B$378</f>
        <v>5</v>
      </c>
      <c r="Q30" s="95" t="n"/>
      <c r="R30" s="84" t="n"/>
      <c r="S30" s="84" t="n"/>
    </row>
    <row r="31" ht="13" customHeight="1" s="83">
      <c r="A31" s="84" t="n"/>
      <c r="B31" s="105" t="str">
        <f>"At or above "&amp;TEXT(MinExperience,"0")&amp;" years"</f>
        <v>At or above 4 years</v>
      </c>
      <c r="E31" s="95" t="n"/>
      <c r="F31" s="105" t="str">
        <f>"Notice within "&amp;TEXT(MaxNoticeDays,"0")&amp;" days"</f>
        <v>Notice within 30 days</v>
      </c>
      <c r="I31" s="95" t="n"/>
      <c r="J31" s="105" t="str">
        <f>"Based in or moving to "&amp;TargetLocation</f>
        <v>Based in or moving to Chennai</v>
      </c>
      <c r="M31" s="95" t="n"/>
      <c r="N31" s="105" t="str">
        <f>"Working the filtered pipeline"</f>
        <v>Working the filtered pipeline</v>
      </c>
      <c r="Q31" s="95" t="n"/>
      <c r="R31" s="84" t="n"/>
      <c r="S31" s="84" t="n"/>
    </row>
    <row r="32" ht="7" customHeight="1" s="83">
      <c r="A32" s="84" t="n"/>
      <c r="B32" s="99" t="n"/>
      <c r="C32" s="100" t="n"/>
      <c r="D32" s="100" t="n"/>
      <c r="E32" s="101" t="n"/>
      <c r="F32" s="99" t="n"/>
      <c r="G32" s="100" t="n"/>
      <c r="H32" s="100" t="n"/>
      <c r="I32" s="101" t="n"/>
      <c r="J32" s="99" t="n"/>
      <c r="K32" s="100" t="n"/>
      <c r="L32" s="100" t="n"/>
      <c r="M32" s="101" t="n"/>
      <c r="N32" s="99" t="n"/>
      <c r="O32" s="100" t="n"/>
      <c r="P32" s="100" t="n"/>
      <c r="Q32" s="101" t="n"/>
      <c r="R32" s="84" t="n"/>
      <c r="S32" s="84" t="n"/>
    </row>
    <row r="33" ht="10" customHeight="1" s="83">
      <c r="A33" s="84" t="n"/>
      <c r="B33" s="84" t="n"/>
      <c r="C33" s="84" t="n"/>
      <c r="D33" s="84" t="n"/>
      <c r="E33" s="84" t="n"/>
      <c r="F33" s="84" t="n"/>
      <c r="G33" s="84" t="n"/>
      <c r="H33" s="84" t="n"/>
      <c r="I33" s="84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</row>
    <row r="34" ht="16" customHeight="1" s="83">
      <c r="A34" s="84" t="n"/>
      <c r="B34" s="112" t="inlineStr">
        <is>
          <t>Pipeline health</t>
        </is>
      </c>
      <c r="R34" s="84" t="n"/>
      <c r="S34" s="84" t="n"/>
    </row>
    <row r="35" ht="13" customHeight="1" s="83">
      <c r="A35" s="84" t="n"/>
      <c r="B35" s="113" t="inlineStr">
        <is>
          <t>How the filtered pool is distributed across your stages, and where it narrows.</t>
        </is>
      </c>
      <c r="R35" s="84" t="n"/>
      <c r="S35" s="84" t="n"/>
    </row>
    <row r="36" ht="6" customHeight="1" s="83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84" t="n"/>
      <c r="L36" s="84" t="n"/>
      <c r="M36" s="84" t="n"/>
      <c r="N36" s="84" t="n"/>
      <c r="O36" s="84" t="n"/>
      <c r="P36" s="84" t="n"/>
      <c r="Q36" s="84" t="n"/>
      <c r="R36" s="84" t="n"/>
      <c r="S36" s="84" t="n"/>
    </row>
    <row r="37" ht="14" customHeight="1" s="83">
      <c r="A37" s="84" t="n"/>
      <c r="B37" s="89" t="n"/>
      <c r="C37" s="90" t="n"/>
      <c r="D37" s="90" t="n"/>
      <c r="E37" s="90" t="n"/>
      <c r="F37" s="90" t="n"/>
      <c r="G37" s="90" t="n"/>
      <c r="H37" s="90" t="n"/>
      <c r="I37" s="91" t="n"/>
      <c r="J37" s="89" t="n"/>
      <c r="K37" s="90" t="n"/>
      <c r="L37" s="90" t="n"/>
      <c r="M37" s="90" t="n"/>
      <c r="N37" s="90" t="n"/>
      <c r="O37" s="90" t="n"/>
      <c r="P37" s="90" t="n"/>
      <c r="Q37" s="91" t="n"/>
      <c r="R37" s="84" t="n"/>
      <c r="S37" s="84" t="n"/>
    </row>
    <row r="38" ht="14" customHeight="1" s="83">
      <c r="A38" s="84" t="n"/>
      <c r="B38" s="114" t="n"/>
      <c r="C38" s="115" t="n"/>
      <c r="D38" s="115" t="n"/>
      <c r="E38" s="115" t="n"/>
      <c r="F38" s="115" t="n"/>
      <c r="G38" s="115" t="n"/>
      <c r="H38" s="115" t="n"/>
      <c r="I38" s="116" t="n"/>
      <c r="J38" s="114" t="n"/>
      <c r="K38" s="115" t="n"/>
      <c r="L38" s="115" t="n"/>
      <c r="M38" s="115" t="n"/>
      <c r="N38" s="115" t="n"/>
      <c r="O38" s="115" t="n"/>
      <c r="P38" s="115" t="n"/>
      <c r="Q38" s="116" t="n"/>
      <c r="R38" s="84" t="n"/>
      <c r="S38" s="84" t="n"/>
    </row>
    <row r="39" ht="14" customHeight="1" s="83">
      <c r="A39" s="84" t="n"/>
      <c r="B39" s="114" t="n"/>
      <c r="C39" s="115" t="n"/>
      <c r="D39" s="115" t="n"/>
      <c r="E39" s="115" t="n"/>
      <c r="F39" s="115" t="n"/>
      <c r="G39" s="115" t="n"/>
      <c r="H39" s="115" t="n"/>
      <c r="I39" s="116" t="n"/>
      <c r="J39" s="114" t="n"/>
      <c r="K39" s="115" t="n"/>
      <c r="L39" s="115" t="n"/>
      <c r="M39" s="115" t="n"/>
      <c r="N39" s="115" t="n"/>
      <c r="O39" s="115" t="n"/>
      <c r="P39" s="115" t="n"/>
      <c r="Q39" s="116" t="n"/>
      <c r="R39" s="84" t="n"/>
      <c r="S39" s="84" t="n"/>
    </row>
    <row r="40" ht="14" customHeight="1" s="83">
      <c r="A40" s="84" t="n"/>
      <c r="B40" s="114" t="n"/>
      <c r="C40" s="115" t="n"/>
      <c r="D40" s="115" t="n"/>
      <c r="E40" s="115" t="n"/>
      <c r="F40" s="115" t="n"/>
      <c r="G40" s="115" t="n"/>
      <c r="H40" s="115" t="n"/>
      <c r="I40" s="116" t="n"/>
      <c r="J40" s="114" t="n"/>
      <c r="K40" s="115" t="n"/>
      <c r="L40" s="115" t="n"/>
      <c r="M40" s="115" t="n"/>
      <c r="N40" s="115" t="n"/>
      <c r="O40" s="115" t="n"/>
      <c r="P40" s="115" t="n"/>
      <c r="Q40" s="116" t="n"/>
      <c r="R40" s="84" t="n"/>
      <c r="S40" s="84" t="n"/>
    </row>
    <row r="41" ht="14" customHeight="1" s="83">
      <c r="A41" s="84" t="n"/>
      <c r="B41" s="114" t="n"/>
      <c r="C41" s="115" t="n"/>
      <c r="D41" s="115" t="n"/>
      <c r="E41" s="115" t="n"/>
      <c r="F41" s="115" t="n"/>
      <c r="G41" s="115" t="n"/>
      <c r="H41" s="115" t="n"/>
      <c r="I41" s="116" t="n"/>
      <c r="J41" s="114" t="n"/>
      <c r="K41" s="115" t="n"/>
      <c r="L41" s="115" t="n"/>
      <c r="M41" s="115" t="n"/>
      <c r="N41" s="115" t="n"/>
      <c r="O41" s="115" t="n"/>
      <c r="P41" s="115" t="n"/>
      <c r="Q41" s="116" t="n"/>
      <c r="R41" s="84" t="n"/>
      <c r="S41" s="84" t="n"/>
    </row>
    <row r="42" ht="14" customHeight="1" s="83">
      <c r="A42" s="84" t="n"/>
      <c r="B42" s="114" t="n"/>
      <c r="C42" s="115" t="n"/>
      <c r="D42" s="115" t="n"/>
      <c r="E42" s="115" t="n"/>
      <c r="F42" s="115" t="n"/>
      <c r="G42" s="115" t="n"/>
      <c r="H42" s="115" t="n"/>
      <c r="I42" s="116" t="n"/>
      <c r="J42" s="114" t="n"/>
      <c r="K42" s="115" t="n"/>
      <c r="L42" s="115" t="n"/>
      <c r="M42" s="115" t="n"/>
      <c r="N42" s="115" t="n"/>
      <c r="O42" s="115" t="n"/>
      <c r="P42" s="115" t="n"/>
      <c r="Q42" s="116" t="n"/>
      <c r="R42" s="84" t="n"/>
      <c r="S42" s="84" t="n"/>
    </row>
    <row r="43" ht="14" customHeight="1" s="83">
      <c r="A43" s="84" t="n"/>
      <c r="B43" s="114" t="n"/>
      <c r="C43" s="115" t="n"/>
      <c r="D43" s="115" t="n"/>
      <c r="E43" s="115" t="n"/>
      <c r="F43" s="115" t="n"/>
      <c r="G43" s="115" t="n"/>
      <c r="H43" s="115" t="n"/>
      <c r="I43" s="116" t="n"/>
      <c r="J43" s="114" t="n"/>
      <c r="K43" s="115" t="n"/>
      <c r="L43" s="115" t="n"/>
      <c r="M43" s="115" t="n"/>
      <c r="N43" s="115" t="n"/>
      <c r="O43" s="115" t="n"/>
      <c r="P43" s="115" t="n"/>
      <c r="Q43" s="116" t="n"/>
      <c r="R43" s="84" t="n"/>
      <c r="S43" s="84" t="n"/>
    </row>
    <row r="44" ht="14" customHeight="1" s="83">
      <c r="A44" s="84" t="n"/>
      <c r="B44" s="114" t="n"/>
      <c r="C44" s="115" t="n"/>
      <c r="D44" s="115" t="n"/>
      <c r="E44" s="115" t="n"/>
      <c r="F44" s="115" t="n"/>
      <c r="G44" s="115" t="n"/>
      <c r="H44" s="115" t="n"/>
      <c r="I44" s="116" t="n"/>
      <c r="J44" s="114" t="n"/>
      <c r="K44" s="115" t="n"/>
      <c r="L44" s="115" t="n"/>
      <c r="M44" s="115" t="n"/>
      <c r="N44" s="115" t="n"/>
      <c r="O44" s="115" t="n"/>
      <c r="P44" s="115" t="n"/>
      <c r="Q44" s="116" t="n"/>
      <c r="R44" s="84" t="n"/>
      <c r="S44" s="84" t="n"/>
    </row>
    <row r="45" ht="14" customHeight="1" s="83">
      <c r="A45" s="84" t="n"/>
      <c r="B45" s="114" t="n"/>
      <c r="C45" s="115" t="n"/>
      <c r="D45" s="115" t="n"/>
      <c r="E45" s="115" t="n"/>
      <c r="F45" s="115" t="n"/>
      <c r="G45" s="115" t="n"/>
      <c r="H45" s="115" t="n"/>
      <c r="I45" s="116" t="n"/>
      <c r="J45" s="114" t="n"/>
      <c r="K45" s="115" t="n"/>
      <c r="L45" s="115" t="n"/>
      <c r="M45" s="115" t="n"/>
      <c r="N45" s="115" t="n"/>
      <c r="O45" s="115" t="n"/>
      <c r="P45" s="115" t="n"/>
      <c r="Q45" s="116" t="n"/>
      <c r="R45" s="84" t="n"/>
      <c r="S45" s="84" t="n"/>
    </row>
    <row r="46" ht="14" customHeight="1" s="83">
      <c r="A46" s="84" t="n"/>
      <c r="B46" s="114" t="n"/>
      <c r="C46" s="115" t="n"/>
      <c r="D46" s="115" t="n"/>
      <c r="E46" s="115" t="n"/>
      <c r="F46" s="115" t="n"/>
      <c r="G46" s="115" t="n"/>
      <c r="H46" s="115" t="n"/>
      <c r="I46" s="116" t="n"/>
      <c r="J46" s="114" t="n"/>
      <c r="K46" s="115" t="n"/>
      <c r="L46" s="115" t="n"/>
      <c r="M46" s="115" t="n"/>
      <c r="N46" s="115" t="n"/>
      <c r="O46" s="115" t="n"/>
      <c r="P46" s="115" t="n"/>
      <c r="Q46" s="116" t="n"/>
      <c r="R46" s="84" t="n"/>
      <c r="S46" s="84" t="n"/>
    </row>
    <row r="47" ht="14" customHeight="1" s="83">
      <c r="A47" s="84" t="n"/>
      <c r="B47" s="114" t="n"/>
      <c r="C47" s="115" t="n"/>
      <c r="D47" s="115" t="n"/>
      <c r="E47" s="115" t="n"/>
      <c r="F47" s="115" t="n"/>
      <c r="G47" s="115" t="n"/>
      <c r="H47" s="115" t="n"/>
      <c r="I47" s="116" t="n"/>
      <c r="J47" s="114" t="n"/>
      <c r="K47" s="115" t="n"/>
      <c r="L47" s="115" t="n"/>
      <c r="M47" s="115" t="n"/>
      <c r="N47" s="115" t="n"/>
      <c r="O47" s="115" t="n"/>
      <c r="P47" s="115" t="n"/>
      <c r="Q47" s="116" t="n"/>
      <c r="R47" s="84" t="n"/>
      <c r="S47" s="84" t="n"/>
    </row>
    <row r="48" ht="14" customHeight="1" s="83">
      <c r="A48" s="84" t="n"/>
      <c r="B48" s="114" t="n"/>
      <c r="C48" s="115" t="n"/>
      <c r="D48" s="115" t="n"/>
      <c r="E48" s="115" t="n"/>
      <c r="F48" s="115" t="n"/>
      <c r="G48" s="115" t="n"/>
      <c r="H48" s="115" t="n"/>
      <c r="I48" s="116" t="n"/>
      <c r="J48" s="114" t="n"/>
      <c r="K48" s="115" t="n"/>
      <c r="L48" s="115" t="n"/>
      <c r="M48" s="115" t="n"/>
      <c r="N48" s="115" t="n"/>
      <c r="O48" s="115" t="n"/>
      <c r="P48" s="115" t="n"/>
      <c r="Q48" s="116" t="n"/>
      <c r="R48" s="84" t="n"/>
      <c r="S48" s="84" t="n"/>
    </row>
    <row r="49" ht="14" customHeight="1" s="83">
      <c r="A49" s="84" t="n"/>
      <c r="B49" s="114" t="n"/>
      <c r="C49" s="115" t="n"/>
      <c r="D49" s="115" t="n"/>
      <c r="E49" s="115" t="n"/>
      <c r="F49" s="115" t="n"/>
      <c r="G49" s="115" t="n"/>
      <c r="H49" s="115" t="n"/>
      <c r="I49" s="116" t="n"/>
      <c r="J49" s="114" t="n"/>
      <c r="K49" s="115" t="n"/>
      <c r="L49" s="115" t="n"/>
      <c r="M49" s="115" t="n"/>
      <c r="N49" s="115" t="n"/>
      <c r="O49" s="115" t="n"/>
      <c r="P49" s="115" t="n"/>
      <c r="Q49" s="116" t="n"/>
      <c r="R49" s="84" t="n"/>
      <c r="S49" s="84" t="n"/>
    </row>
    <row r="50" ht="14" customHeight="1" s="83">
      <c r="A50" s="84" t="n"/>
      <c r="B50" s="114" t="n"/>
      <c r="C50" s="115" t="n"/>
      <c r="D50" s="115" t="n"/>
      <c r="E50" s="115" t="n"/>
      <c r="F50" s="115" t="n"/>
      <c r="G50" s="115" t="n"/>
      <c r="H50" s="115" t="n"/>
      <c r="I50" s="116" t="n"/>
      <c r="J50" s="114" t="n"/>
      <c r="K50" s="115" t="n"/>
      <c r="L50" s="115" t="n"/>
      <c r="M50" s="115" t="n"/>
      <c r="N50" s="115" t="n"/>
      <c r="O50" s="115" t="n"/>
      <c r="P50" s="115" t="n"/>
      <c r="Q50" s="116" t="n"/>
      <c r="R50" s="84" t="n"/>
      <c r="S50" s="84" t="n"/>
    </row>
    <row r="51" ht="14" customHeight="1" s="83">
      <c r="A51" s="84" t="n"/>
      <c r="B51" s="114" t="n"/>
      <c r="C51" s="115" t="n"/>
      <c r="D51" s="115" t="n"/>
      <c r="E51" s="115" t="n"/>
      <c r="F51" s="115" t="n"/>
      <c r="G51" s="115" t="n"/>
      <c r="H51" s="115" t="n"/>
      <c r="I51" s="116" t="n"/>
      <c r="J51" s="114" t="n"/>
      <c r="K51" s="115" t="n"/>
      <c r="L51" s="115" t="n"/>
      <c r="M51" s="115" t="n"/>
      <c r="N51" s="115" t="n"/>
      <c r="O51" s="115" t="n"/>
      <c r="P51" s="115" t="n"/>
      <c r="Q51" s="116" t="n"/>
      <c r="R51" s="84" t="n"/>
      <c r="S51" s="84" t="n"/>
    </row>
    <row r="52" ht="14" customHeight="1" s="83">
      <c r="A52" s="84" t="n"/>
      <c r="B52" s="99" t="n"/>
      <c r="C52" s="100" t="n"/>
      <c r="D52" s="100" t="n"/>
      <c r="E52" s="100" t="n"/>
      <c r="F52" s="100" t="n"/>
      <c r="G52" s="100" t="n"/>
      <c r="H52" s="100" t="n"/>
      <c r="I52" s="101" t="n"/>
      <c r="J52" s="99" t="n"/>
      <c r="K52" s="100" t="n"/>
      <c r="L52" s="100" t="n"/>
      <c r="M52" s="100" t="n"/>
      <c r="N52" s="100" t="n"/>
      <c r="O52" s="100" t="n"/>
      <c r="P52" s="100" t="n"/>
      <c r="Q52" s="101" t="n"/>
      <c r="R52" s="84" t="n"/>
      <c r="S52" s="84" t="n"/>
    </row>
    <row r="53" ht="8" customHeight="1" s="83">
      <c r="A53" s="84" t="n"/>
      <c r="B53" s="84" t="n"/>
      <c r="C53" s="84" t="n"/>
      <c r="D53" s="84" t="n"/>
      <c r="E53" s="84" t="n"/>
      <c r="F53" s="84" t="n"/>
      <c r="G53" s="84" t="n"/>
      <c r="H53" s="84" t="n"/>
      <c r="I53" s="84" t="n"/>
      <c r="J53" s="84" t="n"/>
      <c r="K53" s="84" t="n"/>
      <c r="L53" s="84" t="n"/>
      <c r="M53" s="84" t="n"/>
      <c r="N53" s="84" t="n"/>
      <c r="O53" s="84" t="n"/>
      <c r="P53" s="84" t="n"/>
      <c r="Q53" s="84" t="n"/>
      <c r="R53" s="84" t="n"/>
      <c r="S53" s="84" t="n"/>
    </row>
    <row r="54" ht="10" customHeight="1" s="83">
      <c r="A54" s="84" t="n"/>
      <c r="B54" s="84" t="n"/>
      <c r="C54" s="84" t="n"/>
      <c r="D54" s="84" t="n"/>
      <c r="E54" s="84" t="n"/>
      <c r="F54" s="84" t="n"/>
      <c r="G54" s="84" t="n"/>
      <c r="H54" s="84" t="n"/>
      <c r="I54" s="84" t="n"/>
      <c r="J54" s="84" t="n"/>
      <c r="K54" s="84" t="n"/>
      <c r="L54" s="84" t="n"/>
      <c r="M54" s="84" t="n"/>
      <c r="N54" s="84" t="n"/>
      <c r="O54" s="84" t="n"/>
      <c r="P54" s="84" t="n"/>
      <c r="Q54" s="84" t="n"/>
      <c r="R54" s="84" t="n"/>
      <c r="S54" s="84" t="n"/>
    </row>
    <row r="55" ht="16" customHeight="1" s="83">
      <c r="A55" s="84" t="n"/>
      <c r="B55" s="112" t="inlineStr">
        <is>
          <t>Coverage and supply</t>
        </is>
      </c>
      <c r="R55" s="84" t="n"/>
      <c r="S55" s="84" t="n"/>
    </row>
    <row r="56" ht="13" customHeight="1" s="83">
      <c r="A56" s="84" t="n"/>
      <c r="B56" s="113" t="inlineStr">
        <is>
          <t>Where candidates are coming from — geography and requisition.</t>
        </is>
      </c>
      <c r="R56" s="84" t="n"/>
      <c r="S56" s="84" t="n"/>
    </row>
    <row r="57" ht="6" customHeight="1" s="83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4" t="n"/>
      <c r="J57" s="84" t="n"/>
      <c r="K57" s="84" t="n"/>
      <c r="L57" s="84" t="n"/>
      <c r="M57" s="84" t="n"/>
      <c r="N57" s="84" t="n"/>
      <c r="O57" s="84" t="n"/>
      <c r="P57" s="84" t="n"/>
      <c r="Q57" s="84" t="n"/>
      <c r="R57" s="84" t="n"/>
      <c r="S57" s="84" t="n"/>
    </row>
    <row r="58" ht="14" customHeight="1" s="83">
      <c r="A58" s="84" t="n"/>
      <c r="B58" s="89" t="n"/>
      <c r="C58" s="90" t="n"/>
      <c r="D58" s="90" t="n"/>
      <c r="E58" s="90" t="n"/>
      <c r="F58" s="90" t="n"/>
      <c r="G58" s="90" t="n"/>
      <c r="H58" s="90" t="n"/>
      <c r="I58" s="91" t="n"/>
      <c r="J58" s="89" t="n"/>
      <c r="K58" s="90" t="n"/>
      <c r="L58" s="90" t="n"/>
      <c r="M58" s="90" t="n"/>
      <c r="N58" s="90" t="n"/>
      <c r="O58" s="90" t="n"/>
      <c r="P58" s="90" t="n"/>
      <c r="Q58" s="91" t="n"/>
      <c r="R58" s="84" t="n"/>
      <c r="S58" s="84" t="n"/>
    </row>
    <row r="59" ht="14" customHeight="1" s="83">
      <c r="A59" s="84" t="n"/>
      <c r="B59" s="114" t="n"/>
      <c r="C59" s="115" t="n"/>
      <c r="D59" s="115" t="n"/>
      <c r="E59" s="115" t="n"/>
      <c r="F59" s="115" t="n"/>
      <c r="G59" s="115" t="n"/>
      <c r="H59" s="115" t="n"/>
      <c r="I59" s="116" t="n"/>
      <c r="J59" s="114" t="n"/>
      <c r="K59" s="115" t="n"/>
      <c r="L59" s="115" t="n"/>
      <c r="M59" s="115" t="n"/>
      <c r="N59" s="115" t="n"/>
      <c r="O59" s="115" t="n"/>
      <c r="P59" s="115" t="n"/>
      <c r="Q59" s="116" t="n"/>
      <c r="R59" s="84" t="n"/>
      <c r="S59" s="84" t="n"/>
    </row>
    <row r="60" ht="14" customHeight="1" s="83">
      <c r="A60" s="84" t="n"/>
      <c r="B60" s="114" t="n"/>
      <c r="C60" s="115" t="n"/>
      <c r="D60" s="115" t="n"/>
      <c r="E60" s="115" t="n"/>
      <c r="F60" s="115" t="n"/>
      <c r="G60" s="115" t="n"/>
      <c r="H60" s="115" t="n"/>
      <c r="I60" s="116" t="n"/>
      <c r="J60" s="114" t="n"/>
      <c r="K60" s="115" t="n"/>
      <c r="L60" s="115" t="n"/>
      <c r="M60" s="115" t="n"/>
      <c r="N60" s="115" t="n"/>
      <c r="O60" s="115" t="n"/>
      <c r="P60" s="115" t="n"/>
      <c r="Q60" s="116" t="n"/>
      <c r="R60" s="84" t="n"/>
      <c r="S60" s="84" t="n"/>
    </row>
    <row r="61" ht="14" customHeight="1" s="83">
      <c r="A61" s="84" t="n"/>
      <c r="B61" s="114" t="n"/>
      <c r="C61" s="115" t="n"/>
      <c r="D61" s="115" t="n"/>
      <c r="E61" s="115" t="n"/>
      <c r="F61" s="115" t="n"/>
      <c r="G61" s="115" t="n"/>
      <c r="H61" s="115" t="n"/>
      <c r="I61" s="116" t="n"/>
      <c r="J61" s="114" t="n"/>
      <c r="K61" s="115" t="n"/>
      <c r="L61" s="115" t="n"/>
      <c r="M61" s="115" t="n"/>
      <c r="N61" s="115" t="n"/>
      <c r="O61" s="115" t="n"/>
      <c r="P61" s="115" t="n"/>
      <c r="Q61" s="116" t="n"/>
      <c r="R61" s="84" t="n"/>
      <c r="S61" s="84" t="n"/>
    </row>
    <row r="62" ht="14" customHeight="1" s="83">
      <c r="A62" s="84" t="n"/>
      <c r="B62" s="114" t="n"/>
      <c r="C62" s="115" t="n"/>
      <c r="D62" s="115" t="n"/>
      <c r="E62" s="115" t="n"/>
      <c r="F62" s="115" t="n"/>
      <c r="G62" s="115" t="n"/>
      <c r="H62" s="115" t="n"/>
      <c r="I62" s="116" t="n"/>
      <c r="J62" s="114" t="n"/>
      <c r="K62" s="115" t="n"/>
      <c r="L62" s="115" t="n"/>
      <c r="M62" s="115" t="n"/>
      <c r="N62" s="115" t="n"/>
      <c r="O62" s="115" t="n"/>
      <c r="P62" s="115" t="n"/>
      <c r="Q62" s="116" t="n"/>
      <c r="R62" s="84" t="n"/>
      <c r="S62" s="84" t="n"/>
    </row>
    <row r="63" ht="14" customHeight="1" s="83">
      <c r="A63" s="84" t="n"/>
      <c r="B63" s="114" t="n"/>
      <c r="C63" s="115" t="n"/>
      <c r="D63" s="115" t="n"/>
      <c r="E63" s="115" t="n"/>
      <c r="F63" s="115" t="n"/>
      <c r="G63" s="115" t="n"/>
      <c r="H63" s="115" t="n"/>
      <c r="I63" s="116" t="n"/>
      <c r="J63" s="114" t="n"/>
      <c r="K63" s="115" t="n"/>
      <c r="L63" s="115" t="n"/>
      <c r="M63" s="115" t="n"/>
      <c r="N63" s="115" t="n"/>
      <c r="O63" s="115" t="n"/>
      <c r="P63" s="115" t="n"/>
      <c r="Q63" s="116" t="n"/>
      <c r="R63" s="84" t="n"/>
      <c r="S63" s="84" t="n"/>
    </row>
    <row r="64" ht="14" customHeight="1" s="83">
      <c r="A64" s="84" t="n"/>
      <c r="B64" s="114" t="n"/>
      <c r="C64" s="115" t="n"/>
      <c r="D64" s="115" t="n"/>
      <c r="E64" s="115" t="n"/>
      <c r="F64" s="115" t="n"/>
      <c r="G64" s="115" t="n"/>
      <c r="H64" s="115" t="n"/>
      <c r="I64" s="116" t="n"/>
      <c r="J64" s="114" t="n"/>
      <c r="K64" s="115" t="n"/>
      <c r="L64" s="115" t="n"/>
      <c r="M64" s="115" t="n"/>
      <c r="N64" s="115" t="n"/>
      <c r="O64" s="115" t="n"/>
      <c r="P64" s="115" t="n"/>
      <c r="Q64" s="116" t="n"/>
      <c r="R64" s="84" t="n"/>
      <c r="S64" s="84" t="n"/>
    </row>
    <row r="65" ht="14" customHeight="1" s="83">
      <c r="A65" s="84" t="n"/>
      <c r="B65" s="114" t="n"/>
      <c r="C65" s="115" t="n"/>
      <c r="D65" s="115" t="n"/>
      <c r="E65" s="115" t="n"/>
      <c r="F65" s="115" t="n"/>
      <c r="G65" s="115" t="n"/>
      <c r="H65" s="115" t="n"/>
      <c r="I65" s="116" t="n"/>
      <c r="J65" s="114" t="n"/>
      <c r="K65" s="115" t="n"/>
      <c r="L65" s="115" t="n"/>
      <c r="M65" s="115" t="n"/>
      <c r="N65" s="115" t="n"/>
      <c r="O65" s="115" t="n"/>
      <c r="P65" s="115" t="n"/>
      <c r="Q65" s="116" t="n"/>
      <c r="R65" s="84" t="n"/>
      <c r="S65" s="84" t="n"/>
    </row>
    <row r="66" ht="14" customHeight="1" s="83">
      <c r="A66" s="84" t="n"/>
      <c r="B66" s="114" t="n"/>
      <c r="C66" s="115" t="n"/>
      <c r="D66" s="115" t="n"/>
      <c r="E66" s="115" t="n"/>
      <c r="F66" s="115" t="n"/>
      <c r="G66" s="115" t="n"/>
      <c r="H66" s="115" t="n"/>
      <c r="I66" s="116" t="n"/>
      <c r="J66" s="114" t="n"/>
      <c r="K66" s="115" t="n"/>
      <c r="L66" s="115" t="n"/>
      <c r="M66" s="115" t="n"/>
      <c r="N66" s="115" t="n"/>
      <c r="O66" s="115" t="n"/>
      <c r="P66" s="115" t="n"/>
      <c r="Q66" s="116" t="n"/>
      <c r="R66" s="84" t="n"/>
      <c r="S66" s="84" t="n"/>
    </row>
    <row r="67" ht="14" customHeight="1" s="83">
      <c r="A67" s="84" t="n"/>
      <c r="B67" s="114" t="n"/>
      <c r="C67" s="115" t="n"/>
      <c r="D67" s="115" t="n"/>
      <c r="E67" s="115" t="n"/>
      <c r="F67" s="115" t="n"/>
      <c r="G67" s="115" t="n"/>
      <c r="H67" s="115" t="n"/>
      <c r="I67" s="116" t="n"/>
      <c r="J67" s="114" t="n"/>
      <c r="K67" s="115" t="n"/>
      <c r="L67" s="115" t="n"/>
      <c r="M67" s="115" t="n"/>
      <c r="N67" s="115" t="n"/>
      <c r="O67" s="115" t="n"/>
      <c r="P67" s="115" t="n"/>
      <c r="Q67" s="116" t="n"/>
      <c r="R67" s="84" t="n"/>
      <c r="S67" s="84" t="n"/>
    </row>
    <row r="68" ht="14" customHeight="1" s="83">
      <c r="A68" s="84" t="n"/>
      <c r="B68" s="114" t="n"/>
      <c r="C68" s="115" t="n"/>
      <c r="D68" s="115" t="n"/>
      <c r="E68" s="115" t="n"/>
      <c r="F68" s="115" t="n"/>
      <c r="G68" s="115" t="n"/>
      <c r="H68" s="115" t="n"/>
      <c r="I68" s="116" t="n"/>
      <c r="J68" s="114" t="n"/>
      <c r="K68" s="115" t="n"/>
      <c r="L68" s="115" t="n"/>
      <c r="M68" s="115" t="n"/>
      <c r="N68" s="115" t="n"/>
      <c r="O68" s="115" t="n"/>
      <c r="P68" s="115" t="n"/>
      <c r="Q68" s="116" t="n"/>
      <c r="R68" s="84" t="n"/>
      <c r="S68" s="84" t="n"/>
    </row>
    <row r="69" ht="14" customHeight="1" s="83">
      <c r="A69" s="84" t="n"/>
      <c r="B69" s="114" t="n"/>
      <c r="C69" s="115" t="n"/>
      <c r="D69" s="115" t="n"/>
      <c r="E69" s="115" t="n"/>
      <c r="F69" s="115" t="n"/>
      <c r="G69" s="115" t="n"/>
      <c r="H69" s="115" t="n"/>
      <c r="I69" s="116" t="n"/>
      <c r="J69" s="114" t="n"/>
      <c r="K69" s="115" t="n"/>
      <c r="L69" s="115" t="n"/>
      <c r="M69" s="115" t="n"/>
      <c r="N69" s="115" t="n"/>
      <c r="O69" s="115" t="n"/>
      <c r="P69" s="115" t="n"/>
      <c r="Q69" s="116" t="n"/>
      <c r="R69" s="84" t="n"/>
      <c r="S69" s="84" t="n"/>
    </row>
    <row r="70" ht="14" customHeight="1" s="83">
      <c r="A70" s="84" t="n"/>
      <c r="B70" s="114" t="n"/>
      <c r="C70" s="115" t="n"/>
      <c r="D70" s="115" t="n"/>
      <c r="E70" s="115" t="n"/>
      <c r="F70" s="115" t="n"/>
      <c r="G70" s="115" t="n"/>
      <c r="H70" s="115" t="n"/>
      <c r="I70" s="116" t="n"/>
      <c r="J70" s="114" t="n"/>
      <c r="K70" s="115" t="n"/>
      <c r="L70" s="115" t="n"/>
      <c r="M70" s="115" t="n"/>
      <c r="N70" s="115" t="n"/>
      <c r="O70" s="115" t="n"/>
      <c r="P70" s="115" t="n"/>
      <c r="Q70" s="116" t="n"/>
      <c r="R70" s="84" t="n"/>
      <c r="S70" s="84" t="n"/>
    </row>
    <row r="71" ht="14" customHeight="1" s="83">
      <c r="A71" s="84" t="n"/>
      <c r="B71" s="114" t="n"/>
      <c r="C71" s="115" t="n"/>
      <c r="D71" s="115" t="n"/>
      <c r="E71" s="115" t="n"/>
      <c r="F71" s="115" t="n"/>
      <c r="G71" s="115" t="n"/>
      <c r="H71" s="115" t="n"/>
      <c r="I71" s="116" t="n"/>
      <c r="J71" s="114" t="n"/>
      <c r="K71" s="115" t="n"/>
      <c r="L71" s="115" t="n"/>
      <c r="M71" s="115" t="n"/>
      <c r="N71" s="115" t="n"/>
      <c r="O71" s="115" t="n"/>
      <c r="P71" s="115" t="n"/>
      <c r="Q71" s="116" t="n"/>
      <c r="R71" s="84" t="n"/>
      <c r="S71" s="84" t="n"/>
    </row>
    <row r="72" ht="14" customHeight="1" s="83">
      <c r="A72" s="84" t="n"/>
      <c r="B72" s="114" t="n"/>
      <c r="C72" s="115" t="n"/>
      <c r="D72" s="115" t="n"/>
      <c r="E72" s="115" t="n"/>
      <c r="F72" s="115" t="n"/>
      <c r="G72" s="115" t="n"/>
      <c r="H72" s="115" t="n"/>
      <c r="I72" s="116" t="n"/>
      <c r="J72" s="114" t="n"/>
      <c r="K72" s="115" t="n"/>
      <c r="L72" s="115" t="n"/>
      <c r="M72" s="115" t="n"/>
      <c r="N72" s="115" t="n"/>
      <c r="O72" s="115" t="n"/>
      <c r="P72" s="115" t="n"/>
      <c r="Q72" s="116" t="n"/>
      <c r="R72" s="84" t="n"/>
      <c r="S72" s="84" t="n"/>
    </row>
    <row r="73" ht="14" customHeight="1" s="83">
      <c r="A73" s="84" t="n"/>
      <c r="B73" s="99" t="n"/>
      <c r="C73" s="100" t="n"/>
      <c r="D73" s="100" t="n"/>
      <c r="E73" s="100" t="n"/>
      <c r="F73" s="100" t="n"/>
      <c r="G73" s="100" t="n"/>
      <c r="H73" s="100" t="n"/>
      <c r="I73" s="101" t="n"/>
      <c r="J73" s="99" t="n"/>
      <c r="K73" s="100" t="n"/>
      <c r="L73" s="100" t="n"/>
      <c r="M73" s="100" t="n"/>
      <c r="N73" s="100" t="n"/>
      <c r="O73" s="100" t="n"/>
      <c r="P73" s="100" t="n"/>
      <c r="Q73" s="101" t="n"/>
      <c r="R73" s="84" t="n"/>
      <c r="S73" s="84" t="n"/>
    </row>
    <row r="74" ht="8" customHeight="1" s="83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4" t="n"/>
      <c r="J74" s="84" t="n"/>
      <c r="K74" s="84" t="n"/>
      <c r="L74" s="84" t="n"/>
      <c r="M74" s="84" t="n"/>
      <c r="N74" s="84" t="n"/>
      <c r="O74" s="84" t="n"/>
      <c r="P74" s="84" t="n"/>
      <c r="Q74" s="84" t="n"/>
      <c r="R74" s="84" t="n"/>
      <c r="S74" s="84" t="n"/>
    </row>
    <row r="75" ht="10" customHeight="1" s="83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4" t="n"/>
      <c r="J75" s="84" t="n"/>
      <c r="K75" s="84" t="n"/>
      <c r="L75" s="84" t="n"/>
      <c r="M75" s="84" t="n"/>
      <c r="N75" s="84" t="n"/>
      <c r="O75" s="84" t="n"/>
      <c r="P75" s="84" t="n"/>
      <c r="Q75" s="84" t="n"/>
      <c r="R75" s="84" t="n"/>
      <c r="S75" s="84" t="n"/>
    </row>
    <row r="76" ht="16" customHeight="1" s="83">
      <c r="A76" s="84" t="n"/>
      <c r="B76" s="112" t="inlineStr">
        <is>
          <t>Recruiter and sourcing throughput</t>
        </is>
      </c>
      <c r="R76" s="84" t="n"/>
      <c r="S76" s="84" t="n"/>
    </row>
    <row r="77" ht="13" customHeight="1" s="83">
      <c r="A77" s="84" t="n"/>
      <c r="B77" s="113" t="inlineStr">
        <is>
          <t>Who is producing pipeline, and how volume has moved over time.</t>
        </is>
      </c>
      <c r="R77" s="84" t="n"/>
      <c r="S77" s="84" t="n"/>
    </row>
    <row r="78" ht="6" customHeight="1" s="83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4" t="n"/>
      <c r="J78" s="84" t="n"/>
      <c r="K78" s="84" t="n"/>
      <c r="L78" s="84" t="n"/>
      <c r="M78" s="84" t="n"/>
      <c r="N78" s="84" t="n"/>
      <c r="O78" s="84" t="n"/>
      <c r="P78" s="84" t="n"/>
      <c r="Q78" s="84" t="n"/>
      <c r="R78" s="84" t="n"/>
      <c r="S78" s="84" t="n"/>
    </row>
    <row r="79" ht="14" customHeight="1" s="83">
      <c r="A79" s="84" t="n"/>
      <c r="B79" s="89" t="n"/>
      <c r="C79" s="90" t="n"/>
      <c r="D79" s="90" t="n"/>
      <c r="E79" s="90" t="n"/>
      <c r="F79" s="90" t="n"/>
      <c r="G79" s="90" t="n"/>
      <c r="H79" s="90" t="n"/>
      <c r="I79" s="91" t="n"/>
      <c r="J79" s="89" t="n"/>
      <c r="K79" s="90" t="n"/>
      <c r="L79" s="90" t="n"/>
      <c r="M79" s="90" t="n"/>
      <c r="N79" s="90" t="n"/>
      <c r="O79" s="90" t="n"/>
      <c r="P79" s="90" t="n"/>
      <c r="Q79" s="91" t="n"/>
      <c r="R79" s="84" t="n"/>
      <c r="S79" s="84" t="n"/>
    </row>
    <row r="80" ht="14" customHeight="1" s="83">
      <c r="A80" s="84" t="n"/>
      <c r="B80" s="114" t="n"/>
      <c r="C80" s="115" t="n"/>
      <c r="D80" s="115" t="n"/>
      <c r="E80" s="115" t="n"/>
      <c r="F80" s="115" t="n"/>
      <c r="G80" s="115" t="n"/>
      <c r="H80" s="115" t="n"/>
      <c r="I80" s="116" t="n"/>
      <c r="J80" s="114" t="n"/>
      <c r="K80" s="115" t="n"/>
      <c r="L80" s="115" t="n"/>
      <c r="M80" s="115" t="n"/>
      <c r="N80" s="115" t="n"/>
      <c r="O80" s="115" t="n"/>
      <c r="P80" s="115" t="n"/>
      <c r="Q80" s="116" t="n"/>
      <c r="R80" s="84" t="n"/>
      <c r="S80" s="84" t="n"/>
    </row>
    <row r="81" ht="14" customHeight="1" s="83">
      <c r="A81" s="84" t="n"/>
      <c r="B81" s="114" t="n"/>
      <c r="C81" s="115" t="n"/>
      <c r="D81" s="115" t="n"/>
      <c r="E81" s="115" t="n"/>
      <c r="F81" s="115" t="n"/>
      <c r="G81" s="115" t="n"/>
      <c r="H81" s="115" t="n"/>
      <c r="I81" s="116" t="n"/>
      <c r="J81" s="114" t="n"/>
      <c r="K81" s="115" t="n"/>
      <c r="L81" s="115" t="n"/>
      <c r="M81" s="115" t="n"/>
      <c r="N81" s="115" t="n"/>
      <c r="O81" s="115" t="n"/>
      <c r="P81" s="115" t="n"/>
      <c r="Q81" s="116" t="n"/>
      <c r="R81" s="84" t="n"/>
      <c r="S81" s="84" t="n"/>
    </row>
    <row r="82" ht="14" customHeight="1" s="83">
      <c r="A82" s="84" t="n"/>
      <c r="B82" s="114" t="n"/>
      <c r="C82" s="115" t="n"/>
      <c r="D82" s="115" t="n"/>
      <c r="E82" s="115" t="n"/>
      <c r="F82" s="115" t="n"/>
      <c r="G82" s="115" t="n"/>
      <c r="H82" s="115" t="n"/>
      <c r="I82" s="116" t="n"/>
      <c r="J82" s="114" t="n"/>
      <c r="K82" s="115" t="n"/>
      <c r="L82" s="115" t="n"/>
      <c r="M82" s="115" t="n"/>
      <c r="N82" s="115" t="n"/>
      <c r="O82" s="115" t="n"/>
      <c r="P82" s="115" t="n"/>
      <c r="Q82" s="116" t="n"/>
      <c r="R82" s="84" t="n"/>
      <c r="S82" s="84" t="n"/>
    </row>
    <row r="83" ht="14" customHeight="1" s="83">
      <c r="A83" s="84" t="n"/>
      <c r="B83" s="114" t="n"/>
      <c r="C83" s="115" t="n"/>
      <c r="D83" s="115" t="n"/>
      <c r="E83" s="115" t="n"/>
      <c r="F83" s="115" t="n"/>
      <c r="G83" s="115" t="n"/>
      <c r="H83" s="115" t="n"/>
      <c r="I83" s="116" t="n"/>
      <c r="J83" s="114" t="n"/>
      <c r="K83" s="115" t="n"/>
      <c r="L83" s="115" t="n"/>
      <c r="M83" s="115" t="n"/>
      <c r="N83" s="115" t="n"/>
      <c r="O83" s="115" t="n"/>
      <c r="P83" s="115" t="n"/>
      <c r="Q83" s="116" t="n"/>
      <c r="R83" s="84" t="n"/>
      <c r="S83" s="84" t="n"/>
    </row>
    <row r="84" ht="14" customHeight="1" s="83">
      <c r="A84" s="84" t="n"/>
      <c r="B84" s="114" t="n"/>
      <c r="C84" s="115" t="n"/>
      <c r="D84" s="115" t="n"/>
      <c r="E84" s="115" t="n"/>
      <c r="F84" s="115" t="n"/>
      <c r="G84" s="115" t="n"/>
      <c r="H84" s="115" t="n"/>
      <c r="I84" s="116" t="n"/>
      <c r="J84" s="114" t="n"/>
      <c r="K84" s="115" t="n"/>
      <c r="L84" s="115" t="n"/>
      <c r="M84" s="115" t="n"/>
      <c r="N84" s="115" t="n"/>
      <c r="O84" s="115" t="n"/>
      <c r="P84" s="115" t="n"/>
      <c r="Q84" s="116" t="n"/>
      <c r="R84" s="84" t="n"/>
      <c r="S84" s="84" t="n"/>
    </row>
    <row r="85" ht="14" customHeight="1" s="83">
      <c r="A85" s="84" t="n"/>
      <c r="B85" s="114" t="n"/>
      <c r="C85" s="115" t="n"/>
      <c r="D85" s="115" t="n"/>
      <c r="E85" s="115" t="n"/>
      <c r="F85" s="115" t="n"/>
      <c r="G85" s="115" t="n"/>
      <c r="H85" s="115" t="n"/>
      <c r="I85" s="116" t="n"/>
      <c r="J85" s="114" t="n"/>
      <c r="K85" s="115" t="n"/>
      <c r="L85" s="115" t="n"/>
      <c r="M85" s="115" t="n"/>
      <c r="N85" s="115" t="n"/>
      <c r="O85" s="115" t="n"/>
      <c r="P85" s="115" t="n"/>
      <c r="Q85" s="116" t="n"/>
      <c r="R85" s="84" t="n"/>
      <c r="S85" s="84" t="n"/>
    </row>
    <row r="86" ht="14" customHeight="1" s="83">
      <c r="A86" s="84" t="n"/>
      <c r="B86" s="114" t="n"/>
      <c r="C86" s="115" t="n"/>
      <c r="D86" s="115" t="n"/>
      <c r="E86" s="115" t="n"/>
      <c r="F86" s="115" t="n"/>
      <c r="G86" s="115" t="n"/>
      <c r="H86" s="115" t="n"/>
      <c r="I86" s="116" t="n"/>
      <c r="J86" s="114" t="n"/>
      <c r="K86" s="115" t="n"/>
      <c r="L86" s="115" t="n"/>
      <c r="M86" s="115" t="n"/>
      <c r="N86" s="115" t="n"/>
      <c r="O86" s="115" t="n"/>
      <c r="P86" s="115" t="n"/>
      <c r="Q86" s="116" t="n"/>
      <c r="R86" s="84" t="n"/>
      <c r="S86" s="84" t="n"/>
    </row>
    <row r="87" ht="14" customHeight="1" s="83">
      <c r="A87" s="84" t="n"/>
      <c r="B87" s="114" t="n"/>
      <c r="C87" s="115" t="n"/>
      <c r="D87" s="115" t="n"/>
      <c r="E87" s="115" t="n"/>
      <c r="F87" s="115" t="n"/>
      <c r="G87" s="115" t="n"/>
      <c r="H87" s="115" t="n"/>
      <c r="I87" s="116" t="n"/>
      <c r="J87" s="114" t="n"/>
      <c r="K87" s="115" t="n"/>
      <c r="L87" s="115" t="n"/>
      <c r="M87" s="115" t="n"/>
      <c r="N87" s="115" t="n"/>
      <c r="O87" s="115" t="n"/>
      <c r="P87" s="115" t="n"/>
      <c r="Q87" s="116" t="n"/>
      <c r="R87" s="84" t="n"/>
      <c r="S87" s="84" t="n"/>
    </row>
    <row r="88" ht="14" customHeight="1" s="83">
      <c r="A88" s="84" t="n"/>
      <c r="B88" s="114" t="n"/>
      <c r="C88" s="115" t="n"/>
      <c r="D88" s="115" t="n"/>
      <c r="E88" s="115" t="n"/>
      <c r="F88" s="115" t="n"/>
      <c r="G88" s="115" t="n"/>
      <c r="H88" s="115" t="n"/>
      <c r="I88" s="116" t="n"/>
      <c r="J88" s="114" t="n"/>
      <c r="K88" s="115" t="n"/>
      <c r="L88" s="115" t="n"/>
      <c r="M88" s="115" t="n"/>
      <c r="N88" s="115" t="n"/>
      <c r="O88" s="115" t="n"/>
      <c r="P88" s="115" t="n"/>
      <c r="Q88" s="116" t="n"/>
      <c r="R88" s="84" t="n"/>
      <c r="S88" s="84" t="n"/>
    </row>
    <row r="89" ht="14" customHeight="1" s="83">
      <c r="A89" s="84" t="n"/>
      <c r="B89" s="114" t="n"/>
      <c r="C89" s="115" t="n"/>
      <c r="D89" s="115" t="n"/>
      <c r="E89" s="115" t="n"/>
      <c r="F89" s="115" t="n"/>
      <c r="G89" s="115" t="n"/>
      <c r="H89" s="115" t="n"/>
      <c r="I89" s="116" t="n"/>
      <c r="J89" s="114" t="n"/>
      <c r="K89" s="115" t="n"/>
      <c r="L89" s="115" t="n"/>
      <c r="M89" s="115" t="n"/>
      <c r="N89" s="115" t="n"/>
      <c r="O89" s="115" t="n"/>
      <c r="P89" s="115" t="n"/>
      <c r="Q89" s="116" t="n"/>
      <c r="R89" s="84" t="n"/>
      <c r="S89" s="84" t="n"/>
    </row>
    <row r="90" ht="14" customHeight="1" s="83">
      <c r="A90" s="84" t="n"/>
      <c r="B90" s="114" t="n"/>
      <c r="C90" s="115" t="n"/>
      <c r="D90" s="115" t="n"/>
      <c r="E90" s="115" t="n"/>
      <c r="F90" s="115" t="n"/>
      <c r="G90" s="115" t="n"/>
      <c r="H90" s="115" t="n"/>
      <c r="I90" s="116" t="n"/>
      <c r="J90" s="114" t="n"/>
      <c r="K90" s="115" t="n"/>
      <c r="L90" s="115" t="n"/>
      <c r="M90" s="115" t="n"/>
      <c r="N90" s="115" t="n"/>
      <c r="O90" s="115" t="n"/>
      <c r="P90" s="115" t="n"/>
      <c r="Q90" s="116" t="n"/>
      <c r="R90" s="84" t="n"/>
      <c r="S90" s="84" t="n"/>
    </row>
    <row r="91" ht="14" customHeight="1" s="83">
      <c r="A91" s="84" t="n"/>
      <c r="B91" s="114" t="n"/>
      <c r="C91" s="115" t="n"/>
      <c r="D91" s="115" t="n"/>
      <c r="E91" s="115" t="n"/>
      <c r="F91" s="115" t="n"/>
      <c r="G91" s="115" t="n"/>
      <c r="H91" s="115" t="n"/>
      <c r="I91" s="116" t="n"/>
      <c r="J91" s="114" t="n"/>
      <c r="K91" s="115" t="n"/>
      <c r="L91" s="115" t="n"/>
      <c r="M91" s="115" t="n"/>
      <c r="N91" s="115" t="n"/>
      <c r="O91" s="115" t="n"/>
      <c r="P91" s="115" t="n"/>
      <c r="Q91" s="116" t="n"/>
      <c r="R91" s="84" t="n"/>
      <c r="S91" s="84" t="n"/>
    </row>
    <row r="92" ht="14" customHeight="1" s="83">
      <c r="A92" s="84" t="n"/>
      <c r="B92" s="114" t="n"/>
      <c r="C92" s="115" t="n"/>
      <c r="D92" s="115" t="n"/>
      <c r="E92" s="115" t="n"/>
      <c r="F92" s="115" t="n"/>
      <c r="G92" s="115" t="n"/>
      <c r="H92" s="115" t="n"/>
      <c r="I92" s="116" t="n"/>
      <c r="J92" s="114" t="n"/>
      <c r="K92" s="115" t="n"/>
      <c r="L92" s="115" t="n"/>
      <c r="M92" s="115" t="n"/>
      <c r="N92" s="115" t="n"/>
      <c r="O92" s="115" t="n"/>
      <c r="P92" s="115" t="n"/>
      <c r="Q92" s="116" t="n"/>
      <c r="R92" s="84" t="n"/>
      <c r="S92" s="84" t="n"/>
    </row>
    <row r="93" ht="14" customHeight="1" s="83">
      <c r="A93" s="84" t="n"/>
      <c r="B93" s="114" t="n"/>
      <c r="C93" s="115" t="n"/>
      <c r="D93" s="115" t="n"/>
      <c r="E93" s="115" t="n"/>
      <c r="F93" s="115" t="n"/>
      <c r="G93" s="115" t="n"/>
      <c r="H93" s="115" t="n"/>
      <c r="I93" s="116" t="n"/>
      <c r="J93" s="114" t="n"/>
      <c r="K93" s="115" t="n"/>
      <c r="L93" s="115" t="n"/>
      <c r="M93" s="115" t="n"/>
      <c r="N93" s="115" t="n"/>
      <c r="O93" s="115" t="n"/>
      <c r="P93" s="115" t="n"/>
      <c r="Q93" s="116" t="n"/>
      <c r="R93" s="84" t="n"/>
      <c r="S93" s="84" t="n"/>
    </row>
    <row r="94" ht="14" customHeight="1" s="83">
      <c r="A94" s="84" t="n"/>
      <c r="B94" s="99" t="n"/>
      <c r="C94" s="100" t="n"/>
      <c r="D94" s="100" t="n"/>
      <c r="E94" s="100" t="n"/>
      <c r="F94" s="100" t="n"/>
      <c r="G94" s="100" t="n"/>
      <c r="H94" s="100" t="n"/>
      <c r="I94" s="101" t="n"/>
      <c r="J94" s="99" t="n"/>
      <c r="K94" s="100" t="n"/>
      <c r="L94" s="100" t="n"/>
      <c r="M94" s="100" t="n"/>
      <c r="N94" s="100" t="n"/>
      <c r="O94" s="100" t="n"/>
      <c r="P94" s="100" t="n"/>
      <c r="Q94" s="101" t="n"/>
      <c r="R94" s="84" t="n"/>
      <c r="S94" s="84" t="n"/>
    </row>
    <row r="95" ht="8" customHeight="1" s="83">
      <c r="A95" s="84" t="n"/>
      <c r="B95" s="84" t="n"/>
      <c r="C95" s="84" t="n"/>
      <c r="D95" s="84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</row>
    <row r="96" ht="10" customHeight="1" s="83">
      <c r="A96" s="84" t="n"/>
      <c r="B96" s="84" t="n"/>
      <c r="C96" s="84" t="n"/>
      <c r="D96" s="84" t="n"/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n"/>
      <c r="N96" s="84" t="n"/>
      <c r="O96" s="84" t="n"/>
      <c r="P96" s="84" t="n"/>
      <c r="Q96" s="84" t="n"/>
      <c r="R96" s="84" t="n"/>
      <c r="S96" s="84" t="n"/>
    </row>
    <row r="97" ht="16" customHeight="1" s="83">
      <c r="A97" s="84" t="n"/>
      <c r="B97" s="112" t="inlineStr">
        <is>
          <t>Candidate economics</t>
        </is>
      </c>
      <c r="R97" s="84" t="n"/>
      <c r="S97" s="84" t="n"/>
    </row>
    <row r="98" ht="13" customHeight="1" s="83">
      <c r="A98" s="84" t="n"/>
      <c r="B98" s="113" t="inlineStr">
        <is>
          <t>What the pool costs, and how ready it is to move.</t>
        </is>
      </c>
      <c r="R98" s="84" t="n"/>
      <c r="S98" s="84" t="n"/>
    </row>
    <row r="99" ht="6" customHeight="1" s="83">
      <c r="A99" s="84" t="n"/>
      <c r="B99" s="84" t="n"/>
      <c r="C99" s="84" t="n"/>
      <c r="D99" s="84" t="n"/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n"/>
      <c r="N99" s="84" t="n"/>
      <c r="O99" s="84" t="n"/>
      <c r="P99" s="84" t="n"/>
      <c r="Q99" s="84" t="n"/>
      <c r="R99" s="84" t="n"/>
      <c r="S99" s="84" t="n"/>
    </row>
    <row r="100" ht="14" customHeight="1" s="83">
      <c r="A100" s="84" t="n"/>
      <c r="B100" s="89" t="n"/>
      <c r="C100" s="90" t="n"/>
      <c r="D100" s="90" t="n"/>
      <c r="E100" s="90" t="n"/>
      <c r="F100" s="90" t="n"/>
      <c r="G100" s="90" t="n"/>
      <c r="H100" s="90" t="n"/>
      <c r="I100" s="91" t="n"/>
      <c r="J100" s="89" t="n"/>
      <c r="K100" s="90" t="n"/>
      <c r="L100" s="90" t="n"/>
      <c r="M100" s="90" t="n"/>
      <c r="N100" s="90" t="n"/>
      <c r="O100" s="90" t="n"/>
      <c r="P100" s="90" t="n"/>
      <c r="Q100" s="91" t="n"/>
      <c r="R100" s="84" t="n"/>
      <c r="S100" s="84" t="n"/>
    </row>
    <row r="101" ht="14" customHeight="1" s="83">
      <c r="A101" s="84" t="n"/>
      <c r="B101" s="114" t="n"/>
      <c r="C101" s="115" t="n"/>
      <c r="D101" s="115" t="n"/>
      <c r="E101" s="115" t="n"/>
      <c r="F101" s="115" t="n"/>
      <c r="G101" s="115" t="n"/>
      <c r="H101" s="115" t="n"/>
      <c r="I101" s="116" t="n"/>
      <c r="J101" s="114" t="n"/>
      <c r="K101" s="115" t="n"/>
      <c r="L101" s="115" t="n"/>
      <c r="M101" s="115" t="n"/>
      <c r="N101" s="115" t="n"/>
      <c r="O101" s="115" t="n"/>
      <c r="P101" s="115" t="n"/>
      <c r="Q101" s="116" t="n"/>
      <c r="R101" s="84" t="n"/>
      <c r="S101" s="84" t="n"/>
    </row>
    <row r="102" ht="14" customHeight="1" s="83">
      <c r="A102" s="84" t="n"/>
      <c r="B102" s="114" t="n"/>
      <c r="C102" s="115" t="n"/>
      <c r="D102" s="115" t="n"/>
      <c r="E102" s="115" t="n"/>
      <c r="F102" s="115" t="n"/>
      <c r="G102" s="115" t="n"/>
      <c r="H102" s="115" t="n"/>
      <c r="I102" s="116" t="n"/>
      <c r="J102" s="114" t="n"/>
      <c r="K102" s="115" t="n"/>
      <c r="L102" s="115" t="n"/>
      <c r="M102" s="115" t="n"/>
      <c r="N102" s="115" t="n"/>
      <c r="O102" s="115" t="n"/>
      <c r="P102" s="115" t="n"/>
      <c r="Q102" s="116" t="n"/>
      <c r="R102" s="84" t="n"/>
      <c r="S102" s="84" t="n"/>
    </row>
    <row r="103" ht="14" customHeight="1" s="83">
      <c r="A103" s="84" t="n"/>
      <c r="B103" s="114" t="n"/>
      <c r="C103" s="115" t="n"/>
      <c r="D103" s="115" t="n"/>
      <c r="E103" s="115" t="n"/>
      <c r="F103" s="115" t="n"/>
      <c r="G103" s="115" t="n"/>
      <c r="H103" s="115" t="n"/>
      <c r="I103" s="116" t="n"/>
      <c r="J103" s="114" t="n"/>
      <c r="K103" s="115" t="n"/>
      <c r="L103" s="115" t="n"/>
      <c r="M103" s="115" t="n"/>
      <c r="N103" s="115" t="n"/>
      <c r="O103" s="115" t="n"/>
      <c r="P103" s="115" t="n"/>
      <c r="Q103" s="116" t="n"/>
      <c r="R103" s="84" t="n"/>
      <c r="S103" s="84" t="n"/>
    </row>
    <row r="104" ht="14" customHeight="1" s="83">
      <c r="A104" s="84" t="n"/>
      <c r="B104" s="114" t="n"/>
      <c r="C104" s="115" t="n"/>
      <c r="D104" s="115" t="n"/>
      <c r="E104" s="115" t="n"/>
      <c r="F104" s="115" t="n"/>
      <c r="G104" s="115" t="n"/>
      <c r="H104" s="115" t="n"/>
      <c r="I104" s="116" t="n"/>
      <c r="J104" s="114" t="n"/>
      <c r="K104" s="115" t="n"/>
      <c r="L104" s="115" t="n"/>
      <c r="M104" s="115" t="n"/>
      <c r="N104" s="115" t="n"/>
      <c r="O104" s="115" t="n"/>
      <c r="P104" s="115" t="n"/>
      <c r="Q104" s="116" t="n"/>
      <c r="R104" s="84" t="n"/>
      <c r="S104" s="84" t="n"/>
    </row>
    <row r="105" ht="14" customHeight="1" s="83">
      <c r="A105" s="84" t="n"/>
      <c r="B105" s="114" t="n"/>
      <c r="C105" s="115" t="n"/>
      <c r="D105" s="115" t="n"/>
      <c r="E105" s="115" t="n"/>
      <c r="F105" s="115" t="n"/>
      <c r="G105" s="115" t="n"/>
      <c r="H105" s="115" t="n"/>
      <c r="I105" s="116" t="n"/>
      <c r="J105" s="114" t="n"/>
      <c r="K105" s="115" t="n"/>
      <c r="L105" s="115" t="n"/>
      <c r="M105" s="115" t="n"/>
      <c r="N105" s="115" t="n"/>
      <c r="O105" s="115" t="n"/>
      <c r="P105" s="115" t="n"/>
      <c r="Q105" s="116" t="n"/>
      <c r="R105" s="84" t="n"/>
      <c r="S105" s="84" t="n"/>
    </row>
    <row r="106" ht="14" customHeight="1" s="83">
      <c r="A106" s="84" t="n"/>
      <c r="B106" s="114" t="n"/>
      <c r="C106" s="115" t="n"/>
      <c r="D106" s="115" t="n"/>
      <c r="E106" s="115" t="n"/>
      <c r="F106" s="115" t="n"/>
      <c r="G106" s="115" t="n"/>
      <c r="H106" s="115" t="n"/>
      <c r="I106" s="116" t="n"/>
      <c r="J106" s="114" t="n"/>
      <c r="K106" s="115" t="n"/>
      <c r="L106" s="115" t="n"/>
      <c r="M106" s="115" t="n"/>
      <c r="N106" s="115" t="n"/>
      <c r="O106" s="115" t="n"/>
      <c r="P106" s="115" t="n"/>
      <c r="Q106" s="116" t="n"/>
      <c r="R106" s="84" t="n"/>
      <c r="S106" s="84" t="n"/>
    </row>
    <row r="107" ht="14" customHeight="1" s="83">
      <c r="A107" s="84" t="n"/>
      <c r="B107" s="114" t="n"/>
      <c r="C107" s="115" t="n"/>
      <c r="D107" s="115" t="n"/>
      <c r="E107" s="115" t="n"/>
      <c r="F107" s="115" t="n"/>
      <c r="G107" s="115" t="n"/>
      <c r="H107" s="115" t="n"/>
      <c r="I107" s="116" t="n"/>
      <c r="J107" s="114" t="n"/>
      <c r="K107" s="115" t="n"/>
      <c r="L107" s="115" t="n"/>
      <c r="M107" s="115" t="n"/>
      <c r="N107" s="115" t="n"/>
      <c r="O107" s="115" t="n"/>
      <c r="P107" s="115" t="n"/>
      <c r="Q107" s="116" t="n"/>
      <c r="R107" s="84" t="n"/>
      <c r="S107" s="84" t="n"/>
    </row>
    <row r="108" ht="14" customHeight="1" s="83">
      <c r="A108" s="84" t="n"/>
      <c r="B108" s="114" t="n"/>
      <c r="C108" s="115" t="n"/>
      <c r="D108" s="115" t="n"/>
      <c r="E108" s="115" t="n"/>
      <c r="F108" s="115" t="n"/>
      <c r="G108" s="115" t="n"/>
      <c r="H108" s="115" t="n"/>
      <c r="I108" s="116" t="n"/>
      <c r="J108" s="114" t="n"/>
      <c r="K108" s="115" t="n"/>
      <c r="L108" s="115" t="n"/>
      <c r="M108" s="115" t="n"/>
      <c r="N108" s="115" t="n"/>
      <c r="O108" s="115" t="n"/>
      <c r="P108" s="115" t="n"/>
      <c r="Q108" s="116" t="n"/>
      <c r="R108" s="84" t="n"/>
      <c r="S108" s="84" t="n"/>
    </row>
    <row r="109" ht="14" customHeight="1" s="83">
      <c r="A109" s="84" t="n"/>
      <c r="B109" s="114" t="n"/>
      <c r="C109" s="115" t="n"/>
      <c r="D109" s="115" t="n"/>
      <c r="E109" s="115" t="n"/>
      <c r="F109" s="115" t="n"/>
      <c r="G109" s="115" t="n"/>
      <c r="H109" s="115" t="n"/>
      <c r="I109" s="116" t="n"/>
      <c r="J109" s="114" t="n"/>
      <c r="K109" s="115" t="n"/>
      <c r="L109" s="115" t="n"/>
      <c r="M109" s="115" t="n"/>
      <c r="N109" s="115" t="n"/>
      <c r="O109" s="115" t="n"/>
      <c r="P109" s="115" t="n"/>
      <c r="Q109" s="116" t="n"/>
      <c r="R109" s="84" t="n"/>
      <c r="S109" s="84" t="n"/>
    </row>
    <row r="110" ht="14" customHeight="1" s="83">
      <c r="A110" s="84" t="n"/>
      <c r="B110" s="114" t="n"/>
      <c r="C110" s="115" t="n"/>
      <c r="D110" s="115" t="n"/>
      <c r="E110" s="115" t="n"/>
      <c r="F110" s="115" t="n"/>
      <c r="G110" s="115" t="n"/>
      <c r="H110" s="115" t="n"/>
      <c r="I110" s="116" t="n"/>
      <c r="J110" s="114" t="n"/>
      <c r="K110" s="115" t="n"/>
      <c r="L110" s="115" t="n"/>
      <c r="M110" s="115" t="n"/>
      <c r="N110" s="115" t="n"/>
      <c r="O110" s="115" t="n"/>
      <c r="P110" s="115" t="n"/>
      <c r="Q110" s="116" t="n"/>
      <c r="R110" s="84" t="n"/>
      <c r="S110" s="84" t="n"/>
    </row>
    <row r="111" ht="14" customHeight="1" s="83">
      <c r="A111" s="84" t="n"/>
      <c r="B111" s="114" t="n"/>
      <c r="C111" s="115" t="n"/>
      <c r="D111" s="115" t="n"/>
      <c r="E111" s="115" t="n"/>
      <c r="F111" s="115" t="n"/>
      <c r="G111" s="115" t="n"/>
      <c r="H111" s="115" t="n"/>
      <c r="I111" s="116" t="n"/>
      <c r="J111" s="114" t="n"/>
      <c r="K111" s="115" t="n"/>
      <c r="L111" s="115" t="n"/>
      <c r="M111" s="115" t="n"/>
      <c r="N111" s="115" t="n"/>
      <c r="O111" s="115" t="n"/>
      <c r="P111" s="115" t="n"/>
      <c r="Q111" s="116" t="n"/>
      <c r="R111" s="84" t="n"/>
      <c r="S111" s="84" t="n"/>
    </row>
    <row r="112" ht="14" customHeight="1" s="83">
      <c r="A112" s="84" t="n"/>
      <c r="B112" s="114" t="n"/>
      <c r="C112" s="115" t="n"/>
      <c r="D112" s="115" t="n"/>
      <c r="E112" s="115" t="n"/>
      <c r="F112" s="115" t="n"/>
      <c r="G112" s="115" t="n"/>
      <c r="H112" s="115" t="n"/>
      <c r="I112" s="116" t="n"/>
      <c r="J112" s="114" t="n"/>
      <c r="K112" s="115" t="n"/>
      <c r="L112" s="115" t="n"/>
      <c r="M112" s="115" t="n"/>
      <c r="N112" s="115" t="n"/>
      <c r="O112" s="115" t="n"/>
      <c r="P112" s="115" t="n"/>
      <c r="Q112" s="116" t="n"/>
      <c r="R112" s="84" t="n"/>
      <c r="S112" s="84" t="n"/>
    </row>
    <row r="113" ht="14" customHeight="1" s="83">
      <c r="A113" s="84" t="n"/>
      <c r="B113" s="114" t="n"/>
      <c r="C113" s="115" t="n"/>
      <c r="D113" s="115" t="n"/>
      <c r="E113" s="115" t="n"/>
      <c r="F113" s="115" t="n"/>
      <c r="G113" s="115" t="n"/>
      <c r="H113" s="115" t="n"/>
      <c r="I113" s="116" t="n"/>
      <c r="J113" s="114" t="n"/>
      <c r="K113" s="115" t="n"/>
      <c r="L113" s="115" t="n"/>
      <c r="M113" s="115" t="n"/>
      <c r="N113" s="115" t="n"/>
      <c r="O113" s="115" t="n"/>
      <c r="P113" s="115" t="n"/>
      <c r="Q113" s="116" t="n"/>
      <c r="R113" s="84" t="n"/>
      <c r="S113" s="84" t="n"/>
    </row>
    <row r="114" ht="14" customHeight="1" s="83">
      <c r="A114" s="84" t="n"/>
      <c r="B114" s="114" t="n"/>
      <c r="C114" s="115" t="n"/>
      <c r="D114" s="115" t="n"/>
      <c r="E114" s="115" t="n"/>
      <c r="F114" s="115" t="n"/>
      <c r="G114" s="115" t="n"/>
      <c r="H114" s="115" t="n"/>
      <c r="I114" s="116" t="n"/>
      <c r="J114" s="114" t="n"/>
      <c r="K114" s="115" t="n"/>
      <c r="L114" s="115" t="n"/>
      <c r="M114" s="115" t="n"/>
      <c r="N114" s="115" t="n"/>
      <c r="O114" s="115" t="n"/>
      <c r="P114" s="115" t="n"/>
      <c r="Q114" s="116" t="n"/>
      <c r="R114" s="84" t="n"/>
      <c r="S114" s="84" t="n"/>
    </row>
    <row r="115" ht="14" customHeight="1" s="83">
      <c r="A115" s="84" t="n"/>
      <c r="B115" s="99" t="n"/>
      <c r="C115" s="100" t="n"/>
      <c r="D115" s="100" t="n"/>
      <c r="E115" s="100" t="n"/>
      <c r="F115" s="100" t="n"/>
      <c r="G115" s="100" t="n"/>
      <c r="H115" s="100" t="n"/>
      <c r="I115" s="101" t="n"/>
      <c r="J115" s="99" t="n"/>
      <c r="K115" s="100" t="n"/>
      <c r="L115" s="100" t="n"/>
      <c r="M115" s="100" t="n"/>
      <c r="N115" s="100" t="n"/>
      <c r="O115" s="100" t="n"/>
      <c r="P115" s="100" t="n"/>
      <c r="Q115" s="101" t="n"/>
      <c r="R115" s="84" t="n"/>
      <c r="S115" s="84" t="n"/>
    </row>
    <row r="116" ht="8" customHeight="1" s="83">
      <c r="A116" s="84" t="n"/>
      <c r="B116" s="84" t="n"/>
      <c r="C116" s="84" t="n"/>
      <c r="D116" s="84" t="n"/>
      <c r="E116" s="84" t="n"/>
      <c r="F116" s="84" t="n"/>
      <c r="G116" s="84" t="n"/>
      <c r="H116" s="84" t="n"/>
      <c r="I116" s="84" t="n"/>
      <c r="J116" s="84" t="n"/>
      <c r="K116" s="84" t="n"/>
      <c r="L116" s="84" t="n"/>
      <c r="M116" s="84" t="n"/>
      <c r="N116" s="84" t="n"/>
      <c r="O116" s="84" t="n"/>
      <c r="P116" s="84" t="n"/>
      <c r="Q116" s="84" t="n"/>
      <c r="R116" s="84" t="n"/>
      <c r="S116" s="84" t="n"/>
    </row>
    <row r="117" ht="10" customHeight="1" s="83">
      <c r="A117" s="84" t="n"/>
      <c r="B117" s="84" t="n"/>
      <c r="C117" s="84" t="n"/>
      <c r="D117" s="84" t="n"/>
      <c r="E117" s="84" t="n"/>
      <c r="F117" s="84" t="n"/>
      <c r="G117" s="84" t="n"/>
      <c r="H117" s="84" t="n"/>
      <c r="I117" s="84" t="n"/>
      <c r="J117" s="84" t="n"/>
      <c r="K117" s="84" t="n"/>
      <c r="L117" s="84" t="n"/>
      <c r="M117" s="84" t="n"/>
      <c r="N117" s="84" t="n"/>
      <c r="O117" s="84" t="n"/>
      <c r="P117" s="84" t="n"/>
      <c r="Q117" s="84" t="n"/>
      <c r="R117" s="84" t="n"/>
      <c r="S117" s="84" t="n"/>
    </row>
    <row r="118" ht="16" customHeight="1" s="83">
      <c r="A118" s="84" t="n"/>
      <c r="B118" s="112" t="inlineStr">
        <is>
          <t>Experience profile</t>
        </is>
      </c>
      <c r="R118" s="84" t="n"/>
      <c r="S118" s="84" t="n"/>
    </row>
    <row r="119" ht="13" customHeight="1" s="83">
      <c r="A119" s="84" t="n"/>
      <c r="B119" s="113" t="inlineStr">
        <is>
          <t>Depth of the submitted pool and the uplift it is asking for.</t>
        </is>
      </c>
      <c r="R119" s="84" t="n"/>
      <c r="S119" s="84" t="n"/>
    </row>
    <row r="120" ht="6" customHeight="1" s="83">
      <c r="A120" s="84" t="n"/>
      <c r="B120" s="84" t="n"/>
      <c r="C120" s="84" t="n"/>
      <c r="D120" s="84" t="n"/>
      <c r="E120" s="84" t="n"/>
      <c r="F120" s="84" t="n"/>
      <c r="G120" s="84" t="n"/>
      <c r="H120" s="84" t="n"/>
      <c r="I120" s="84" t="n"/>
      <c r="J120" s="84" t="n"/>
      <c r="K120" s="84" t="n"/>
      <c r="L120" s="84" t="n"/>
      <c r="M120" s="84" t="n"/>
      <c r="N120" s="84" t="n"/>
      <c r="O120" s="84" t="n"/>
      <c r="P120" s="84" t="n"/>
      <c r="Q120" s="84" t="n"/>
      <c r="R120" s="84" t="n"/>
      <c r="S120" s="84" t="n"/>
    </row>
    <row r="121" ht="14" customHeight="1" s="83">
      <c r="A121" s="84" t="n"/>
      <c r="B121" s="89" t="n"/>
      <c r="C121" s="90" t="n"/>
      <c r="D121" s="90" t="n"/>
      <c r="E121" s="90" t="n"/>
      <c r="F121" s="90" t="n"/>
      <c r="G121" s="90" t="n"/>
      <c r="H121" s="90" t="n"/>
      <c r="I121" s="91" t="n"/>
      <c r="J121" s="89" t="n"/>
      <c r="K121" s="90" t="n"/>
      <c r="L121" s="90" t="n"/>
      <c r="M121" s="90" t="n"/>
      <c r="N121" s="90" t="n"/>
      <c r="O121" s="90" t="n"/>
      <c r="P121" s="90" t="n"/>
      <c r="Q121" s="91" t="n"/>
      <c r="R121" s="84" t="n"/>
      <c r="S121" s="84" t="n"/>
    </row>
    <row r="122" ht="14" customHeight="1" s="83">
      <c r="A122" s="84" t="n"/>
      <c r="B122" s="114" t="n"/>
      <c r="C122" s="115" t="n"/>
      <c r="D122" s="115" t="n"/>
      <c r="E122" s="115" t="n"/>
      <c r="F122" s="115" t="n"/>
      <c r="G122" s="115" t="n"/>
      <c r="H122" s="115" t="n"/>
      <c r="I122" s="116" t="n"/>
      <c r="J122" s="114" t="n"/>
      <c r="K122" s="115" t="n"/>
      <c r="L122" s="115" t="n"/>
      <c r="M122" s="115" t="n"/>
      <c r="N122" s="115" t="n"/>
      <c r="O122" s="115" t="n"/>
      <c r="P122" s="115" t="n"/>
      <c r="Q122" s="116" t="n"/>
      <c r="R122" s="84" t="n"/>
      <c r="S122" s="84" t="n"/>
    </row>
    <row r="123" ht="14" customHeight="1" s="83">
      <c r="A123" s="84" t="n"/>
      <c r="B123" s="114" t="n"/>
      <c r="C123" s="115" t="n"/>
      <c r="D123" s="115" t="n"/>
      <c r="E123" s="115" t="n"/>
      <c r="F123" s="115" t="n"/>
      <c r="G123" s="115" t="n"/>
      <c r="H123" s="115" t="n"/>
      <c r="I123" s="116" t="n"/>
      <c r="J123" s="114" t="n"/>
      <c r="K123" s="115" t="n"/>
      <c r="L123" s="115" t="n"/>
      <c r="M123" s="115" t="n"/>
      <c r="N123" s="115" t="n"/>
      <c r="O123" s="115" t="n"/>
      <c r="P123" s="115" t="n"/>
      <c r="Q123" s="116" t="n"/>
      <c r="R123" s="84" t="n"/>
      <c r="S123" s="84" t="n"/>
    </row>
    <row r="124" ht="14" customHeight="1" s="83">
      <c r="A124" s="84" t="n"/>
      <c r="B124" s="114" t="n"/>
      <c r="C124" s="115" t="n"/>
      <c r="D124" s="115" t="n"/>
      <c r="E124" s="115" t="n"/>
      <c r="F124" s="115" t="n"/>
      <c r="G124" s="115" t="n"/>
      <c r="H124" s="115" t="n"/>
      <c r="I124" s="116" t="n"/>
      <c r="J124" s="114" t="n"/>
      <c r="K124" s="115" t="n"/>
      <c r="L124" s="115" t="n"/>
      <c r="M124" s="115" t="n"/>
      <c r="N124" s="115" t="n"/>
      <c r="O124" s="115" t="n"/>
      <c r="P124" s="115" t="n"/>
      <c r="Q124" s="116" t="n"/>
      <c r="R124" s="84" t="n"/>
      <c r="S124" s="84" t="n"/>
    </row>
    <row r="125" ht="14" customHeight="1" s="83">
      <c r="A125" s="84" t="n"/>
      <c r="B125" s="114" t="n"/>
      <c r="C125" s="115" t="n"/>
      <c r="D125" s="115" t="n"/>
      <c r="E125" s="115" t="n"/>
      <c r="F125" s="115" t="n"/>
      <c r="G125" s="115" t="n"/>
      <c r="H125" s="115" t="n"/>
      <c r="I125" s="116" t="n"/>
      <c r="J125" s="114" t="n"/>
      <c r="K125" s="115" t="n"/>
      <c r="L125" s="115" t="n"/>
      <c r="M125" s="115" t="n"/>
      <c r="N125" s="115" t="n"/>
      <c r="O125" s="115" t="n"/>
      <c r="P125" s="115" t="n"/>
      <c r="Q125" s="116" t="n"/>
      <c r="R125" s="84" t="n"/>
      <c r="S125" s="84" t="n"/>
    </row>
    <row r="126" ht="14" customHeight="1" s="83">
      <c r="A126" s="84" t="n"/>
      <c r="B126" s="114" t="n"/>
      <c r="C126" s="115" t="n"/>
      <c r="D126" s="115" t="n"/>
      <c r="E126" s="115" t="n"/>
      <c r="F126" s="115" t="n"/>
      <c r="G126" s="115" t="n"/>
      <c r="H126" s="115" t="n"/>
      <c r="I126" s="116" t="n"/>
      <c r="J126" s="114" t="n"/>
      <c r="K126" s="115" t="n"/>
      <c r="L126" s="115" t="n"/>
      <c r="M126" s="115" t="n"/>
      <c r="N126" s="115" t="n"/>
      <c r="O126" s="115" t="n"/>
      <c r="P126" s="115" t="n"/>
      <c r="Q126" s="116" t="n"/>
      <c r="R126" s="84" t="n"/>
      <c r="S126" s="84" t="n"/>
    </row>
    <row r="127" ht="14" customHeight="1" s="83">
      <c r="A127" s="84" t="n"/>
      <c r="B127" s="114" t="n"/>
      <c r="C127" s="115" t="n"/>
      <c r="D127" s="115" t="n"/>
      <c r="E127" s="115" t="n"/>
      <c r="F127" s="115" t="n"/>
      <c r="G127" s="115" t="n"/>
      <c r="H127" s="115" t="n"/>
      <c r="I127" s="116" t="n"/>
      <c r="J127" s="114" t="n"/>
      <c r="K127" s="115" t="n"/>
      <c r="L127" s="115" t="n"/>
      <c r="M127" s="115" t="n"/>
      <c r="N127" s="115" t="n"/>
      <c r="O127" s="115" t="n"/>
      <c r="P127" s="115" t="n"/>
      <c r="Q127" s="116" t="n"/>
      <c r="R127" s="84" t="n"/>
      <c r="S127" s="84" t="n"/>
    </row>
    <row r="128" ht="14" customHeight="1" s="83">
      <c r="A128" s="84" t="n"/>
      <c r="B128" s="114" t="n"/>
      <c r="C128" s="115" t="n"/>
      <c r="D128" s="115" t="n"/>
      <c r="E128" s="115" t="n"/>
      <c r="F128" s="115" t="n"/>
      <c r="G128" s="115" t="n"/>
      <c r="H128" s="115" t="n"/>
      <c r="I128" s="116" t="n"/>
      <c r="J128" s="114" t="n"/>
      <c r="K128" s="115" t="n"/>
      <c r="L128" s="115" t="n"/>
      <c r="M128" s="115" t="n"/>
      <c r="N128" s="115" t="n"/>
      <c r="O128" s="115" t="n"/>
      <c r="P128" s="115" t="n"/>
      <c r="Q128" s="116" t="n"/>
      <c r="R128" s="84" t="n"/>
      <c r="S128" s="84" t="n"/>
    </row>
    <row r="129" ht="14" customHeight="1" s="83">
      <c r="A129" s="84" t="n"/>
      <c r="B129" s="114" t="n"/>
      <c r="C129" s="115" t="n"/>
      <c r="D129" s="115" t="n"/>
      <c r="E129" s="115" t="n"/>
      <c r="F129" s="115" t="n"/>
      <c r="G129" s="115" t="n"/>
      <c r="H129" s="115" t="n"/>
      <c r="I129" s="116" t="n"/>
      <c r="J129" s="114" t="n"/>
      <c r="K129" s="115" t="n"/>
      <c r="L129" s="115" t="n"/>
      <c r="M129" s="115" t="n"/>
      <c r="N129" s="115" t="n"/>
      <c r="O129" s="115" t="n"/>
      <c r="P129" s="115" t="n"/>
      <c r="Q129" s="116" t="n"/>
      <c r="R129" s="84" t="n"/>
      <c r="S129" s="84" t="n"/>
    </row>
    <row r="130" ht="14" customHeight="1" s="83">
      <c r="A130" s="84" t="n"/>
      <c r="B130" s="114" t="n"/>
      <c r="C130" s="115" t="n"/>
      <c r="D130" s="115" t="n"/>
      <c r="E130" s="115" t="n"/>
      <c r="F130" s="115" t="n"/>
      <c r="G130" s="115" t="n"/>
      <c r="H130" s="115" t="n"/>
      <c r="I130" s="116" t="n"/>
      <c r="J130" s="114" t="n"/>
      <c r="K130" s="115" t="n"/>
      <c r="L130" s="115" t="n"/>
      <c r="M130" s="115" t="n"/>
      <c r="N130" s="115" t="n"/>
      <c r="O130" s="115" t="n"/>
      <c r="P130" s="115" t="n"/>
      <c r="Q130" s="116" t="n"/>
      <c r="R130" s="84" t="n"/>
      <c r="S130" s="84" t="n"/>
    </row>
    <row r="131" ht="14" customHeight="1" s="83">
      <c r="A131" s="84" t="n"/>
      <c r="B131" s="114" t="n"/>
      <c r="C131" s="115" t="n"/>
      <c r="D131" s="115" t="n"/>
      <c r="E131" s="115" t="n"/>
      <c r="F131" s="115" t="n"/>
      <c r="G131" s="115" t="n"/>
      <c r="H131" s="115" t="n"/>
      <c r="I131" s="116" t="n"/>
      <c r="J131" s="114" t="n"/>
      <c r="K131" s="115" t="n"/>
      <c r="L131" s="115" t="n"/>
      <c r="M131" s="115" t="n"/>
      <c r="N131" s="115" t="n"/>
      <c r="O131" s="115" t="n"/>
      <c r="P131" s="115" t="n"/>
      <c r="Q131" s="116" t="n"/>
      <c r="R131" s="84" t="n"/>
      <c r="S131" s="84" t="n"/>
    </row>
    <row r="132" ht="14" customHeight="1" s="83">
      <c r="A132" s="84" t="n"/>
      <c r="B132" s="114" t="n"/>
      <c r="C132" s="115" t="n"/>
      <c r="D132" s="115" t="n"/>
      <c r="E132" s="115" t="n"/>
      <c r="F132" s="115" t="n"/>
      <c r="G132" s="115" t="n"/>
      <c r="H132" s="115" t="n"/>
      <c r="I132" s="116" t="n"/>
      <c r="J132" s="114" t="n"/>
      <c r="K132" s="115" t="n"/>
      <c r="L132" s="115" t="n"/>
      <c r="M132" s="115" t="n"/>
      <c r="N132" s="115" t="n"/>
      <c r="O132" s="115" t="n"/>
      <c r="P132" s="115" t="n"/>
      <c r="Q132" s="116" t="n"/>
      <c r="R132" s="84" t="n"/>
      <c r="S132" s="84" t="n"/>
    </row>
    <row r="133" ht="14" customHeight="1" s="83">
      <c r="A133" s="84" t="n"/>
      <c r="B133" s="114" t="n"/>
      <c r="C133" s="115" t="n"/>
      <c r="D133" s="115" t="n"/>
      <c r="E133" s="115" t="n"/>
      <c r="F133" s="115" t="n"/>
      <c r="G133" s="115" t="n"/>
      <c r="H133" s="115" t="n"/>
      <c r="I133" s="116" t="n"/>
      <c r="J133" s="114" t="n"/>
      <c r="K133" s="115" t="n"/>
      <c r="L133" s="115" t="n"/>
      <c r="M133" s="115" t="n"/>
      <c r="N133" s="115" t="n"/>
      <c r="O133" s="115" t="n"/>
      <c r="P133" s="115" t="n"/>
      <c r="Q133" s="116" t="n"/>
      <c r="R133" s="84" t="n"/>
      <c r="S133" s="84" t="n"/>
    </row>
    <row r="134" ht="14" customHeight="1" s="83">
      <c r="A134" s="84" t="n"/>
      <c r="B134" s="114" t="n"/>
      <c r="C134" s="115" t="n"/>
      <c r="D134" s="115" t="n"/>
      <c r="E134" s="115" t="n"/>
      <c r="F134" s="115" t="n"/>
      <c r="G134" s="115" t="n"/>
      <c r="H134" s="115" t="n"/>
      <c r="I134" s="116" t="n"/>
      <c r="J134" s="114" t="n"/>
      <c r="K134" s="115" t="n"/>
      <c r="L134" s="115" t="n"/>
      <c r="M134" s="115" t="n"/>
      <c r="N134" s="115" t="n"/>
      <c r="O134" s="115" t="n"/>
      <c r="P134" s="115" t="n"/>
      <c r="Q134" s="116" t="n"/>
      <c r="R134" s="84" t="n"/>
      <c r="S134" s="84" t="n"/>
    </row>
    <row r="135" ht="14" customHeight="1" s="83">
      <c r="A135" s="84" t="n"/>
      <c r="B135" s="114" t="n"/>
      <c r="C135" s="115" t="n"/>
      <c r="D135" s="115" t="n"/>
      <c r="E135" s="115" t="n"/>
      <c r="F135" s="115" t="n"/>
      <c r="G135" s="115" t="n"/>
      <c r="H135" s="115" t="n"/>
      <c r="I135" s="116" t="n"/>
      <c r="J135" s="114" t="n"/>
      <c r="K135" s="115" t="n"/>
      <c r="L135" s="115" t="n"/>
      <c r="M135" s="115" t="n"/>
      <c r="N135" s="115" t="n"/>
      <c r="O135" s="115" t="n"/>
      <c r="P135" s="115" t="n"/>
      <c r="Q135" s="116" t="n"/>
      <c r="R135" s="84" t="n"/>
      <c r="S135" s="84" t="n"/>
    </row>
    <row r="136" ht="14" customHeight="1" s="83">
      <c r="A136" s="84" t="n"/>
      <c r="B136" s="99" t="n"/>
      <c r="C136" s="100" t="n"/>
      <c r="D136" s="100" t="n"/>
      <c r="E136" s="100" t="n"/>
      <c r="F136" s="100" t="n"/>
      <c r="G136" s="100" t="n"/>
      <c r="H136" s="100" t="n"/>
      <c r="I136" s="101" t="n"/>
      <c r="J136" s="99" t="n"/>
      <c r="K136" s="100" t="n"/>
      <c r="L136" s="100" t="n"/>
      <c r="M136" s="100" t="n"/>
      <c r="N136" s="100" t="n"/>
      <c r="O136" s="100" t="n"/>
      <c r="P136" s="100" t="n"/>
      <c r="Q136" s="101" t="n"/>
      <c r="R136" s="84" t="n"/>
      <c r="S136" s="84" t="n"/>
    </row>
    <row r="137" ht="8" customHeight="1" s="83">
      <c r="A137" s="84" t="n"/>
      <c r="B137" s="84" t="n"/>
      <c r="C137" s="84" t="n"/>
      <c r="D137" s="84" t="n"/>
      <c r="E137" s="84" t="n"/>
      <c r="F137" s="84" t="n"/>
      <c r="G137" s="84" t="n"/>
      <c r="H137" s="84" t="n"/>
      <c r="I137" s="84" t="n"/>
      <c r="J137" s="84" t="n"/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</row>
    <row r="138" ht="12" customHeight="1" s="83">
      <c r="A138" s="84" t="n"/>
      <c r="B138" s="84" t="n"/>
      <c r="C138" s="84" t="n"/>
      <c r="D138" s="84" t="n"/>
      <c r="E138" s="84" t="n"/>
      <c r="F138" s="84" t="n"/>
      <c r="G138" s="84" t="n"/>
      <c r="H138" s="84" t="n"/>
      <c r="I138" s="84" t="n"/>
      <c r="J138" s="84" t="n"/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</row>
    <row r="139" ht="16" customHeight="1" s="83">
      <c r="A139" s="84" t="n"/>
      <c r="B139" s="112" t="inlineStr">
        <is>
          <t>Pipeline leaders</t>
        </is>
      </c>
      <c r="R139" s="84" t="n"/>
      <c r="S139" s="84" t="n"/>
    </row>
    <row r="140" ht="13" customHeight="1" s="83">
      <c r="A140" s="84" t="n"/>
      <c r="B140" s="113" t="inlineStr">
        <is>
          <t>Top 12 by furthest stage reached, then most recent activity. Recalculates the moment a stage changes — no manual sorting.</t>
        </is>
      </c>
      <c r="R140" s="84" t="n"/>
      <c r="S140" s="84" t="n"/>
    </row>
    <row r="141" ht="20" customHeight="1" s="83">
      <c r="A141" s="84" t="n"/>
      <c r="B141" s="117" t="inlineStr">
        <is>
          <t>#</t>
        </is>
      </c>
      <c r="C141" s="118" t="inlineStr">
        <is>
          <t>CANDIDATE</t>
        </is>
      </c>
      <c r="D141" s="119" t="n"/>
      <c r="E141" s="118" t="inlineStr">
        <is>
          <t>COMPANY</t>
        </is>
      </c>
      <c r="F141" s="119" t="n"/>
      <c r="G141" s="118" t="inlineStr">
        <is>
          <t>CITY</t>
        </is>
      </c>
      <c r="H141" s="117" t="inlineStr">
        <is>
          <t>EXP</t>
        </is>
      </c>
      <c r="I141" s="118" t="inlineStr">
        <is>
          <t>STAGE</t>
        </is>
      </c>
      <c r="J141" s="119" t="n"/>
      <c r="K141" s="118" t="inlineStr">
        <is>
          <t>SUB-STATUS</t>
        </is>
      </c>
      <c r="L141" s="119" t="n"/>
      <c r="M141" s="117" t="inlineStr">
        <is>
          <t>CCTC</t>
        </is>
      </c>
      <c r="N141" s="117" t="inlineStr">
        <is>
          <t>ECTC</t>
        </is>
      </c>
      <c r="O141" s="117" t="inlineStr">
        <is>
          <t>HIKE</t>
        </is>
      </c>
      <c r="P141" s="117" t="inlineStr">
        <is>
          <t>AVAILABILITY</t>
        </is>
      </c>
      <c r="Q141" s="118" t="inlineStr">
        <is>
          <t>RECRUITER</t>
        </is>
      </c>
      <c r="R141" s="84" t="n"/>
      <c r="S141" s="84" t="n"/>
    </row>
    <row r="142" ht="17" customHeight="1" s="83">
      <c r="A142" s="84" t="n"/>
      <c r="B142" s="120">
        <f>'Dashboard Calc'!$A$321</f>
        <v>1</v>
      </c>
      <c r="C142" s="121" t="str">
        <f>'Dashboard Calc'!$B$321</f>
        <v>Ankit Mahajan</v>
      </c>
      <c r="D142" s="122" t="n"/>
      <c r="E142" s="123" t="str">
        <f>'Dashboard Calc'!$C$321</f>
        <v>Samsara Group</v>
      </c>
      <c r="F142" s="122" t="n"/>
      <c r="G142" s="123" t="str">
        <f>'Dashboard Calc'!$D$321</f>
        <v>Mumbai</v>
      </c>
      <c r="H142" s="124">
        <f>'Dashboard Calc'!$E$321</f>
        <v>8</v>
      </c>
      <c r="I142" s="123" t="str">
        <f>'Dashboard Calc'!$F$321</f>
        <v>ZN Interview</v>
      </c>
      <c r="J142" s="122" t="n"/>
      <c r="K142" s="123" t="str">
        <f>'Dashboard Calc'!$G$321</f>
        <v>L1 Scheduled on 25th Aug</v>
      </c>
      <c r="L142" s="122" t="n"/>
      <c r="M142" s="125">
        <f>'Dashboard Calc'!$H$321</f>
        <v>17</v>
      </c>
      <c r="N142" s="125">
        <f>'Dashboard Calc'!$I$321</f>
        <v>25</v>
      </c>
      <c r="O142" s="126">
        <f>'Dashboard Calc'!$J$321</f>
        <v>0.47058823529411775</v>
      </c>
      <c r="P142" s="127" t="str">
        <f>'Dashboard Calc'!$K$321</f>
        <v>31-60 days</v>
      </c>
      <c r="Q142" s="123" t="str">
        <f>'Dashboard Calc'!$L$321</f>
        <v>Sarath</v>
      </c>
      <c r="R142" s="84" t="n"/>
      <c r="S142" s="84" t="n"/>
    </row>
    <row r="143" ht="17" customHeight="1" s="83">
      <c r="A143" s="84" t="n"/>
      <c r="B143" s="128">
        <f>'Dashboard Calc'!$A$322</f>
        <v>2</v>
      </c>
      <c r="C143" s="129" t="str">
        <f>'Dashboard Calc'!$B$322</f>
        <v>Duraipandi R</v>
      </c>
      <c r="D143" s="130" t="n"/>
      <c r="E143" s="131" t="str">
        <f>'Dashboard Calc'!$C$322</f>
        <v>Sify Technologies Limited</v>
      </c>
      <c r="F143" s="130" t="n"/>
      <c r="G143" s="131" t="str">
        <f>'Dashboard Calc'!$D$322</f>
        <v>Chennai</v>
      </c>
      <c r="H143" s="132">
        <f>'Dashboard Calc'!$E$322</f>
        <v>3</v>
      </c>
      <c r="I143" s="131" t="str">
        <f>'Dashboard Calc'!$F$322</f>
        <v>ZN Interview</v>
      </c>
      <c r="J143" s="130" t="n"/>
      <c r="K143" s="131" t="str">
        <f>'Dashboard Calc'!$G$322</f>
        <v>L1 - 2nd Oct - 11am</v>
      </c>
      <c r="L143" s="130" t="n"/>
      <c r="M143" s="133">
        <f>'Dashboard Calc'!$H$322</f>
        <v>8</v>
      </c>
      <c r="N143" s="133">
        <f>'Dashboard Calc'!$I$322</f>
        <v>15</v>
      </c>
      <c r="O143" s="134">
        <f>'Dashboard Calc'!$J$322</f>
        <v>0.875</v>
      </c>
      <c r="P143" s="135" t="str">
        <f>'Dashboard Calc'!$K$322</f>
        <v>Not recorded</v>
      </c>
      <c r="Q143" s="131" t="str">
        <f>'Dashboard Calc'!$L$322</f>
        <v>Ananthy</v>
      </c>
      <c r="R143" s="84" t="n"/>
      <c r="S143" s="84" t="n"/>
    </row>
    <row r="144" ht="17" customHeight="1" s="83">
      <c r="A144" s="84" t="n"/>
      <c r="B144" s="136">
        <f>'Dashboard Calc'!$A$323</f>
        <v>3</v>
      </c>
      <c r="C144" s="137" t="str">
        <f>'Dashboard Calc'!$B$323</f>
        <v>syed sharukh</v>
      </c>
      <c r="D144" s="122" t="n"/>
      <c r="E144" s="138" t="str">
        <f>'Dashboard Calc'!$C$323</f>
        <v>Avasoft</v>
      </c>
      <c r="F144" s="122" t="n"/>
      <c r="G144" s="138" t="str">
        <f>'Dashboard Calc'!$D$323</f>
        <v>Chennai</v>
      </c>
      <c r="H144" s="139">
        <f>'Dashboard Calc'!$E$323</f>
        <v>3</v>
      </c>
      <c r="I144" s="138" t="str">
        <f>'Dashboard Calc'!$F$323</f>
        <v>ZN Interview</v>
      </c>
      <c r="J144" s="122" t="n"/>
      <c r="K144" s="138" t="str">
        <f>'Dashboard Calc'!$G$323</f>
        <v>L1 - 25th Aug</v>
      </c>
      <c r="L144" s="122" t="n"/>
      <c r="M144" s="140">
        <f>'Dashboard Calc'!$H$323</f>
        <v>11</v>
      </c>
      <c r="N144" s="140">
        <f>'Dashboard Calc'!$I$323</f>
        <v>16</v>
      </c>
      <c r="O144" s="141">
        <f>'Dashboard Calc'!$J$323</f>
        <v>0.4545454545454546</v>
      </c>
      <c r="P144" s="142" t="str">
        <f>'Dashboard Calc'!$K$323</f>
        <v>Not recorded</v>
      </c>
      <c r="Q144" s="138" t="str">
        <f>'Dashboard Calc'!$L$323</f>
        <v>Ananthy</v>
      </c>
      <c r="R144" s="84" t="n"/>
      <c r="S144" s="84" t="n"/>
    </row>
    <row r="145" ht="17" customHeight="1" s="83">
      <c r="A145" s="84" t="n"/>
      <c r="B145" s="128">
        <f>'Dashboard Calc'!$A$324</f>
        <v>4</v>
      </c>
      <c r="C145" s="129" t="str">
        <f>'Dashboard Calc'!$B$324</f>
        <v>Rohith</v>
      </c>
      <c r="D145" s="130" t="n"/>
      <c r="E145" s="131" t="str">
        <f>'Dashboard Calc'!$C$324</f>
        <v>NTT Data</v>
      </c>
      <c r="F145" s="130" t="n"/>
      <c r="G145" s="131" t="str">
        <f>'Dashboard Calc'!$D$324</f>
        <v>Bangalore</v>
      </c>
      <c r="H145" s="132">
        <f>'Dashboard Calc'!$E$324</f>
        <v>4.3</v>
      </c>
      <c r="I145" s="131" t="str">
        <f>'Dashboard Calc'!$F$324</f>
        <v>ZN Submission</v>
      </c>
      <c r="J145" s="130" t="n"/>
      <c r="K145" s="131" t="str">
        <f>'Dashboard Calc'!$G$324</f>
        <v>JD sent awaiting for response</v>
      </c>
      <c r="L145" s="130" t="n"/>
      <c r="M145" s="133">
        <f>'Dashboard Calc'!$H$324</f>
        <v>12</v>
      </c>
      <c r="N145" s="133">
        <f>'Dashboard Calc'!$I$324</f>
        <v>16</v>
      </c>
      <c r="O145" s="134">
        <f>'Dashboard Calc'!$J$324</f>
        <v>0.33333333333333326</v>
      </c>
      <c r="P145" s="135" t="str">
        <f>'Dashboard Calc'!$K$324</f>
        <v>31-60 days</v>
      </c>
      <c r="Q145" s="131" t="str">
        <f>'Dashboard Calc'!$L$324</f>
        <v>Vandana</v>
      </c>
      <c r="R145" s="84" t="n"/>
      <c r="S145" s="84" t="n"/>
    </row>
    <row r="146" ht="17" customHeight="1" s="83">
      <c r="A146" s="84" t="n"/>
      <c r="B146" s="136">
        <f>'Dashboard Calc'!$A$325</f>
        <v>5</v>
      </c>
      <c r="C146" s="137" t="str">
        <f>'Dashboard Calc'!$B$325</f>
        <v>Rajesh</v>
      </c>
      <c r="D146" s="122" t="n"/>
      <c r="E146" s="138" t="str">
        <f>'Dashboard Calc'!$C$325</f>
        <v>Cegeka</v>
      </c>
      <c r="F146" s="122" t="n"/>
      <c r="G146" s="138" t="str">
        <f>'Dashboard Calc'!$D$325</f>
        <v>Chennai</v>
      </c>
      <c r="H146" s="139">
        <f>'Dashboard Calc'!$E$325</f>
        <v>8</v>
      </c>
      <c r="I146" s="138" t="str">
        <f>'Dashboard Calc'!$F$325</f>
        <v>ZN Submission</v>
      </c>
      <c r="J146" s="122" t="n"/>
      <c r="K146" s="138" t="str">
        <f>'Dashboard Calc'!$G$325</f>
        <v>Client Review</v>
      </c>
      <c r="L146" s="122" t="n"/>
      <c r="M146" s="140">
        <f>'Dashboard Calc'!$H$325</f>
        <v>0</v>
      </c>
      <c r="N146" s="140">
        <f>'Dashboard Calc'!$I$325</f>
        <v>0</v>
      </c>
      <c r="O146" s="141">
        <f>'Dashboard Calc'!$J$325</f>
        <v>0</v>
      </c>
      <c r="P146" s="142" t="str">
        <f>'Dashboard Calc'!$K$325</f>
        <v>Not recorded</v>
      </c>
      <c r="Q146" s="138" t="str">
        <f>'Dashboard Calc'!$L$325</f>
        <v>Sarath</v>
      </c>
      <c r="R146" s="84" t="n"/>
      <c r="S146" s="84" t="n"/>
    </row>
    <row r="147" ht="17" customHeight="1" s="83">
      <c r="A147" s="84" t="n"/>
      <c r="B147" s="128">
        <f>'Dashboard Calc'!$A$326</f>
        <v>6</v>
      </c>
      <c r="C147" s="129" t="str">
        <f>'Dashboard Calc'!$B$326</f>
        <v>Shabana</v>
      </c>
      <c r="D147" s="130" t="n"/>
      <c r="E147" s="131" t="str">
        <f>'Dashboard Calc'!$C$326</f>
        <v>Synechron Technologies</v>
      </c>
      <c r="F147" s="130" t="n"/>
      <c r="G147" s="131" t="str">
        <f>'Dashboard Calc'!$D$326</f>
        <v>Chennai</v>
      </c>
      <c r="H147" s="132">
        <f>'Dashboard Calc'!$E$326</f>
        <v>8</v>
      </c>
      <c r="I147" s="131" t="str">
        <f>'Dashboard Calc'!$F$326</f>
        <v>ZN Submission</v>
      </c>
      <c r="J147" s="130" t="n"/>
      <c r="K147" s="131" t="str">
        <f>'Dashboard Calc'!$G$326</f>
        <v>Client Review</v>
      </c>
      <c r="L147" s="130" t="n"/>
      <c r="M147" s="133">
        <f>'Dashboard Calc'!$H$326</f>
        <v>0</v>
      </c>
      <c r="N147" s="133">
        <f>'Dashboard Calc'!$I$326</f>
        <v>0</v>
      </c>
      <c r="O147" s="134">
        <f>'Dashboard Calc'!$J$326</f>
        <v>0</v>
      </c>
      <c r="P147" s="135" t="str">
        <f>'Dashboard Calc'!$K$326</f>
        <v>Not recorded</v>
      </c>
      <c r="Q147" s="131" t="str">
        <f>'Dashboard Calc'!$L$326</f>
        <v>Sarath</v>
      </c>
      <c r="R147" s="84" t="n"/>
      <c r="S147" s="84" t="n"/>
    </row>
    <row r="148" ht="17" customHeight="1" s="83">
      <c r="A148" s="84" t="n"/>
      <c r="B148" s="136">
        <f>'Dashboard Calc'!$A$327</f>
        <v>7</v>
      </c>
      <c r="C148" s="137" t="str">
        <f>'Dashboard Calc'!$B$327</f>
        <v>Pasupathi</v>
      </c>
      <c r="D148" s="122" t="n"/>
      <c r="E148" s="138" t="str">
        <f>'Dashboard Calc'!$C$327</f>
        <v>Incedo</v>
      </c>
      <c r="F148" s="122" t="n"/>
      <c r="G148" s="138" t="str">
        <f>'Dashboard Calc'!$D$327</f>
        <v>Chennai</v>
      </c>
      <c r="H148" s="139">
        <f>'Dashboard Calc'!$E$327</f>
        <v>7</v>
      </c>
      <c r="I148" s="138" t="str">
        <f>'Dashboard Calc'!$F$327</f>
        <v>ZN Submission</v>
      </c>
      <c r="J148" s="122" t="n"/>
      <c r="K148" s="138" t="str">
        <f>'Dashboard Calc'!$G$327</f>
        <v>Client Review</v>
      </c>
      <c r="L148" s="122" t="n"/>
      <c r="M148" s="140">
        <f>'Dashboard Calc'!$H$327</f>
        <v>0</v>
      </c>
      <c r="N148" s="140">
        <f>'Dashboard Calc'!$I$327</f>
        <v>0</v>
      </c>
      <c r="O148" s="141">
        <f>'Dashboard Calc'!$J$327</f>
        <v>0</v>
      </c>
      <c r="P148" s="142" t="str">
        <f>'Dashboard Calc'!$K$327</f>
        <v>Not recorded</v>
      </c>
      <c r="Q148" s="138" t="str">
        <f>'Dashboard Calc'!$L$327</f>
        <v>Sarath</v>
      </c>
      <c r="R148" s="84" t="n"/>
      <c r="S148" s="84" t="n"/>
    </row>
    <row r="149" ht="17" customHeight="1" s="83">
      <c r="A149" s="84" t="n"/>
      <c r="B149" s="128">
        <f>'Dashboard Calc'!$A$328</f>
        <v>8</v>
      </c>
      <c r="C149" s="129" t="str">
        <f>'Dashboard Calc'!$B$328</f>
        <v>Sibiraj Munirathinam</v>
      </c>
      <c r="D149" s="130" t="n"/>
      <c r="E149" s="131" t="str">
        <f>'Dashboard Calc'!$C$328</f>
        <v>Camu</v>
      </c>
      <c r="F149" s="130" t="n"/>
      <c r="G149" s="131" t="str">
        <f>'Dashboard Calc'!$D$328</f>
        <v>Chennai</v>
      </c>
      <c r="H149" s="132">
        <f>'Dashboard Calc'!$E$328</f>
        <v>4</v>
      </c>
      <c r="I149" s="131" t="str">
        <f>'Dashboard Calc'!$F$328</f>
        <v>ZN Submission</v>
      </c>
      <c r="J149" s="130" t="n"/>
      <c r="K149" s="131" t="str">
        <f>'Dashboard Calc'!$G$328</f>
        <v>Client Review</v>
      </c>
      <c r="L149" s="130" t="n"/>
      <c r="M149" s="133">
        <f>'Dashboard Calc'!$H$328</f>
        <v>9</v>
      </c>
      <c r="N149" s="133">
        <f>'Dashboard Calc'!$I$328</f>
        <v>12</v>
      </c>
      <c r="O149" s="134">
        <f>'Dashboard Calc'!$J$328</f>
        <v>0.33333333333333326</v>
      </c>
      <c r="P149" s="135" t="str">
        <f>'Dashboard Calc'!$K$328</f>
        <v>Immediate</v>
      </c>
      <c r="Q149" s="131" t="str">
        <f>'Dashboard Calc'!$L$328</f>
        <v>Sarath</v>
      </c>
      <c r="R149" s="84" t="n"/>
      <c r="S149" s="84" t="n"/>
    </row>
    <row r="150" ht="17" customHeight="1" s="83">
      <c r="A150" s="84" t="n"/>
      <c r="B150" s="136">
        <f>'Dashboard Calc'!$A$329</f>
        <v>9</v>
      </c>
      <c r="C150" s="137" t="str">
        <f>'Dashboard Calc'!$B$329</f>
        <v>Mubbanthal Surya</v>
      </c>
      <c r="D150" s="122" t="n"/>
      <c r="E150" s="138" t="str">
        <f>'Dashboard Calc'!$C$329</f>
        <v>Business Core Solutions</v>
      </c>
      <c r="F150" s="122" t="n"/>
      <c r="G150" s="138" t="str">
        <f>'Dashboard Calc'!$D$329</f>
        <v>Chennai</v>
      </c>
      <c r="H150" s="139">
        <f>'Dashboard Calc'!$E$329</f>
        <v>3.8</v>
      </c>
      <c r="I150" s="138" t="str">
        <f>'Dashboard Calc'!$F$329</f>
        <v>ZN Submission</v>
      </c>
      <c r="J150" s="122" t="n"/>
      <c r="K150" s="138" t="str">
        <f>'Dashboard Calc'!$G$329</f>
        <v>Client Review</v>
      </c>
      <c r="L150" s="122" t="n"/>
      <c r="M150" s="140">
        <f>'Dashboard Calc'!$H$329</f>
        <v>6.92</v>
      </c>
      <c r="N150" s="140">
        <f>'Dashboard Calc'!$I$329</f>
        <v>12</v>
      </c>
      <c r="O150" s="141">
        <f>'Dashboard Calc'!$J$329</f>
        <v>0.7341040462427746</v>
      </c>
      <c r="P150" s="142" t="str">
        <f>'Dashboard Calc'!$K$329</f>
        <v>1-30 days</v>
      </c>
      <c r="Q150" s="138" t="str">
        <f>'Dashboard Calc'!$L$329</f>
        <v>Sarath</v>
      </c>
      <c r="R150" s="84" t="n"/>
      <c r="S150" s="84" t="n"/>
    </row>
    <row r="151" ht="17" customHeight="1" s="83">
      <c r="A151" s="84" t="n"/>
      <c r="B151" s="128">
        <f>'Dashboard Calc'!$A$330</f>
        <v>10</v>
      </c>
      <c r="C151" s="129" t="str">
        <f>'Dashboard Calc'!$B$330</f>
        <v>Govardhan</v>
      </c>
      <c r="D151" s="130" t="n"/>
      <c r="E151" s="131" t="str">
        <f>'Dashboard Calc'!$C$330</f>
        <v>Indium Software</v>
      </c>
      <c r="F151" s="130" t="n"/>
      <c r="G151" s="131" t="str">
        <f>'Dashboard Calc'!$D$330</f>
        <v>Chennai</v>
      </c>
      <c r="H151" s="132">
        <f>'Dashboard Calc'!$E$330</f>
        <v>8</v>
      </c>
      <c r="I151" s="131" t="str">
        <f>'Dashboard Calc'!$F$330</f>
        <v>ZN Submission</v>
      </c>
      <c r="J151" s="130" t="n"/>
      <c r="K151" s="131" t="str">
        <f>'Dashboard Calc'!$G$330</f>
        <v>Client Review</v>
      </c>
      <c r="L151" s="130" t="n"/>
      <c r="M151" s="133">
        <f>'Dashboard Calc'!$H$330</f>
        <v>19</v>
      </c>
      <c r="N151" s="133">
        <f>'Dashboard Calc'!$I$330</f>
        <v>30</v>
      </c>
      <c r="O151" s="134">
        <f>'Dashboard Calc'!$J$330</f>
        <v>0.5789473684210527</v>
      </c>
      <c r="P151" s="135" t="str">
        <f>'Dashboard Calc'!$K$330</f>
        <v>1-30 days</v>
      </c>
      <c r="Q151" s="131" t="str">
        <f>'Dashboard Calc'!$L$330</f>
        <v>Sarath</v>
      </c>
      <c r="R151" s="84" t="n"/>
      <c r="S151" s="84" t="n"/>
    </row>
    <row r="152" ht="17" customHeight="1" s="83">
      <c r="A152" s="84" t="n"/>
      <c r="B152" s="136">
        <f>'Dashboard Calc'!$A$331</f>
        <v>11</v>
      </c>
      <c r="C152" s="137" t="str">
        <f>'Dashboard Calc'!$B$331</f>
        <v>Saravana Ganesh S</v>
      </c>
      <c r="D152" s="122" t="n"/>
      <c r="E152" s="138" t="str">
        <f>'Dashboard Calc'!$C$331</f>
        <v>Primus Global</v>
      </c>
      <c r="F152" s="122" t="n"/>
      <c r="G152" s="138" t="str">
        <f>'Dashboard Calc'!$D$331</f>
        <v>Chennai</v>
      </c>
      <c r="H152" s="139">
        <f>'Dashboard Calc'!$E$331</f>
        <v>4.9</v>
      </c>
      <c r="I152" s="138" t="str">
        <f>'Dashboard Calc'!$F$331</f>
        <v>ZN Submission</v>
      </c>
      <c r="J152" s="122" t="n"/>
      <c r="K152" s="138" t="str">
        <f>'Dashboard Calc'!$G$331</f>
        <v>Client Review</v>
      </c>
      <c r="L152" s="122" t="n"/>
      <c r="M152" s="140">
        <f>'Dashboard Calc'!$H$331</f>
        <v>15</v>
      </c>
      <c r="N152" s="140">
        <f>'Dashboard Calc'!$I$331</f>
        <v>20</v>
      </c>
      <c r="O152" s="141">
        <f>'Dashboard Calc'!$J$331</f>
        <v>0.33333333333333326</v>
      </c>
      <c r="P152" s="142" t="str">
        <f>'Dashboard Calc'!$K$331</f>
        <v>1-30 days</v>
      </c>
      <c r="Q152" s="138" t="str">
        <f>'Dashboard Calc'!$L$331</f>
        <v>Rujuta</v>
      </c>
      <c r="R152" s="84" t="n"/>
      <c r="S152" s="84" t="n"/>
    </row>
    <row r="153" ht="17" customHeight="1" s="83">
      <c r="A153" s="84" t="n"/>
      <c r="B153" s="128">
        <f>'Dashboard Calc'!$A$332</f>
        <v>12</v>
      </c>
      <c r="C153" s="129" t="str">
        <f>'Dashboard Calc'!$B$332</f>
        <v>Hariprakash</v>
      </c>
      <c r="D153" s="130" t="n"/>
      <c r="E153" s="131" t="str">
        <f>'Dashboard Calc'!$C$332</f>
        <v>Contentstack</v>
      </c>
      <c r="F153" s="130" t="n"/>
      <c r="G153" s="131" t="str">
        <f>'Dashboard Calc'!$D$332</f>
        <v>Chennai</v>
      </c>
      <c r="H153" s="132">
        <f>'Dashboard Calc'!$E$332</f>
        <v>3.1</v>
      </c>
      <c r="I153" s="131" t="str">
        <f>'Dashboard Calc'!$F$332</f>
        <v>ZN Submission</v>
      </c>
      <c r="J153" s="130" t="n"/>
      <c r="K153" s="131" t="str">
        <f>'Dashboard Calc'!$G$332</f>
        <v>Jd sent, waiting for acknowlegment.</v>
      </c>
      <c r="L153" s="130" t="n"/>
      <c r="M153" s="133">
        <f>'Dashboard Calc'!$H$332</f>
        <v>13.13</v>
      </c>
      <c r="N153" s="133">
        <f>'Dashboard Calc'!$I$332</f>
        <v>22</v>
      </c>
      <c r="O153" s="134">
        <f>'Dashboard Calc'!$J$332</f>
        <v>0.6755521706016754</v>
      </c>
      <c r="P153" s="135" t="str">
        <f>'Dashboard Calc'!$K$332</f>
        <v>31-60 days</v>
      </c>
      <c r="Q153" s="131" t="str">
        <f>'Dashboard Calc'!$L$332</f>
        <v>Vandana</v>
      </c>
      <c r="R153" s="84" t="n"/>
      <c r="S153" s="84" t="n"/>
    </row>
    <row r="154">
      <c r="A154" s="84" t="n"/>
      <c r="B154" s="99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  <c r="N154" s="100" t="n"/>
      <c r="O154" s="100" t="n"/>
      <c r="P154" s="100" t="n"/>
      <c r="Q154" s="101" t="n"/>
      <c r="R154" s="84" t="n"/>
      <c r="S154" s="84" t="n"/>
    </row>
    <row r="155">
      <c r="A155" s="84" t="n"/>
      <c r="B155" s="84" t="n"/>
      <c r="C155" s="84" t="n"/>
      <c r="D155" s="84" t="n"/>
      <c r="E155" s="84" t="n"/>
      <c r="F155" s="84" t="n"/>
      <c r="G155" s="84" t="n"/>
      <c r="H155" s="84" t="n"/>
      <c r="I155" s="84" t="n"/>
      <c r="J155" s="84" t="n"/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</row>
    <row r="156">
      <c r="A156" s="84" t="n"/>
      <c r="B156" s="84" t="n"/>
      <c r="C156" s="84" t="n"/>
      <c r="D156" s="84" t="n"/>
      <c r="E156" s="84" t="n"/>
      <c r="F156" s="84" t="n"/>
      <c r="G156" s="84" t="n"/>
      <c r="H156" s="84" t="n"/>
      <c r="I156" s="84" t="n"/>
      <c r="J156" s="84" t="n"/>
      <c r="K156" s="84" t="n"/>
      <c r="L156" s="84" t="n"/>
      <c r="M156" s="84" t="n"/>
      <c r="N156" s="84" t="n"/>
      <c r="O156" s="84" t="n"/>
      <c r="P156" s="84" t="n"/>
      <c r="Q156" s="84" t="n"/>
      <c r="R156" s="84" t="n"/>
      <c r="S156" s="84" t="n"/>
    </row>
    <row r="157">
      <c r="A157" s="84" t="n"/>
      <c r="B157" s="84" t="n"/>
      <c r="C157" s="84" t="n"/>
      <c r="D157" s="84" t="n"/>
      <c r="E157" s="84" t="n"/>
      <c r="F157" s="84" t="n"/>
      <c r="G157" s="84" t="n"/>
      <c r="H157" s="84" t="n"/>
      <c r="I157" s="84" t="n"/>
      <c r="J157" s="84" t="n"/>
      <c r="K157" s="84" t="n"/>
      <c r="L157" s="84" t="n"/>
      <c r="M157" s="84" t="n"/>
      <c r="N157" s="84" t="n"/>
      <c r="O157" s="84" t="n"/>
      <c r="P157" s="84" t="n"/>
      <c r="Q157" s="84" t="n"/>
      <c r="R157" s="84" t="n"/>
      <c r="S157" s="84" t="n"/>
    </row>
    <row r="158" ht="12" customHeight="1" s="83">
      <c r="A158" s="84" t="n"/>
      <c r="B158" s="84" t="n"/>
      <c r="C158" s="84" t="n"/>
      <c r="D158" s="84" t="n"/>
      <c r="E158" s="84" t="n"/>
      <c r="F158" s="84" t="n"/>
      <c r="G158" s="84" t="n"/>
      <c r="H158" s="84" t="n"/>
      <c r="I158" s="84" t="n"/>
      <c r="J158" s="84" t="n"/>
      <c r="K158" s="84" t="n"/>
      <c r="L158" s="84" t="n"/>
      <c r="M158" s="84" t="n"/>
      <c r="N158" s="84" t="n"/>
      <c r="O158" s="84" t="n"/>
      <c r="P158" s="84" t="n"/>
      <c r="Q158" s="84" t="n"/>
      <c r="R158" s="84" t="n"/>
      <c r="S158" s="84" t="n"/>
    </row>
    <row r="159" ht="16" customHeight="1" s="83">
      <c r="A159" s="84" t="n"/>
      <c r="B159" s="112" t="inlineStr">
        <is>
          <t>Candidate comparison matrix</t>
        </is>
      </c>
      <c r="R159" s="84" t="n"/>
      <c r="S159" s="84" t="n"/>
    </row>
    <row r="160" ht="13" customHeight="1" s="83">
      <c r="A160" s="84" t="n"/>
      <c r="B160" s="113" t="inlineStr">
        <is>
          <t>The same 12 candidates across every recorded dimension. Green is strong, amber is a caveat, red is a risk — scaled live against the rest of the pool.</t>
        </is>
      </c>
      <c r="R160" s="84" t="n"/>
      <c r="S160" s="84" t="n"/>
    </row>
    <row r="161" ht="26" customHeight="1" s="83">
      <c r="A161" s="84" t="n"/>
      <c r="B161" s="117" t="inlineStr">
        <is>
          <t>#</t>
        </is>
      </c>
      <c r="C161" s="118" t="inlineStr">
        <is>
          <t>CANDIDATE</t>
        </is>
      </c>
      <c r="D161" s="119" t="n"/>
      <c r="E161" s="119" t="n"/>
      <c r="F161" s="118" t="inlineStr">
        <is>
          <t>CITY</t>
        </is>
      </c>
      <c r="G161" s="119" t="n"/>
      <c r="H161" s="117" t="inlineStr">
        <is>
          <t>EXPERIENCE</t>
        </is>
      </c>
      <c r="I161" s="117" t="inlineStr">
        <is>
          <t>CURRENT CTC</t>
        </is>
      </c>
      <c r="J161" s="117" t="inlineStr">
        <is>
          <t>EXPECTED CTC</t>
        </is>
      </c>
      <c r="K161" s="117" t="inlineStr">
        <is>
          <t>HIKE %</t>
        </is>
      </c>
      <c r="L161" s="117" t="inlineStr">
        <is>
          <t>NOTICE DAYS</t>
        </is>
      </c>
      <c r="M161" s="117" t="inlineStr">
        <is>
          <t>STAGE REACHED</t>
        </is>
      </c>
      <c r="N161" s="117" t="inlineStr">
        <is>
          <t>LOC MATCH</t>
        </is>
      </c>
      <c r="O161" s="118" t="inlineStr">
        <is>
          <t>CURRENT COMPANY</t>
        </is>
      </c>
      <c r="P161" s="119" t="n"/>
      <c r="Q161" s="119" t="n"/>
      <c r="R161" s="84" t="n"/>
      <c r="S161" s="84" t="n"/>
    </row>
    <row r="162" ht="17" customHeight="1" s="83">
      <c r="A162" s="84" t="n"/>
      <c r="B162" s="143">
        <f>'Dashboard Calc'!$A$321</f>
        <v>1</v>
      </c>
      <c r="C162" s="137" t="str">
        <f>'Dashboard Calc'!$B$321</f>
        <v>Ankit Mahajan</v>
      </c>
      <c r="D162" s="122" t="n"/>
      <c r="E162" s="122" t="n"/>
      <c r="F162" s="138" t="str">
        <f>'Dashboard Calc'!$D$321</f>
        <v>Mumbai</v>
      </c>
      <c r="G162" s="122" t="n"/>
      <c r="H162" s="144">
        <f>'Dashboard Calc'!$E$321</f>
        <v>8</v>
      </c>
      <c r="I162" s="144">
        <f>'Dashboard Calc'!$H$321</f>
        <v>17</v>
      </c>
      <c r="J162" s="144">
        <f>'Dashboard Calc'!$I$321</f>
        <v>25</v>
      </c>
      <c r="K162" s="145">
        <f>'Dashboard Calc'!$J$321</f>
        <v>0.47058823529411775</v>
      </c>
      <c r="L162" s="143">
        <f>IF('Dashboard Calc'!$O$321="","",INDEX('Dashboard Calc'!$S$6:$S$125,'Dashboard Calc'!$O$321))</f>
        <v>60</v>
      </c>
      <c r="M162" s="143">
        <f>IF('Dashboard Calc'!$O$321="","",INDEX('Dashboard Calc'!$J$6:$J$125,'Dashboard Calc'!$O$321))</f>
        <v>3</v>
      </c>
      <c r="N162" s="143">
        <f>'Dashboard Calc'!$M$321</f>
        <v>0</v>
      </c>
      <c r="O162" s="138" t="str">
        <f>'Dashboard Calc'!$C$321</f>
        <v>Samsara Group</v>
      </c>
      <c r="P162" s="122" t="n"/>
      <c r="Q162" s="122" t="n"/>
      <c r="R162" s="84" t="n"/>
      <c r="S162" s="84" t="n"/>
    </row>
    <row r="163" ht="17" customHeight="1" s="83">
      <c r="A163" s="84" t="n"/>
      <c r="B163" s="146">
        <f>'Dashboard Calc'!$A$322</f>
        <v>2</v>
      </c>
      <c r="C163" s="129" t="str">
        <f>'Dashboard Calc'!$B$322</f>
        <v>Duraipandi R</v>
      </c>
      <c r="D163" s="130" t="n"/>
      <c r="E163" s="130" t="n"/>
      <c r="F163" s="131" t="str">
        <f>'Dashboard Calc'!$D$322</f>
        <v>Chennai</v>
      </c>
      <c r="G163" s="130" t="n"/>
      <c r="H163" s="147">
        <f>'Dashboard Calc'!$E$322</f>
        <v>3</v>
      </c>
      <c r="I163" s="147">
        <f>'Dashboard Calc'!$H$322</f>
        <v>8</v>
      </c>
      <c r="J163" s="147">
        <f>'Dashboard Calc'!$I$322</f>
        <v>15</v>
      </c>
      <c r="K163" s="148">
        <f>'Dashboard Calc'!$J$322</f>
        <v>0.875</v>
      </c>
      <c r="L163" s="146">
        <f>IF('Dashboard Calc'!$O$322="","",INDEX('Dashboard Calc'!$S$6:$S$125,'Dashboard Calc'!$O$322))</f>
        <v>-1</v>
      </c>
      <c r="M163" s="146">
        <f>IF('Dashboard Calc'!$O$322="","",INDEX('Dashboard Calc'!$J$6:$J$125,'Dashboard Calc'!$O$322))</f>
        <v>3</v>
      </c>
      <c r="N163" s="146">
        <f>'Dashboard Calc'!$M$322</f>
        <v>1</v>
      </c>
      <c r="O163" s="131" t="str">
        <f>'Dashboard Calc'!$C$322</f>
        <v>Sify Technologies Limited</v>
      </c>
      <c r="P163" s="130" t="n"/>
      <c r="Q163" s="130" t="n"/>
      <c r="R163" s="84" t="n"/>
      <c r="S163" s="84" t="n"/>
    </row>
    <row r="164" ht="17" customHeight="1" s="83">
      <c r="A164" s="84" t="n"/>
      <c r="B164" s="143">
        <f>'Dashboard Calc'!$A$323</f>
        <v>3</v>
      </c>
      <c r="C164" s="137" t="str">
        <f>'Dashboard Calc'!$B$323</f>
        <v>syed sharukh</v>
      </c>
      <c r="D164" s="122" t="n"/>
      <c r="E164" s="122" t="n"/>
      <c r="F164" s="138" t="str">
        <f>'Dashboard Calc'!$D$323</f>
        <v>Chennai</v>
      </c>
      <c r="G164" s="122" t="n"/>
      <c r="H164" s="144">
        <f>'Dashboard Calc'!$E$323</f>
        <v>3</v>
      </c>
      <c r="I164" s="144">
        <f>'Dashboard Calc'!$H$323</f>
        <v>11</v>
      </c>
      <c r="J164" s="144">
        <f>'Dashboard Calc'!$I$323</f>
        <v>16</v>
      </c>
      <c r="K164" s="145">
        <f>'Dashboard Calc'!$J$323</f>
        <v>0.4545454545454546</v>
      </c>
      <c r="L164" s="143">
        <f>IF('Dashboard Calc'!$O$323="","",INDEX('Dashboard Calc'!$S$6:$S$125,'Dashboard Calc'!$O$323))</f>
        <v>-1</v>
      </c>
      <c r="M164" s="143">
        <f>IF('Dashboard Calc'!$O$323="","",INDEX('Dashboard Calc'!$J$6:$J$125,'Dashboard Calc'!$O$323))</f>
        <v>3</v>
      </c>
      <c r="N164" s="143">
        <f>'Dashboard Calc'!$M$323</f>
        <v>1</v>
      </c>
      <c r="O164" s="138" t="str">
        <f>'Dashboard Calc'!$C$323</f>
        <v>Avasoft</v>
      </c>
      <c r="P164" s="122" t="n"/>
      <c r="Q164" s="122" t="n"/>
      <c r="R164" s="84" t="n"/>
      <c r="S164" s="84" t="n"/>
    </row>
    <row r="165" ht="17" customHeight="1" s="83">
      <c r="A165" s="84" t="n"/>
      <c r="B165" s="146">
        <f>'Dashboard Calc'!$A$324</f>
        <v>4</v>
      </c>
      <c r="C165" s="129" t="str">
        <f>'Dashboard Calc'!$B$324</f>
        <v>Rohith</v>
      </c>
      <c r="D165" s="130" t="n"/>
      <c r="E165" s="130" t="n"/>
      <c r="F165" s="131" t="str">
        <f>'Dashboard Calc'!$D$324</f>
        <v>Bangalore</v>
      </c>
      <c r="G165" s="130" t="n"/>
      <c r="H165" s="147">
        <f>'Dashboard Calc'!$E$324</f>
        <v>4.3</v>
      </c>
      <c r="I165" s="147">
        <f>'Dashboard Calc'!$H$324</f>
        <v>12</v>
      </c>
      <c r="J165" s="147">
        <f>'Dashboard Calc'!$I$324</f>
        <v>16</v>
      </c>
      <c r="K165" s="148">
        <f>'Dashboard Calc'!$J$324</f>
        <v>0.33333333333333326</v>
      </c>
      <c r="L165" s="146">
        <f>IF('Dashboard Calc'!$O$324="","",INDEX('Dashboard Calc'!$S$6:$S$125,'Dashboard Calc'!$O$324))</f>
        <v>60</v>
      </c>
      <c r="M165" s="146">
        <f>IF('Dashboard Calc'!$O$324="","",INDEX('Dashboard Calc'!$J$6:$J$125,'Dashboard Calc'!$O$324))</f>
        <v>2</v>
      </c>
      <c r="N165" s="146">
        <f>'Dashboard Calc'!$M$324</f>
        <v>1</v>
      </c>
      <c r="O165" s="131" t="str">
        <f>'Dashboard Calc'!$C$324</f>
        <v>NTT Data</v>
      </c>
      <c r="P165" s="130" t="n"/>
      <c r="Q165" s="130" t="n"/>
      <c r="R165" s="84" t="n"/>
      <c r="S165" s="84" t="n"/>
    </row>
    <row r="166" ht="17" customHeight="1" s="83">
      <c r="A166" s="84" t="n"/>
      <c r="B166" s="143">
        <f>'Dashboard Calc'!$A$325</f>
        <v>5</v>
      </c>
      <c r="C166" s="137" t="str">
        <f>'Dashboard Calc'!$B$325</f>
        <v>Rajesh</v>
      </c>
      <c r="D166" s="122" t="n"/>
      <c r="E166" s="122" t="n"/>
      <c r="F166" s="138" t="str">
        <f>'Dashboard Calc'!$D$325</f>
        <v>Chennai</v>
      </c>
      <c r="G166" s="122" t="n"/>
      <c r="H166" s="144">
        <f>'Dashboard Calc'!$E$325</f>
        <v>8</v>
      </c>
      <c r="I166" s="144">
        <f>'Dashboard Calc'!$H$325</f>
        <v>0</v>
      </c>
      <c r="J166" s="144">
        <f>'Dashboard Calc'!$I$325</f>
        <v>0</v>
      </c>
      <c r="K166" s="145">
        <f>'Dashboard Calc'!$J$325</f>
        <v>0</v>
      </c>
      <c r="L166" s="143">
        <f>IF('Dashboard Calc'!$O$325="","",INDEX('Dashboard Calc'!$S$6:$S$125,'Dashboard Calc'!$O$325))</f>
        <v>-1</v>
      </c>
      <c r="M166" s="143">
        <f>IF('Dashboard Calc'!$O$325="","",INDEX('Dashboard Calc'!$J$6:$J$125,'Dashboard Calc'!$O$325))</f>
        <v>2</v>
      </c>
      <c r="N166" s="143">
        <f>'Dashboard Calc'!$M$325</f>
        <v>1</v>
      </c>
      <c r="O166" s="138" t="str">
        <f>'Dashboard Calc'!$C$325</f>
        <v>Cegeka</v>
      </c>
      <c r="P166" s="122" t="n"/>
      <c r="Q166" s="122" t="n"/>
      <c r="R166" s="84" t="n"/>
      <c r="S166" s="84" t="n"/>
    </row>
    <row r="167" ht="17" customHeight="1" s="83">
      <c r="A167" s="84" t="n"/>
      <c r="B167" s="146">
        <f>'Dashboard Calc'!$A$326</f>
        <v>6</v>
      </c>
      <c r="C167" s="129" t="str">
        <f>'Dashboard Calc'!$B$326</f>
        <v>Shabana</v>
      </c>
      <c r="D167" s="130" t="n"/>
      <c r="E167" s="130" t="n"/>
      <c r="F167" s="131" t="str">
        <f>'Dashboard Calc'!$D$326</f>
        <v>Chennai</v>
      </c>
      <c r="G167" s="130" t="n"/>
      <c r="H167" s="147">
        <f>'Dashboard Calc'!$E$326</f>
        <v>8</v>
      </c>
      <c r="I167" s="147">
        <f>'Dashboard Calc'!$H$326</f>
        <v>0</v>
      </c>
      <c r="J167" s="147">
        <f>'Dashboard Calc'!$I$326</f>
        <v>0</v>
      </c>
      <c r="K167" s="148">
        <f>'Dashboard Calc'!$J$326</f>
        <v>0</v>
      </c>
      <c r="L167" s="146">
        <f>IF('Dashboard Calc'!$O$326="","",INDEX('Dashboard Calc'!$S$6:$S$125,'Dashboard Calc'!$O$326))</f>
        <v>-1</v>
      </c>
      <c r="M167" s="146">
        <f>IF('Dashboard Calc'!$O$326="","",INDEX('Dashboard Calc'!$J$6:$J$125,'Dashboard Calc'!$O$326))</f>
        <v>2</v>
      </c>
      <c r="N167" s="146">
        <f>'Dashboard Calc'!$M$326</f>
        <v>1</v>
      </c>
      <c r="O167" s="131" t="str">
        <f>'Dashboard Calc'!$C$326</f>
        <v>Synechron Technologies</v>
      </c>
      <c r="P167" s="130" t="n"/>
      <c r="Q167" s="130" t="n"/>
      <c r="R167" s="84" t="n"/>
      <c r="S167" s="84" t="n"/>
    </row>
    <row r="168" ht="17" customHeight="1" s="83">
      <c r="A168" s="84" t="n"/>
      <c r="B168" s="143">
        <f>'Dashboard Calc'!$A$327</f>
        <v>7</v>
      </c>
      <c r="C168" s="137" t="str">
        <f>'Dashboard Calc'!$B$327</f>
        <v>Pasupathi</v>
      </c>
      <c r="D168" s="122" t="n"/>
      <c r="E168" s="122" t="n"/>
      <c r="F168" s="138" t="str">
        <f>'Dashboard Calc'!$D$327</f>
        <v>Chennai</v>
      </c>
      <c r="G168" s="122" t="n"/>
      <c r="H168" s="144">
        <f>'Dashboard Calc'!$E$327</f>
        <v>7</v>
      </c>
      <c r="I168" s="144">
        <f>'Dashboard Calc'!$H$327</f>
        <v>0</v>
      </c>
      <c r="J168" s="144">
        <f>'Dashboard Calc'!$I$327</f>
        <v>0</v>
      </c>
      <c r="K168" s="145">
        <f>'Dashboard Calc'!$J$327</f>
        <v>0</v>
      </c>
      <c r="L168" s="143">
        <f>IF('Dashboard Calc'!$O$327="","",INDEX('Dashboard Calc'!$S$6:$S$125,'Dashboard Calc'!$O$327))</f>
        <v>-1</v>
      </c>
      <c r="M168" s="143">
        <f>IF('Dashboard Calc'!$O$327="","",INDEX('Dashboard Calc'!$J$6:$J$125,'Dashboard Calc'!$O$327))</f>
        <v>2</v>
      </c>
      <c r="N168" s="143">
        <f>'Dashboard Calc'!$M$327</f>
        <v>1</v>
      </c>
      <c r="O168" s="138" t="str">
        <f>'Dashboard Calc'!$C$327</f>
        <v>Incedo</v>
      </c>
      <c r="P168" s="122" t="n"/>
      <c r="Q168" s="122" t="n"/>
      <c r="R168" s="84" t="n"/>
      <c r="S168" s="84" t="n"/>
    </row>
    <row r="169" ht="17" customHeight="1" s="83">
      <c r="A169" s="84" t="n"/>
      <c r="B169" s="146">
        <f>'Dashboard Calc'!$A$328</f>
        <v>8</v>
      </c>
      <c r="C169" s="129" t="str">
        <f>'Dashboard Calc'!$B$328</f>
        <v>Sibiraj Munirathinam</v>
      </c>
      <c r="D169" s="130" t="n"/>
      <c r="E169" s="130" t="n"/>
      <c r="F169" s="131" t="str">
        <f>'Dashboard Calc'!$D$328</f>
        <v>Chennai</v>
      </c>
      <c r="G169" s="130" t="n"/>
      <c r="H169" s="147">
        <f>'Dashboard Calc'!$E$328</f>
        <v>4</v>
      </c>
      <c r="I169" s="147">
        <f>'Dashboard Calc'!$H$328</f>
        <v>9</v>
      </c>
      <c r="J169" s="147">
        <f>'Dashboard Calc'!$I$328</f>
        <v>12</v>
      </c>
      <c r="K169" s="148">
        <f>'Dashboard Calc'!$J$328</f>
        <v>0.33333333333333326</v>
      </c>
      <c r="L169" s="146">
        <f>IF('Dashboard Calc'!$O$328="","",INDEX('Dashboard Calc'!$S$6:$S$125,'Dashboard Calc'!$O$328))</f>
        <v>0</v>
      </c>
      <c r="M169" s="146">
        <f>IF('Dashboard Calc'!$O$328="","",INDEX('Dashboard Calc'!$J$6:$J$125,'Dashboard Calc'!$O$328))</f>
        <v>2</v>
      </c>
      <c r="N169" s="146">
        <f>'Dashboard Calc'!$M$328</f>
        <v>1</v>
      </c>
      <c r="O169" s="131" t="str">
        <f>'Dashboard Calc'!$C$328</f>
        <v>Camu</v>
      </c>
      <c r="P169" s="130" t="n"/>
      <c r="Q169" s="130" t="n"/>
      <c r="R169" s="84" t="n"/>
      <c r="S169" s="84" t="n"/>
    </row>
    <row r="170" ht="17" customHeight="1" s="83">
      <c r="A170" s="84" t="n"/>
      <c r="B170" s="143">
        <f>'Dashboard Calc'!$A$329</f>
        <v>9</v>
      </c>
      <c r="C170" s="137" t="str">
        <f>'Dashboard Calc'!$B$329</f>
        <v>Mubbanthal Surya</v>
      </c>
      <c r="D170" s="122" t="n"/>
      <c r="E170" s="122" t="n"/>
      <c r="F170" s="138" t="str">
        <f>'Dashboard Calc'!$D$329</f>
        <v>Chennai</v>
      </c>
      <c r="G170" s="122" t="n"/>
      <c r="H170" s="144">
        <f>'Dashboard Calc'!$E$329</f>
        <v>3.8</v>
      </c>
      <c r="I170" s="144">
        <f>'Dashboard Calc'!$H$329</f>
        <v>6.92</v>
      </c>
      <c r="J170" s="144">
        <f>'Dashboard Calc'!$I$329</f>
        <v>12</v>
      </c>
      <c r="K170" s="145">
        <f>'Dashboard Calc'!$J$329</f>
        <v>0.7341040462427746</v>
      </c>
      <c r="L170" s="143">
        <f>IF('Dashboard Calc'!$O$329="","",INDEX('Dashboard Calc'!$S$6:$S$125,'Dashboard Calc'!$O$329))</f>
        <v>30</v>
      </c>
      <c r="M170" s="143">
        <f>IF('Dashboard Calc'!$O$329="","",INDEX('Dashboard Calc'!$J$6:$J$125,'Dashboard Calc'!$O$329))</f>
        <v>2</v>
      </c>
      <c r="N170" s="143">
        <f>'Dashboard Calc'!$M$329</f>
        <v>1</v>
      </c>
      <c r="O170" s="138" t="str">
        <f>'Dashboard Calc'!$C$329</f>
        <v>Business Core Solutions</v>
      </c>
      <c r="P170" s="122" t="n"/>
      <c r="Q170" s="122" t="n"/>
      <c r="R170" s="84" t="n"/>
      <c r="S170" s="84" t="n"/>
    </row>
    <row r="171" ht="17" customHeight="1" s="83">
      <c r="A171" s="84" t="n"/>
      <c r="B171" s="146">
        <f>'Dashboard Calc'!$A$330</f>
        <v>10</v>
      </c>
      <c r="C171" s="129" t="str">
        <f>'Dashboard Calc'!$B$330</f>
        <v>Govardhan</v>
      </c>
      <c r="D171" s="130" t="n"/>
      <c r="E171" s="130" t="n"/>
      <c r="F171" s="131" t="str">
        <f>'Dashboard Calc'!$D$330</f>
        <v>Chennai</v>
      </c>
      <c r="G171" s="130" t="n"/>
      <c r="H171" s="147">
        <f>'Dashboard Calc'!$E$330</f>
        <v>8</v>
      </c>
      <c r="I171" s="147">
        <f>'Dashboard Calc'!$H$330</f>
        <v>19</v>
      </c>
      <c r="J171" s="147">
        <f>'Dashboard Calc'!$I$330</f>
        <v>30</v>
      </c>
      <c r="K171" s="148">
        <f>'Dashboard Calc'!$J$330</f>
        <v>0.5789473684210527</v>
      </c>
      <c r="L171" s="146">
        <f>IF('Dashboard Calc'!$O$330="","",INDEX('Dashboard Calc'!$S$6:$S$125,'Dashboard Calc'!$O$330))</f>
        <v>30</v>
      </c>
      <c r="M171" s="146">
        <f>IF('Dashboard Calc'!$O$330="","",INDEX('Dashboard Calc'!$J$6:$J$125,'Dashboard Calc'!$O$330))</f>
        <v>2</v>
      </c>
      <c r="N171" s="146">
        <f>'Dashboard Calc'!$M$330</f>
        <v>1</v>
      </c>
      <c r="O171" s="131" t="str">
        <f>'Dashboard Calc'!$C$330</f>
        <v>Indium Software</v>
      </c>
      <c r="P171" s="130" t="n"/>
      <c r="Q171" s="130" t="n"/>
      <c r="R171" s="84" t="n"/>
      <c r="S171" s="84" t="n"/>
    </row>
    <row r="172" ht="17" customHeight="1" s="83">
      <c r="A172" s="84" t="n"/>
      <c r="B172" s="143">
        <f>'Dashboard Calc'!$A$331</f>
        <v>11</v>
      </c>
      <c r="C172" s="137" t="str">
        <f>'Dashboard Calc'!$B$331</f>
        <v>Saravana Ganesh S</v>
      </c>
      <c r="D172" s="122" t="n"/>
      <c r="E172" s="122" t="n"/>
      <c r="F172" s="138" t="str">
        <f>'Dashboard Calc'!$D$331</f>
        <v>Chennai</v>
      </c>
      <c r="G172" s="122" t="n"/>
      <c r="H172" s="144">
        <f>'Dashboard Calc'!$E$331</f>
        <v>4.9</v>
      </c>
      <c r="I172" s="144">
        <f>'Dashboard Calc'!$H$331</f>
        <v>15</v>
      </c>
      <c r="J172" s="144">
        <f>'Dashboard Calc'!$I$331</f>
        <v>20</v>
      </c>
      <c r="K172" s="145">
        <f>'Dashboard Calc'!$J$331</f>
        <v>0.33333333333333326</v>
      </c>
      <c r="L172" s="143">
        <f>IF('Dashboard Calc'!$O$331="","",INDEX('Dashboard Calc'!$S$6:$S$125,'Dashboard Calc'!$O$331))</f>
        <v>30</v>
      </c>
      <c r="M172" s="143">
        <f>IF('Dashboard Calc'!$O$331="","",INDEX('Dashboard Calc'!$J$6:$J$125,'Dashboard Calc'!$O$331))</f>
        <v>2</v>
      </c>
      <c r="N172" s="143">
        <f>'Dashboard Calc'!$M$331</f>
        <v>1</v>
      </c>
      <c r="O172" s="138" t="str">
        <f>'Dashboard Calc'!$C$331</f>
        <v>Primus Global</v>
      </c>
      <c r="P172" s="122" t="n"/>
      <c r="Q172" s="122" t="n"/>
      <c r="R172" s="84" t="n"/>
      <c r="S172" s="84" t="n"/>
    </row>
    <row r="173" ht="17" customHeight="1" s="83">
      <c r="A173" s="84" t="n"/>
      <c r="B173" s="146">
        <f>'Dashboard Calc'!$A$332</f>
        <v>12</v>
      </c>
      <c r="C173" s="129" t="str">
        <f>'Dashboard Calc'!$B$332</f>
        <v>Hariprakash</v>
      </c>
      <c r="D173" s="130" t="n"/>
      <c r="E173" s="130" t="n"/>
      <c r="F173" s="131" t="str">
        <f>'Dashboard Calc'!$D$332</f>
        <v>Chennai</v>
      </c>
      <c r="G173" s="130" t="n"/>
      <c r="H173" s="147">
        <f>'Dashboard Calc'!$E$332</f>
        <v>3.1</v>
      </c>
      <c r="I173" s="147">
        <f>'Dashboard Calc'!$H$332</f>
        <v>13.13</v>
      </c>
      <c r="J173" s="147">
        <f>'Dashboard Calc'!$I$332</f>
        <v>22</v>
      </c>
      <c r="K173" s="148">
        <f>'Dashboard Calc'!$J$332</f>
        <v>0.6755521706016754</v>
      </c>
      <c r="L173" s="146">
        <f>IF('Dashboard Calc'!$O$332="","",INDEX('Dashboard Calc'!$S$6:$S$125,'Dashboard Calc'!$O$332))</f>
        <v>60</v>
      </c>
      <c r="M173" s="146">
        <f>IF('Dashboard Calc'!$O$332="","",INDEX('Dashboard Calc'!$J$6:$J$125,'Dashboard Calc'!$O$332))</f>
        <v>2</v>
      </c>
      <c r="N173" s="146">
        <f>'Dashboard Calc'!$M$332</f>
        <v>1</v>
      </c>
      <c r="O173" s="131" t="str">
        <f>'Dashboard Calc'!$C$332</f>
        <v>Contentstack</v>
      </c>
      <c r="P173" s="130" t="n"/>
      <c r="Q173" s="130" t="n"/>
      <c r="R173" s="84" t="n"/>
      <c r="S173" s="84" t="n"/>
    </row>
    <row r="174">
      <c r="A174" s="84" t="n"/>
      <c r="B174" s="99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  <c r="N174" s="100" t="n"/>
      <c r="O174" s="100" t="n"/>
      <c r="P174" s="100" t="n"/>
      <c r="Q174" s="101" t="n"/>
      <c r="R174" s="84" t="n"/>
      <c r="S174" s="84" t="n"/>
    </row>
    <row r="175">
      <c r="A175" s="84" t="n"/>
      <c r="B175" s="84" t="n"/>
      <c r="C175" s="84" t="n"/>
      <c r="D175" s="84" t="n"/>
      <c r="E175" s="84" t="n"/>
      <c r="F175" s="84" t="n"/>
      <c r="G175" s="84" t="n"/>
      <c r="H175" s="84" t="n"/>
      <c r="I175" s="84" t="n"/>
      <c r="J175" s="84" t="n"/>
      <c r="K175" s="84" t="n"/>
      <c r="L175" s="84" t="n"/>
      <c r="M175" s="84" t="n"/>
      <c r="N175" s="84" t="n"/>
      <c r="O175" s="84" t="n"/>
      <c r="P175" s="84" t="n"/>
      <c r="Q175" s="84" t="n"/>
      <c r="R175" s="84" t="n"/>
      <c r="S175" s="84" t="n"/>
    </row>
    <row r="176">
      <c r="A176" s="84" t="n"/>
      <c r="B176" s="149" t="inlineStr">
        <is>
          <t>Notice days: 0 = immediate, –1 = not recorded.  Loc match: 1 = based in or relocating to the target location.  Stage reached: 1 screening → 5 hired.</t>
        </is>
      </c>
      <c r="R176" s="84" t="n"/>
      <c r="S176" s="84" t="n"/>
    </row>
    <row r="177">
      <c r="A177" s="84" t="n"/>
      <c r="B177" s="84" t="n"/>
      <c r="C177" s="84" t="n"/>
      <c r="D177" s="84" t="n"/>
      <c r="E177" s="84" t="n"/>
      <c r="F177" s="84" t="n"/>
      <c r="G177" s="84" t="n"/>
      <c r="H177" s="84" t="n"/>
      <c r="I177" s="84" t="n"/>
      <c r="J177" s="84" t="n"/>
      <c r="K177" s="84" t="n"/>
      <c r="L177" s="84" t="n"/>
      <c r="M177" s="84" t="n"/>
      <c r="N177" s="84" t="n"/>
      <c r="O177" s="84" t="n"/>
      <c r="P177" s="84" t="n"/>
      <c r="Q177" s="84" t="n"/>
      <c r="R177" s="84" t="n"/>
      <c r="S177" s="84" t="n"/>
    </row>
    <row r="178">
      <c r="A178" s="84" t="n"/>
      <c r="B178" s="84" t="n"/>
      <c r="C178" s="84" t="n"/>
      <c r="D178" s="84" t="n"/>
      <c r="E178" s="84" t="n"/>
      <c r="F178" s="84" t="n"/>
      <c r="G178" s="84" t="n"/>
      <c r="H178" s="84" t="n"/>
      <c r="I178" s="84" t="n"/>
      <c r="J178" s="84" t="n"/>
      <c r="K178" s="84" t="n"/>
      <c r="L178" s="84" t="n"/>
      <c r="M178" s="84" t="n"/>
      <c r="N178" s="84" t="n"/>
      <c r="O178" s="84" t="n"/>
      <c r="P178" s="84" t="n"/>
      <c r="Q178" s="84" t="n"/>
      <c r="R178" s="84" t="n"/>
      <c r="S178" s="84" t="n"/>
    </row>
    <row r="179">
      <c r="A179" s="84" t="n"/>
      <c r="B179" s="84" t="n"/>
      <c r="C179" s="84" t="n"/>
      <c r="D179" s="84" t="n"/>
      <c r="E179" s="84" t="n"/>
      <c r="F179" s="84" t="n"/>
      <c r="G179" s="84" t="n"/>
      <c r="H179" s="84" t="n"/>
      <c r="I179" s="84" t="n"/>
      <c r="J179" s="84" t="n"/>
      <c r="K179" s="84" t="n"/>
      <c r="L179" s="84" t="n"/>
      <c r="M179" s="84" t="n"/>
      <c r="N179" s="84" t="n"/>
      <c r="O179" s="84" t="n"/>
      <c r="P179" s="84" t="n"/>
      <c r="Q179" s="84" t="n"/>
      <c r="R179" s="84" t="n"/>
      <c r="S179" s="84" t="n"/>
    </row>
    <row r="180">
      <c r="A180" s="84" t="n"/>
      <c r="B180" s="84" t="n"/>
      <c r="C180" s="84" t="n"/>
      <c r="D180" s="84" t="n"/>
      <c r="E180" s="84" t="n"/>
      <c r="F180" s="84" t="n"/>
      <c r="G180" s="84" t="n"/>
      <c r="H180" s="84" t="n"/>
      <c r="I180" s="84" t="n"/>
      <c r="J180" s="84" t="n"/>
      <c r="K180" s="84" t="n"/>
      <c r="L180" s="84" t="n"/>
      <c r="M180" s="84" t="n"/>
      <c r="N180" s="84" t="n"/>
      <c r="O180" s="84" t="n"/>
      <c r="P180" s="84" t="n"/>
      <c r="Q180" s="84" t="n"/>
      <c r="R180" s="84" t="n"/>
      <c r="S180" s="84" t="n"/>
    </row>
    <row r="181">
      <c r="A181" s="84" t="n"/>
      <c r="B181" s="84" t="n"/>
      <c r="C181" s="84" t="n"/>
      <c r="D181" s="84" t="n"/>
      <c r="E181" s="84" t="n"/>
      <c r="F181" s="84" t="n"/>
      <c r="G181" s="84" t="n"/>
      <c r="H181" s="84" t="n"/>
      <c r="I181" s="84" t="n"/>
      <c r="J181" s="84" t="n"/>
      <c r="K181" s="84" t="n"/>
      <c r="L181" s="84" t="n"/>
      <c r="M181" s="84" t="n"/>
      <c r="N181" s="84" t="n"/>
      <c r="O181" s="84" t="n"/>
      <c r="P181" s="84" t="n"/>
      <c r="Q181" s="84" t="n"/>
      <c r="R181" s="84" t="n"/>
      <c r="S181" s="84" t="n"/>
    </row>
    <row r="182">
      <c r="A182" s="84" t="n"/>
      <c r="B182" s="84" t="n"/>
      <c r="C182" s="84" t="n"/>
      <c r="D182" s="84" t="n"/>
      <c r="E182" s="84" t="n"/>
      <c r="F182" s="84" t="n"/>
      <c r="G182" s="84" t="n"/>
      <c r="H182" s="84" t="n"/>
      <c r="I182" s="84" t="n"/>
      <c r="J182" s="84" t="n"/>
      <c r="K182" s="84" t="n"/>
      <c r="L182" s="84" t="n"/>
      <c r="M182" s="84" t="n"/>
      <c r="N182" s="84" t="n"/>
      <c r="O182" s="84" t="n"/>
      <c r="P182" s="84" t="n"/>
      <c r="Q182" s="84" t="n"/>
      <c r="R182" s="84" t="n"/>
      <c r="S182" s="84" t="n"/>
    </row>
    <row r="183">
      <c r="A183" s="84" t="n"/>
      <c r="B183" s="84" t="n"/>
      <c r="C183" s="84" t="n"/>
      <c r="D183" s="84" t="n"/>
      <c r="E183" s="84" t="n"/>
      <c r="F183" s="84" t="n"/>
      <c r="G183" s="84" t="n"/>
      <c r="H183" s="84" t="n"/>
      <c r="I183" s="84" t="n"/>
      <c r="J183" s="84" t="n"/>
      <c r="K183" s="84" t="n"/>
      <c r="L183" s="84" t="n"/>
      <c r="M183" s="84" t="n"/>
      <c r="N183" s="84" t="n"/>
      <c r="O183" s="84" t="n"/>
      <c r="P183" s="84" t="n"/>
      <c r="Q183" s="84" t="n"/>
      <c r="R183" s="84" t="n"/>
      <c r="S183" s="84" t="n"/>
    </row>
    <row r="184">
      <c r="A184" s="84" t="n"/>
      <c r="B184" s="84" t="n"/>
      <c r="C184" s="84" t="n"/>
      <c r="D184" s="84" t="n"/>
      <c r="E184" s="84" t="n"/>
      <c r="F184" s="84" t="n"/>
      <c r="G184" s="84" t="n"/>
      <c r="H184" s="84" t="n"/>
      <c r="I184" s="84" t="n"/>
      <c r="J184" s="84" t="n"/>
      <c r="K184" s="84" t="n"/>
      <c r="L184" s="84" t="n"/>
      <c r="M184" s="84" t="n"/>
      <c r="N184" s="84" t="n"/>
      <c r="O184" s="84" t="n"/>
      <c r="P184" s="84" t="n"/>
      <c r="Q184" s="84" t="n"/>
      <c r="R184" s="84" t="n"/>
      <c r="S184" s="84" t="n"/>
    </row>
    <row r="185">
      <c r="A185" s="84" t="n"/>
      <c r="B185" s="84" t="n"/>
      <c r="C185" s="84" t="n"/>
      <c r="D185" s="84" t="n"/>
      <c r="E185" s="84" t="n"/>
      <c r="F185" s="84" t="n"/>
      <c r="G185" s="84" t="n"/>
      <c r="H185" s="84" t="n"/>
      <c r="I185" s="84" t="n"/>
      <c r="J185" s="84" t="n"/>
      <c r="K185" s="84" t="n"/>
      <c r="L185" s="84" t="n"/>
      <c r="M185" s="84" t="n"/>
      <c r="N185" s="84" t="n"/>
      <c r="O185" s="84" t="n"/>
      <c r="P185" s="84" t="n"/>
      <c r="Q185" s="84" t="n"/>
      <c r="R185" s="84" t="n"/>
      <c r="S185" s="84" t="n"/>
    </row>
  </sheetData>
  <mergeCells count="167">
    <mergeCell ref="E145:F145"/>
    <mergeCell ref="F172:G172"/>
    <mergeCell ref="E142:F142"/>
    <mergeCell ref="O162:Q162"/>
    <mergeCell ref="F168:G168"/>
    <mergeCell ref="I145:J145"/>
    <mergeCell ref="J18:M18"/>
    <mergeCell ref="K153:L153"/>
    <mergeCell ref="O164:Q164"/>
    <mergeCell ref="E153:F153"/>
    <mergeCell ref="J17:M17"/>
    <mergeCell ref="F173:G173"/>
    <mergeCell ref="I147:J147"/>
    <mergeCell ref="C146:D146"/>
    <mergeCell ref="B35:Q35"/>
    <mergeCell ref="N11:Q11"/>
    <mergeCell ref="F29:I29"/>
    <mergeCell ref="F25:I25"/>
    <mergeCell ref="E7:G7"/>
    <mergeCell ref="B6:D6"/>
    <mergeCell ref="J19:M19"/>
    <mergeCell ref="C148:D148"/>
    <mergeCell ref="B31:E31"/>
    <mergeCell ref="E148:F148"/>
    <mergeCell ref="C165:E165"/>
    <mergeCell ref="B12:E12"/>
    <mergeCell ref="B140:Q140"/>
    <mergeCell ref="N12:Q12"/>
    <mergeCell ref="J30:M30"/>
    <mergeCell ref="B23:E23"/>
    <mergeCell ref="C149:D149"/>
    <mergeCell ref="F170:G170"/>
    <mergeCell ref="B13:E13"/>
    <mergeCell ref="K141:L141"/>
    <mergeCell ref="B119:Q119"/>
    <mergeCell ref="E146:F146"/>
    <mergeCell ref="O166:Q166"/>
    <mergeCell ref="F23:I23"/>
    <mergeCell ref="I149:J149"/>
    <mergeCell ref="K143:L143"/>
    <mergeCell ref="F162:G162"/>
    <mergeCell ref="F13:I13"/>
    <mergeCell ref="K152:L152"/>
    <mergeCell ref="C168:E168"/>
    <mergeCell ref="F171:G171"/>
    <mergeCell ref="N31:Q31"/>
    <mergeCell ref="O168:Q168"/>
    <mergeCell ref="B118:Q118"/>
    <mergeCell ref="C167:E167"/>
    <mergeCell ref="K142:L142"/>
    <mergeCell ref="I151:J151"/>
    <mergeCell ref="N24:Q24"/>
    <mergeCell ref="O167:Q167"/>
    <mergeCell ref="B55:Q55"/>
    <mergeCell ref="H7:J7"/>
    <mergeCell ref="E6:G6"/>
    <mergeCell ref="I144:J144"/>
    <mergeCell ref="J23:M23"/>
    <mergeCell ref="C169:E169"/>
    <mergeCell ref="K144:L144"/>
    <mergeCell ref="C147:D147"/>
    <mergeCell ref="B160:Q160"/>
    <mergeCell ref="E147:F147"/>
    <mergeCell ref="B25:E25"/>
    <mergeCell ref="B97:Q97"/>
    <mergeCell ref="F19:I19"/>
    <mergeCell ref="B3:N3"/>
    <mergeCell ref="K7:M7"/>
    <mergeCell ref="N25:Q25"/>
    <mergeCell ref="B18:E18"/>
    <mergeCell ref="C161:E161"/>
    <mergeCell ref="C170:E170"/>
    <mergeCell ref="B56:Q56"/>
    <mergeCell ref="F30:I30"/>
    <mergeCell ref="B176:Q176"/>
    <mergeCell ref="B11:E11"/>
    <mergeCell ref="I148:J148"/>
    <mergeCell ref="K148:L148"/>
    <mergeCell ref="F167:G167"/>
    <mergeCell ref="F161:G161"/>
    <mergeCell ref="F17:I17"/>
    <mergeCell ref="J11:M11"/>
    <mergeCell ref="B29:E29"/>
    <mergeCell ref="K146:L146"/>
    <mergeCell ref="N29:Q29"/>
    <mergeCell ref="O171:Q171"/>
    <mergeCell ref="H6:J6"/>
    <mergeCell ref="B34:Q34"/>
    <mergeCell ref="N13:Q13"/>
    <mergeCell ref="J31:M31"/>
    <mergeCell ref="C151:D151"/>
    <mergeCell ref="O172:Q172"/>
    <mergeCell ref="C173:E173"/>
    <mergeCell ref="E151:F151"/>
    <mergeCell ref="J12:M12"/>
    <mergeCell ref="C141:D141"/>
    <mergeCell ref="B24:E24"/>
    <mergeCell ref="N6:Q6"/>
    <mergeCell ref="E141:F141"/>
    <mergeCell ref="C163:E163"/>
    <mergeCell ref="E150:F150"/>
    <mergeCell ref="C143:D143"/>
    <mergeCell ref="F164:G164"/>
    <mergeCell ref="E143:F143"/>
    <mergeCell ref="C152:D152"/>
    <mergeCell ref="I141:J141"/>
    <mergeCell ref="E152:F152"/>
    <mergeCell ref="I150:J150"/>
    <mergeCell ref="K150:L150"/>
    <mergeCell ref="C142:D142"/>
    <mergeCell ref="F163:G163"/>
    <mergeCell ref="N7:Q7"/>
    <mergeCell ref="E149:F149"/>
    <mergeCell ref="O169:Q169"/>
    <mergeCell ref="I143:J143"/>
    <mergeCell ref="I152:J152"/>
    <mergeCell ref="B159:Q159"/>
    <mergeCell ref="F165:G165"/>
    <mergeCell ref="I142:J142"/>
    <mergeCell ref="J24:M24"/>
    <mergeCell ref="K145:L145"/>
    <mergeCell ref="N18:Q18"/>
    <mergeCell ref="E144:F144"/>
    <mergeCell ref="O161:Q161"/>
    <mergeCell ref="F18:I18"/>
    <mergeCell ref="B17:E17"/>
    <mergeCell ref="O170:Q170"/>
    <mergeCell ref="B98:Q98"/>
    <mergeCell ref="I153:J153"/>
    <mergeCell ref="N17:Q17"/>
    <mergeCell ref="K147:L147"/>
    <mergeCell ref="F166:G166"/>
    <mergeCell ref="C172:E172"/>
    <mergeCell ref="B19:E19"/>
    <mergeCell ref="C162:E162"/>
    <mergeCell ref="J25:M25"/>
    <mergeCell ref="C171:E171"/>
    <mergeCell ref="N19:Q19"/>
    <mergeCell ref="F31:I31"/>
    <mergeCell ref="C164:E164"/>
    <mergeCell ref="B30:E30"/>
    <mergeCell ref="N30:Q30"/>
    <mergeCell ref="B139:Q139"/>
    <mergeCell ref="O173:Q173"/>
    <mergeCell ref="B76:Q76"/>
    <mergeCell ref="F169:G169"/>
    <mergeCell ref="F11:I11"/>
    <mergeCell ref="O163:Q163"/>
    <mergeCell ref="I146:J146"/>
    <mergeCell ref="J29:M29"/>
    <mergeCell ref="O2:Q2"/>
    <mergeCell ref="K149:L149"/>
    <mergeCell ref="J13:M13"/>
    <mergeCell ref="O165:Q165"/>
    <mergeCell ref="K6:M6"/>
    <mergeCell ref="F12:I12"/>
    <mergeCell ref="F24:I24"/>
    <mergeCell ref="K151:L151"/>
    <mergeCell ref="B77:Q77"/>
    <mergeCell ref="B2:K2"/>
    <mergeCell ref="B7:D7"/>
    <mergeCell ref="C150:D150"/>
    <mergeCell ref="C166:E166"/>
    <mergeCell ref="C144:D144"/>
    <mergeCell ref="C153:D153"/>
    <mergeCell ref="N23:Q23"/>
    <mergeCell ref="C145:D145"/>
  </mergeCells>
  <conditionalFormatting sqref="I142:J153">
    <cfRule type="expression" priority="1" dxfId="0" stopIfTrue="0">
      <formula>ISNUMBER(SEARCH("Interview",$I142))</formula>
    </cfRule>
    <cfRule type="expression" priority="2" dxfId="1" stopIfTrue="0">
      <formula>ISNUMBER(SEARCH("Submission",$I142))</formula>
    </cfRule>
    <cfRule type="expression" priority="3" dxfId="2" stopIfTrue="0">
      <formula>ISNUMBER(SEARCH("Withdrawn",$I142))</formula>
    </cfRule>
  </conditionalFormatting>
  <conditionalFormatting sqref="H162:H173">
    <cfRule type="colorScale" priority="4">
      <colorScale>
        <cfvo type="min"/>
        <cfvo type="max"/>
        <color rgb="00FFFFFF"/>
        <color rgb="00BFE3CC"/>
      </colorScale>
    </cfRule>
  </conditionalFormatting>
  <conditionalFormatting sqref="I162:I173">
    <cfRule type="colorScale" priority="5">
      <colorScale>
        <cfvo type="min"/>
        <cfvo type="max"/>
        <color rgb="00FFFFFF"/>
        <color rgb="00F6DFB0"/>
      </colorScale>
    </cfRule>
  </conditionalFormatting>
  <conditionalFormatting sqref="J162:J173">
    <cfRule type="colorScale" priority="5">
      <colorScale>
        <cfvo type="min"/>
        <cfvo type="max"/>
        <color rgb="00FFFFFF"/>
        <color rgb="00F6DFB0"/>
      </colorScale>
    </cfRule>
  </conditionalFormatting>
  <conditionalFormatting sqref="K162:K173">
    <cfRule type="colorScale" priority="7">
      <colorScale>
        <cfvo type="min"/>
        <cfvo type="max"/>
        <color rgb="00FFFFFF"/>
        <color rgb="00F3C4C4"/>
      </colorScale>
    </cfRule>
  </conditionalFormatting>
  <conditionalFormatting sqref="L162:L173">
    <cfRule type="colorScale" priority="8">
      <colorScale>
        <cfvo type="min"/>
        <cfvo type="max"/>
        <color rgb="00BFE3CC"/>
        <color rgb="00FFFFFF"/>
      </colorScale>
    </cfRule>
  </conditionalFormatting>
  <conditionalFormatting sqref="M162:M173">
    <cfRule type="colorScale" priority="4">
      <colorScale>
        <cfvo type="min"/>
        <cfvo type="max"/>
        <color rgb="00FFFFFF"/>
        <color rgb="00BFE3CC"/>
      </colorScale>
    </cfRule>
  </conditionalFormatting>
  <conditionalFormatting sqref="N162:N173">
    <cfRule type="cellIs" priority="10" operator="equal" dxfId="0">
      <formula>1</formula>
    </cfRule>
    <cfRule type="cellIs" priority="11" operator="equal" dxfId="3">
      <formula>0</formula>
    </cfRule>
  </conditionalFormatting>
  <dataValidations count="4">
    <dataValidation sqref="B7" showDropDown="0" showInputMessage="1" showErrorMessage="1" allowBlank="1" errorTitle="Value not in the list" error="Pick a recruiter, or All." promptTitle="Recruiter" prompt="Pick a recruiter, or All." type="list">
      <formula1>=ListRecruiter</formula1>
    </dataValidation>
    <dataValidation sqref="E7" showDropDown="0" showInputMessage="1" showErrorMessage="1" allowBlank="1" errorTitle="Value not in the list" error="Pick a normalised city, or All." promptTitle="Location" prompt="Pick a normalised city, or All." type="list">
      <formula1>=ListCity</formula1>
    </dataValidation>
    <dataValidation sqref="H7" showDropDown="0" showInputMessage="1" showErrorMessage="1" allowBlank="1" errorTitle="Value not in the list" error="Pick a pipeline stage, or All." promptTitle="Stage" prompt="Pick a pipeline stage, or All." type="list">
      <formula1>=ListStage</formula1>
    </dataValidation>
    <dataValidation sqref="K7" showDropDown="0" showInputMessage="1" showErrorMessage="1" allowBlank="1" errorTitle="Value not in the list" error="Pick a requisition, or All." promptTitle="Requisition" prompt="Pick a requisition, or All." type="list">
      <formula1>=ListRequisition</formula1>
    </dataValidation>
  </dataValidations>
  <pageMargins left="0.75" right="0.75" top="1" bottom="1" header="0.5" footer="0.5"/>
  <pageSetup orientation="portrait" fitToHeight="0" fitToWidth="1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000F9D58"/>
    <outlinePr summaryBelow="1" summaryRight="1"/>
    <pageSetUpPr fitToPage="1"/>
  </sheetPr>
  <dimension ref="A1:S110"/>
  <sheetViews>
    <sheetView showGridLines="0" workbookViewId="0">
      <selection activeCell="A1" sqref="A1"/>
    </sheetView>
  </sheetViews>
  <sheetFormatPr baseColWidth="8" defaultRowHeight="15"/>
  <cols>
    <col width="2.2" customWidth="1" style="83" min="1" max="1"/>
    <col width="9.6" customWidth="1" style="83" min="2" max="2"/>
    <col width="9.6" customWidth="1" style="83" min="3" max="3"/>
    <col width="9.6" customWidth="1" style="83" min="4" max="4"/>
    <col width="9.6" customWidth="1" style="83" min="5" max="5"/>
    <col width="9.6" customWidth="1" style="83" min="6" max="6"/>
    <col width="9.6" customWidth="1" style="83" min="7" max="7"/>
    <col width="9.6" customWidth="1" style="83" min="8" max="8"/>
    <col width="9.6" customWidth="1" style="83" min="9" max="9"/>
    <col width="9.6" customWidth="1" style="83" min="10" max="10"/>
    <col width="9.6" customWidth="1" style="83" min="11" max="11"/>
    <col width="9.6" customWidth="1" style="83" min="12" max="12"/>
    <col width="9.6" customWidth="1" style="83" min="13" max="13"/>
    <col width="9.6" customWidth="1" style="83" min="14" max="14"/>
    <col width="9.6" customWidth="1" style="83" min="15" max="15"/>
    <col width="9.6" customWidth="1" style="83" min="16" max="16"/>
    <col width="9.6" customWidth="1" style="83" min="17" max="17"/>
    <col width="2.2" customWidth="1" style="83" min="18" max="18"/>
  </cols>
  <sheetData>
    <row r="1" ht="10" customHeight="1" s="83">
      <c r="A1" s="84" t="n"/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28" customHeight="1" s="83">
      <c r="A2" s="84" t="n"/>
      <c r="B2" s="150" t="inlineStr">
        <is>
          <t>Candidate Shortlist &amp; Market Read</t>
        </is>
      </c>
      <c r="M2" s="84" t="n"/>
      <c r="N2" s="84" t="n"/>
      <c r="O2" s="84" t="n"/>
      <c r="P2" s="84" t="n"/>
      <c r="Q2" s="84" t="n"/>
      <c r="R2" s="84" t="n"/>
      <c r="S2" s="84" t="n"/>
    </row>
    <row r="3" ht="15" customHeight="1" s="83">
      <c r="A3" s="84" t="n"/>
      <c r="B3" s="151" t="str">
        <f>"Prepared for the hiring manager · "&amp;TEXT(TODAY(),"d mmmm yyyy")&amp;" · "&amp;TEXT('Dashboard Calc'!$B$353,"0")&amp;" candidates reviewed"</f>
        <v>Prepared for the hiring manager · 31 August 2026 · 52 candidates reviewed</v>
      </c>
      <c r="M3" s="84" t="n"/>
      <c r="N3" s="84" t="n"/>
      <c r="O3" s="84" t="n"/>
      <c r="P3" s="84" t="n"/>
      <c r="Q3" s="84" t="n"/>
      <c r="R3" s="84" t="n"/>
      <c r="S3" s="84" t="n"/>
    </row>
    <row r="4" ht="12" customHeight="1" s="83">
      <c r="A4" s="84" t="n"/>
      <c r="B4" s="88" t="n"/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4" t="n"/>
      <c r="S4" s="84" t="n"/>
    </row>
    <row r="5" ht="8" customHeight="1" s="83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  <c r="M5" s="84" t="n"/>
      <c r="N5" s="84" t="n"/>
      <c r="O5" s="84" t="n"/>
      <c r="P5" s="84" t="n"/>
      <c r="Q5" s="84" t="n"/>
      <c r="R5" s="84" t="n"/>
      <c r="S5" s="84" t="n"/>
    </row>
    <row r="6" ht="16" customHeight="1" s="83">
      <c r="A6" s="84" t="n"/>
      <c r="B6" s="112" t="inlineStr">
        <is>
          <t>Executive summary</t>
        </is>
      </c>
      <c r="R6" s="84" t="n"/>
      <c r="S6" s="84" t="n"/>
    </row>
    <row r="7" ht="13" customHeight="1" s="83">
      <c r="A7" s="84" t="n"/>
      <c r="B7" s="113" t="inlineStr">
        <is>
          <t>Written from the live pipeline — it rewrites itself as the data changes.</t>
        </is>
      </c>
      <c r="R7" s="84" t="n"/>
      <c r="S7" s="84" t="n"/>
    </row>
    <row r="8" ht="6" customHeight="1" s="83">
      <c r="A8" s="84" t="n"/>
      <c r="B8" s="84" t="n"/>
      <c r="C8" s="84" t="n"/>
      <c r="D8" s="84" t="n"/>
      <c r="E8" s="84" t="n"/>
      <c r="F8" s="84" t="n"/>
      <c r="G8" s="84" t="n"/>
      <c r="H8" s="84" t="n"/>
      <c r="I8" s="84" t="n"/>
      <c r="J8" s="84" t="n"/>
      <c r="K8" s="84" t="n"/>
      <c r="L8" s="84" t="n"/>
      <c r="M8" s="84" t="n"/>
      <c r="N8" s="84" t="n"/>
      <c r="O8" s="84" t="n"/>
      <c r="P8" s="84" t="n"/>
      <c r="Q8" s="84" t="n"/>
      <c r="R8" s="84" t="n"/>
      <c r="S8" s="84" t="n"/>
    </row>
    <row r="9">
      <c r="A9" s="84" t="n"/>
      <c r="B9" s="89" t="n"/>
      <c r="C9" s="90" t="n"/>
      <c r="D9" s="90" t="n"/>
      <c r="E9" s="90" t="n"/>
      <c r="F9" s="90" t="n"/>
      <c r="G9" s="90" t="n"/>
      <c r="H9" s="90" t="n"/>
      <c r="I9" s="90" t="n"/>
      <c r="J9" s="90" t="n"/>
      <c r="K9" s="90" t="n"/>
      <c r="L9" s="90" t="n"/>
      <c r="M9" s="90" t="n"/>
      <c r="N9" s="90" t="n"/>
      <c r="O9" s="90" t="n"/>
      <c r="P9" s="90" t="n"/>
      <c r="Q9" s="91" t="n"/>
      <c r="R9" s="84" t="n"/>
      <c r="S9" s="84" t="n"/>
    </row>
    <row r="10" ht="15" customHeight="1" s="83">
      <c r="A10" s="84" t="n"/>
      <c r="B10" s="114" t="n"/>
      <c r="C10" s="152" t="str">
        <f>"Zeronorth has screened "&amp;TEXT('Dashboard Calc'!$B$353,"0")&amp;" candidates across "&amp;TEXT('Dashboard Calc'!$B$377,"0")&amp;" live requisitions. "&amp;TEXT('Dashboard Calc'!$B$356,"0")&amp;" have been submitted for client review — "&amp;TEXT('Dashboard Calc'!$B$361,"0%")&amp;" of the pipeline — and "&amp;TEXT('Dashboard Calc'!$B$357,"0")&amp;" have reached interview stage."</f>
        <v>Zeronorth has screened 52 candidates across 3 live requisitions. 23 have been submitted for client review — 44% of the pipeline — and 3 have reached interview stage.</v>
      </c>
      <c r="Q10" s="116" t="n"/>
      <c r="R10" s="84" t="n"/>
      <c r="S10" s="84" t="n"/>
    </row>
    <row r="11" ht="15" customHeight="1" s="83">
      <c r="A11" s="84" t="n"/>
      <c r="B11" s="114" t="n"/>
      <c r="Q11" s="116" t="n"/>
      <c r="R11" s="84" t="n"/>
      <c r="S11" s="84" t="n"/>
    </row>
    <row r="12" ht="15" customHeight="1" s="83">
      <c r="A12" s="84" t="n"/>
      <c r="B12" s="114" t="n"/>
      <c r="C12" s="152" t="str">
        <f>"The submitted pool averages "&amp;TEXT('Dashboard Calc'!$B$368,"0.0")&amp;" years of experience against an average expected CTC of "&amp;TEXT('Dashboard Calc'!$B$365,"0.0")&amp;" LPA, an uplift of "&amp;TEXT('Dashboard Calc'!$B$366,"0%")&amp;" on current package. "&amp;TEXT('Dashboard Calc'!$B$370,"0")&amp;" candidates meet or exceed the "&amp;TEXT(MinExperience,"0")&amp;"-year experience bar."</f>
        <v>The submitted pool averages 5.5 years of experience against an average expected CTC of 19.9 LPA, an uplift of 49% on current package. 18 candidates meet or exceed the 4-year experience bar.</v>
      </c>
      <c r="Q12" s="116" t="n"/>
      <c r="R12" s="84" t="n"/>
      <c r="S12" s="84" t="n"/>
    </row>
    <row r="13" ht="15" customHeight="1" s="83">
      <c r="A13" s="84" t="n"/>
      <c r="B13" s="114" t="n"/>
      <c r="Q13" s="116" t="n"/>
      <c r="R13" s="84" t="n"/>
      <c r="S13" s="84" t="n"/>
    </row>
    <row r="14" ht="15" customHeight="1" s="83">
      <c r="A14" s="84" t="n"/>
      <c r="B14" s="114" t="n"/>
      <c r="C14" s="152" t="str">
        <f>"Supply is concentrated in "&amp;'Dashboard Calc'!$B$381&amp;". "&amp;TEXT('Dashboard Calc'!$B$375,"0%")&amp;" of candidates are based in or willing to relocate to "&amp;TargetLocation&amp;", and "&amp;TEXT('Dashboard Calc'!$B$372,"0")&amp;" can join within "&amp;TEXT(MaxNoticeDays,"0")&amp;" days."</f>
        <v>Supply is concentrated in Chennai. 75% of candidates are based in or willing to relocate to Chennai, and 11 can join within 30 days.</v>
      </c>
      <c r="Q14" s="116" t="n"/>
      <c r="R14" s="84" t="n"/>
      <c r="S14" s="84" t="n"/>
    </row>
    <row r="15" ht="15" customHeight="1" s="83">
      <c r="A15" s="84" t="n"/>
      <c r="B15" s="114" t="n"/>
      <c r="Q15" s="116" t="n"/>
      <c r="R15" s="84" t="n"/>
      <c r="S15" s="84" t="n"/>
    </row>
    <row r="16">
      <c r="A16" s="84" t="n"/>
      <c r="B16" s="99" t="n"/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1" t="n"/>
      <c r="R16" s="84" t="n"/>
      <c r="S16" s="84" t="n"/>
    </row>
    <row r="17" ht="12" customHeight="1" s="83">
      <c r="A17" s="84" t="n"/>
      <c r="B17" s="84" t="n"/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n"/>
      <c r="M17" s="84" t="n"/>
      <c r="N17" s="84" t="n"/>
      <c r="O17" s="84" t="n"/>
      <c r="P17" s="84" t="n"/>
      <c r="Q17" s="84" t="n"/>
      <c r="R17" s="84" t="n"/>
      <c r="S17" s="84" t="n"/>
    </row>
    <row r="18" ht="6" customHeight="1" s="83">
      <c r="A18" s="84" t="n"/>
      <c r="B18" s="89" t="n"/>
      <c r="C18" s="90" t="n"/>
      <c r="D18" s="90" t="n"/>
      <c r="E18" s="90" t="n"/>
      <c r="F18" s="90" t="n"/>
      <c r="G18" s="91" t="n"/>
      <c r="H18" s="89" t="n"/>
      <c r="I18" s="90" t="n"/>
      <c r="J18" s="90" t="n"/>
      <c r="K18" s="90" t="n"/>
      <c r="L18" s="91" t="n"/>
      <c r="M18" s="89" t="n"/>
      <c r="N18" s="90" t="n"/>
      <c r="O18" s="90" t="n"/>
      <c r="P18" s="90" t="n"/>
      <c r="Q18" s="91" t="n"/>
      <c r="R18" s="84" t="n"/>
      <c r="S18" s="84" t="n"/>
    </row>
    <row r="19" ht="13" customHeight="1" s="83">
      <c r="A19" s="84" t="n"/>
      <c r="B19" s="102" t="inlineStr">
        <is>
          <t>CANDIDATES REVIEWED</t>
        </is>
      </c>
      <c r="G19" s="95" t="n"/>
      <c r="H19" s="102" t="inlineStr">
        <is>
          <t>SUBMITTED FOR REVIEW</t>
        </is>
      </c>
      <c r="L19" s="95" t="n"/>
      <c r="M19" s="102" t="inlineStr">
        <is>
          <t>PROGRESSED TO INTERVIEW</t>
        </is>
      </c>
      <c r="Q19" s="95" t="n"/>
      <c r="R19" s="84" t="n"/>
      <c r="S19" s="84" t="n"/>
    </row>
    <row r="20" ht="26" customHeight="1" s="83">
      <c r="A20" s="84" t="n"/>
      <c r="B20" s="103">
        <f>'Dashboard Calc'!$B$353</f>
        <v>52</v>
      </c>
      <c r="G20" s="95" t="n"/>
      <c r="H20" s="103">
        <f>'Dashboard Calc'!$B$356</f>
        <v>23</v>
      </c>
      <c r="L20" s="95" t="n"/>
      <c r="M20" s="104">
        <f>'Dashboard Calc'!$B$357</f>
        <v>3</v>
      </c>
      <c r="Q20" s="95" t="n"/>
      <c r="R20" s="84" t="n"/>
      <c r="S20" s="84" t="n"/>
    </row>
    <row r="21" ht="12" customHeight="1" s="83">
      <c r="A21" s="84" t="n"/>
      <c r="B21" s="114" t="n"/>
      <c r="C21" s="115" t="n"/>
      <c r="D21" s="115" t="n"/>
      <c r="E21" s="115" t="n"/>
      <c r="F21" s="115" t="n"/>
      <c r="G21" s="116" t="n"/>
      <c r="H21" s="114" t="n"/>
      <c r="I21" s="115" t="n"/>
      <c r="J21" s="115" t="n"/>
      <c r="K21" s="115" t="n"/>
      <c r="L21" s="116" t="n"/>
      <c r="M21" s="114" t="n"/>
      <c r="N21" s="115" t="n"/>
      <c r="O21" s="115" t="n"/>
      <c r="P21" s="115" t="n"/>
      <c r="Q21" s="116" t="n"/>
      <c r="R21" s="84" t="n"/>
      <c r="S21" s="84" t="n"/>
    </row>
    <row r="22" ht="7" customHeight="1" s="83">
      <c r="A22" s="84" t="n"/>
      <c r="B22" s="99" t="n"/>
      <c r="C22" s="100" t="n"/>
      <c r="D22" s="100" t="n"/>
      <c r="E22" s="100" t="n"/>
      <c r="F22" s="100" t="n"/>
      <c r="G22" s="101" t="n"/>
      <c r="H22" s="99" t="n"/>
      <c r="I22" s="100" t="n"/>
      <c r="J22" s="100" t="n"/>
      <c r="K22" s="100" t="n"/>
      <c r="L22" s="101" t="n"/>
      <c r="M22" s="99" t="n"/>
      <c r="N22" s="100" t="n"/>
      <c r="O22" s="100" t="n"/>
      <c r="P22" s="100" t="n"/>
      <c r="Q22" s="101" t="n"/>
      <c r="R22" s="84" t="n"/>
      <c r="S22" s="84" t="n"/>
    </row>
    <row r="23" ht="6" customHeight="1" s="83">
      <c r="A23" s="84" t="n"/>
      <c r="B23" s="84" t="n"/>
      <c r="C23" s="84" t="n"/>
      <c r="D23" s="84" t="n"/>
      <c r="E23" s="84" t="n"/>
      <c r="F23" s="84" t="n"/>
      <c r="G23" s="84" t="n"/>
      <c r="H23" s="84" t="n"/>
      <c r="I23" s="84" t="n"/>
      <c r="J23" s="84" t="n"/>
      <c r="K23" s="84" t="n"/>
      <c r="L23" s="84" t="n"/>
      <c r="M23" s="84" t="n"/>
      <c r="N23" s="84" t="n"/>
      <c r="O23" s="84" t="n"/>
      <c r="P23" s="84" t="n"/>
      <c r="Q23" s="84" t="n"/>
      <c r="R23" s="84" t="n"/>
      <c r="S23" s="84" t="n"/>
    </row>
    <row r="24" ht="6" customHeight="1" s="83">
      <c r="A24" s="84" t="n"/>
      <c r="B24" s="89" t="n"/>
      <c r="C24" s="90" t="n"/>
      <c r="D24" s="90" t="n"/>
      <c r="E24" s="90" t="n"/>
      <c r="F24" s="90" t="n"/>
      <c r="G24" s="91" t="n"/>
      <c r="H24" s="89" t="n"/>
      <c r="I24" s="90" t="n"/>
      <c r="J24" s="90" t="n"/>
      <c r="K24" s="90" t="n"/>
      <c r="L24" s="91" t="n"/>
      <c r="M24" s="89" t="n"/>
      <c r="N24" s="90" t="n"/>
      <c r="O24" s="90" t="n"/>
      <c r="P24" s="90" t="n"/>
      <c r="Q24" s="91" t="n"/>
      <c r="R24" s="84" t="n"/>
      <c r="S24" s="84" t="n"/>
    </row>
    <row r="25" ht="13" customHeight="1" s="83">
      <c r="A25" s="84" t="n"/>
      <c r="B25" s="102" t="inlineStr">
        <is>
          <t>AVERAGE EXPERIENCE</t>
        </is>
      </c>
      <c r="G25" s="95" t="n"/>
      <c r="H25" s="102" t="inlineStr">
        <is>
          <t>AVERAGE EXPECTED CTC</t>
        </is>
      </c>
      <c r="L25" s="95" t="n"/>
      <c r="M25" s="102" t="inlineStr">
        <is>
          <t>IN TARGET LOCATION</t>
        </is>
      </c>
      <c r="Q25" s="95" t="n"/>
      <c r="R25" s="84" t="n"/>
      <c r="S25" s="84" t="n"/>
    </row>
    <row r="26" ht="26" customHeight="1" s="83">
      <c r="A26" s="84" t="n"/>
      <c r="B26" s="153">
        <f>'Dashboard Calc'!$B$368</f>
        <v>5.5324</v>
      </c>
      <c r="G26" s="95" t="n"/>
      <c r="H26" s="109">
        <f>'Dashboard Calc'!$B$365</f>
        <v>19.896551724137932</v>
      </c>
      <c r="L26" s="95" t="n"/>
      <c r="M26" s="111">
        <f>'Dashboard Calc'!$B$375</f>
        <v>0.75</v>
      </c>
      <c r="Q26" s="95" t="n"/>
      <c r="R26" s="84" t="n"/>
      <c r="S26" s="84" t="n"/>
    </row>
    <row r="27" ht="12" customHeight="1" s="83">
      <c r="A27" s="84" t="n"/>
      <c r="B27" s="114" t="n"/>
      <c r="C27" s="115" t="n"/>
      <c r="D27" s="115" t="n"/>
      <c r="E27" s="115" t="n"/>
      <c r="F27" s="115" t="n"/>
      <c r="G27" s="116" t="n"/>
      <c r="H27" s="114" t="n"/>
      <c r="I27" s="115" t="n"/>
      <c r="J27" s="115" t="n"/>
      <c r="K27" s="115" t="n"/>
      <c r="L27" s="116" t="n"/>
      <c r="M27" s="114" t="n"/>
      <c r="N27" s="115" t="n"/>
      <c r="O27" s="115" t="n"/>
      <c r="P27" s="115" t="n"/>
      <c r="Q27" s="116" t="n"/>
      <c r="R27" s="84" t="n"/>
      <c r="S27" s="84" t="n"/>
    </row>
    <row r="28" ht="7" customHeight="1" s="83">
      <c r="A28" s="84" t="n"/>
      <c r="B28" s="99" t="n"/>
      <c r="C28" s="100" t="n"/>
      <c r="D28" s="100" t="n"/>
      <c r="E28" s="100" t="n"/>
      <c r="F28" s="100" t="n"/>
      <c r="G28" s="101" t="n"/>
      <c r="H28" s="99" t="n"/>
      <c r="I28" s="100" t="n"/>
      <c r="J28" s="100" t="n"/>
      <c r="K28" s="100" t="n"/>
      <c r="L28" s="101" t="n"/>
      <c r="M28" s="99" t="n"/>
      <c r="N28" s="100" t="n"/>
      <c r="O28" s="100" t="n"/>
      <c r="P28" s="100" t="n"/>
      <c r="Q28" s="101" t="n"/>
      <c r="R28" s="84" t="n"/>
      <c r="S28" s="84" t="n"/>
    </row>
    <row r="29" ht="12" customHeight="1" s="83">
      <c r="A29" s="84" t="n"/>
      <c r="B29" s="84" t="n"/>
      <c r="C29" s="84" t="n"/>
      <c r="D29" s="84" t="n"/>
      <c r="E29" s="84" t="n"/>
      <c r="F29" s="84" t="n"/>
      <c r="G29" s="84" t="n"/>
      <c r="H29" s="84" t="n"/>
      <c r="I29" s="84" t="n"/>
      <c r="J29" s="84" t="n"/>
      <c r="K29" s="84" t="n"/>
      <c r="L29" s="84" t="n"/>
      <c r="M29" s="84" t="n"/>
      <c r="N29" s="84" t="n"/>
      <c r="O29" s="84" t="n"/>
      <c r="P29" s="84" t="n"/>
      <c r="Q29" s="84" t="n"/>
      <c r="R29" s="84" t="n"/>
      <c r="S29" s="84" t="n"/>
    </row>
    <row r="30">
      <c r="A30" s="84" t="n"/>
      <c r="B30" s="84" t="n"/>
      <c r="C30" s="84" t="n"/>
      <c r="D30" s="84" t="n"/>
      <c r="E30" s="84" t="n"/>
      <c r="F30" s="84" t="n"/>
      <c r="G30" s="84" t="n"/>
      <c r="H30" s="84" t="n"/>
      <c r="I30" s="84" t="n"/>
      <c r="J30" s="84" t="n"/>
      <c r="K30" s="84" t="n"/>
      <c r="L30" s="84" t="n"/>
      <c r="M30" s="84" t="n"/>
      <c r="N30" s="84" t="n"/>
      <c r="O30" s="84" t="n"/>
      <c r="P30" s="84" t="n"/>
      <c r="Q30" s="84" t="n"/>
      <c r="R30" s="84" t="n"/>
      <c r="S30" s="84" t="n"/>
    </row>
    <row r="31" ht="16" customHeight="1" s="83">
      <c r="A31" s="84" t="n"/>
      <c r="B31" s="112" t="inlineStr">
        <is>
          <t>Recommended candidates</t>
        </is>
      </c>
      <c r="R31" s="84" t="n"/>
      <c r="S31" s="84" t="n"/>
    </row>
    <row r="32" ht="13" customHeight="1" s="83">
      <c r="A32" s="84" t="n"/>
      <c r="B32" s="113" t="inlineStr">
        <is>
          <t>The five furthest through the process, ranked automatically.</t>
        </is>
      </c>
      <c r="R32" s="84" t="n"/>
      <c r="S32" s="84" t="n"/>
    </row>
    <row r="33" ht="6" customHeight="1" s="83">
      <c r="A33" s="84" t="n"/>
      <c r="B33" s="84" t="n"/>
      <c r="C33" s="84" t="n"/>
      <c r="D33" s="84" t="n"/>
      <c r="E33" s="84" t="n"/>
      <c r="F33" s="84" t="n"/>
      <c r="G33" s="84" t="n"/>
      <c r="H33" s="84" t="n"/>
      <c r="I33" s="84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</row>
    <row r="34" ht="22" customHeight="1" s="83">
      <c r="A34" s="84" t="n"/>
      <c r="B34" s="117" t="inlineStr">
        <is>
          <t>#</t>
        </is>
      </c>
      <c r="C34" s="118" t="inlineStr">
        <is>
          <t>CANDIDATE</t>
        </is>
      </c>
      <c r="D34" s="119" t="n"/>
      <c r="E34" s="119" t="n"/>
      <c r="F34" s="118" t="inlineStr">
        <is>
          <t>CURRENT COMPANY</t>
        </is>
      </c>
      <c r="G34" s="119" t="n"/>
      <c r="H34" s="119" t="n"/>
      <c r="I34" s="117" t="inlineStr">
        <is>
          <t>EXPERIENCE</t>
        </is>
      </c>
      <c r="J34" s="118" t="inlineStr">
        <is>
          <t>LOCATION</t>
        </is>
      </c>
      <c r="K34" s="119" t="n"/>
      <c r="L34" s="117" t="inlineStr">
        <is>
          <t>EXPECTED CTC</t>
        </is>
      </c>
      <c r="M34" s="117" t="inlineStr">
        <is>
          <t>AVAILABILITY</t>
        </is>
      </c>
      <c r="N34" s="119" t="n"/>
      <c r="O34" s="118" t="inlineStr">
        <is>
          <t>STAGE REACHED</t>
        </is>
      </c>
      <c r="P34" s="119" t="n"/>
      <c r="Q34" s="119" t="n"/>
      <c r="R34" s="84" t="n"/>
      <c r="S34" s="84" t="n"/>
    </row>
    <row r="35" ht="19" customHeight="1" s="83">
      <c r="A35" s="84" t="n"/>
      <c r="B35" s="154">
        <f>'Dashboard Calc'!$A$321</f>
        <v>1</v>
      </c>
      <c r="C35" s="155" t="str">
        <f>'Dashboard Calc'!$B$321</f>
        <v>Ankit Mahajan</v>
      </c>
      <c r="D35" s="122" t="n"/>
      <c r="E35" s="122" t="n"/>
      <c r="F35" s="156" t="str">
        <f>'Dashboard Calc'!$C$321</f>
        <v>Samsara Group</v>
      </c>
      <c r="G35" s="122" t="n"/>
      <c r="H35" s="122" t="n"/>
      <c r="I35" s="157">
        <f>'Dashboard Calc'!$E$321</f>
        <v>8</v>
      </c>
      <c r="J35" s="156" t="str">
        <f>'Dashboard Calc'!$D$321</f>
        <v>Mumbai</v>
      </c>
      <c r="K35" s="122" t="n"/>
      <c r="L35" s="158">
        <f>'Dashboard Calc'!$I$321</f>
        <v>25</v>
      </c>
      <c r="M35" s="159" t="str">
        <f>'Dashboard Calc'!$K$321</f>
        <v>31-60 days</v>
      </c>
      <c r="N35" s="122" t="n"/>
      <c r="O35" s="156" t="str">
        <f>'Dashboard Calc'!$F$321</f>
        <v>ZN Interview</v>
      </c>
      <c r="P35" s="122" t="n"/>
      <c r="Q35" s="122" t="n"/>
      <c r="R35" s="84" t="n"/>
      <c r="S35" s="84" t="n"/>
    </row>
    <row r="36" ht="19" customHeight="1" s="83">
      <c r="A36" s="84" t="n"/>
      <c r="B36" s="160">
        <f>'Dashboard Calc'!$A$322</f>
        <v>2</v>
      </c>
      <c r="C36" s="161" t="str">
        <f>'Dashboard Calc'!$B$322</f>
        <v>Duraipandi R</v>
      </c>
      <c r="D36" s="130" t="n"/>
      <c r="E36" s="130" t="n"/>
      <c r="F36" s="162" t="str">
        <f>'Dashboard Calc'!$C$322</f>
        <v>Sify Technologies Limited</v>
      </c>
      <c r="G36" s="130" t="n"/>
      <c r="H36" s="130" t="n"/>
      <c r="I36" s="163">
        <f>'Dashboard Calc'!$E$322</f>
        <v>3</v>
      </c>
      <c r="J36" s="162" t="str">
        <f>'Dashboard Calc'!$D$322</f>
        <v>Chennai</v>
      </c>
      <c r="K36" s="130" t="n"/>
      <c r="L36" s="164">
        <f>'Dashboard Calc'!$I$322</f>
        <v>15</v>
      </c>
      <c r="M36" s="165" t="str">
        <f>'Dashboard Calc'!$K$322</f>
        <v>Not recorded</v>
      </c>
      <c r="N36" s="130" t="n"/>
      <c r="O36" s="162" t="str">
        <f>'Dashboard Calc'!$F$322</f>
        <v>ZN Interview</v>
      </c>
      <c r="P36" s="130" t="n"/>
      <c r="Q36" s="130" t="n"/>
      <c r="R36" s="84" t="n"/>
      <c r="S36" s="84" t="n"/>
    </row>
    <row r="37" ht="19" customHeight="1" s="83">
      <c r="A37" s="84" t="n"/>
      <c r="B37" s="154">
        <f>'Dashboard Calc'!$A$323</f>
        <v>3</v>
      </c>
      <c r="C37" s="155" t="str">
        <f>'Dashboard Calc'!$B$323</f>
        <v>syed sharukh</v>
      </c>
      <c r="D37" s="122" t="n"/>
      <c r="E37" s="122" t="n"/>
      <c r="F37" s="156" t="str">
        <f>'Dashboard Calc'!$C$323</f>
        <v>Avasoft</v>
      </c>
      <c r="G37" s="122" t="n"/>
      <c r="H37" s="122" t="n"/>
      <c r="I37" s="157">
        <f>'Dashboard Calc'!$E$323</f>
        <v>3</v>
      </c>
      <c r="J37" s="156" t="str">
        <f>'Dashboard Calc'!$D$323</f>
        <v>Chennai</v>
      </c>
      <c r="K37" s="122" t="n"/>
      <c r="L37" s="158">
        <f>'Dashboard Calc'!$I$323</f>
        <v>16</v>
      </c>
      <c r="M37" s="159" t="str">
        <f>'Dashboard Calc'!$K$323</f>
        <v>Not recorded</v>
      </c>
      <c r="N37" s="122" t="n"/>
      <c r="O37" s="156" t="str">
        <f>'Dashboard Calc'!$F$323</f>
        <v>ZN Interview</v>
      </c>
      <c r="P37" s="122" t="n"/>
      <c r="Q37" s="122" t="n"/>
      <c r="R37" s="84" t="n"/>
      <c r="S37" s="84" t="n"/>
    </row>
    <row r="38" ht="19" customHeight="1" s="83">
      <c r="A38" s="84" t="n"/>
      <c r="B38" s="160">
        <f>'Dashboard Calc'!$A$324</f>
        <v>4</v>
      </c>
      <c r="C38" s="161" t="str">
        <f>'Dashboard Calc'!$B$324</f>
        <v>Rohith</v>
      </c>
      <c r="D38" s="130" t="n"/>
      <c r="E38" s="130" t="n"/>
      <c r="F38" s="162" t="str">
        <f>'Dashboard Calc'!$C$324</f>
        <v>NTT Data</v>
      </c>
      <c r="G38" s="130" t="n"/>
      <c r="H38" s="130" t="n"/>
      <c r="I38" s="163">
        <f>'Dashboard Calc'!$E$324</f>
        <v>4.3</v>
      </c>
      <c r="J38" s="162" t="str">
        <f>'Dashboard Calc'!$D$324</f>
        <v>Bangalore</v>
      </c>
      <c r="K38" s="130" t="n"/>
      <c r="L38" s="164">
        <f>'Dashboard Calc'!$I$324</f>
        <v>16</v>
      </c>
      <c r="M38" s="165" t="str">
        <f>'Dashboard Calc'!$K$324</f>
        <v>31-60 days</v>
      </c>
      <c r="N38" s="130" t="n"/>
      <c r="O38" s="162" t="str">
        <f>'Dashboard Calc'!$F$324</f>
        <v>ZN Submission</v>
      </c>
      <c r="P38" s="130" t="n"/>
      <c r="Q38" s="130" t="n"/>
      <c r="R38" s="84" t="n"/>
      <c r="S38" s="84" t="n"/>
    </row>
    <row r="39" ht="19" customHeight="1" s="83">
      <c r="A39" s="84" t="n"/>
      <c r="B39" s="154">
        <f>'Dashboard Calc'!$A$325</f>
        <v>5</v>
      </c>
      <c r="C39" s="155" t="str">
        <f>'Dashboard Calc'!$B$325</f>
        <v>Rajesh</v>
      </c>
      <c r="D39" s="122" t="n"/>
      <c r="E39" s="122" t="n"/>
      <c r="F39" s="156" t="str">
        <f>'Dashboard Calc'!$C$325</f>
        <v>Cegeka</v>
      </c>
      <c r="G39" s="122" t="n"/>
      <c r="H39" s="122" t="n"/>
      <c r="I39" s="157">
        <f>'Dashboard Calc'!$E$325</f>
        <v>8</v>
      </c>
      <c r="J39" s="156" t="str">
        <f>'Dashboard Calc'!$D$325</f>
        <v>Chennai</v>
      </c>
      <c r="K39" s="122" t="n"/>
      <c r="L39" s="158">
        <f>'Dashboard Calc'!$I$325</f>
        <v>0</v>
      </c>
      <c r="M39" s="159" t="str">
        <f>'Dashboard Calc'!$K$325</f>
        <v>Not recorded</v>
      </c>
      <c r="N39" s="122" t="n"/>
      <c r="O39" s="156" t="str">
        <f>'Dashboard Calc'!$F$325</f>
        <v>ZN Submission</v>
      </c>
      <c r="P39" s="122" t="n"/>
      <c r="Q39" s="122" t="n"/>
      <c r="R39" s="84" t="n"/>
      <c r="S39" s="84" t="n"/>
    </row>
    <row r="40">
      <c r="A40" s="84" t="n"/>
      <c r="B40" s="99" t="n"/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100" t="n"/>
      <c r="N40" s="100" t="n"/>
      <c r="O40" s="100" t="n"/>
      <c r="P40" s="100" t="n"/>
      <c r="Q40" s="101" t="n"/>
      <c r="R40" s="84" t="n"/>
      <c r="S40" s="84" t="n"/>
    </row>
    <row r="41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84" t="n"/>
      <c r="L41" s="84" t="n"/>
      <c r="M41" s="84" t="n"/>
      <c r="N41" s="84" t="n"/>
      <c r="O41" s="84" t="n"/>
      <c r="P41" s="84" t="n"/>
      <c r="Q41" s="84" t="n"/>
      <c r="R41" s="84" t="n"/>
      <c r="S41" s="84" t="n"/>
    </row>
    <row r="42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84" t="n"/>
      <c r="L42" s="84" t="n"/>
      <c r="M42" s="84" t="n"/>
      <c r="N42" s="84" t="n"/>
      <c r="O42" s="84" t="n"/>
      <c r="P42" s="84" t="n"/>
      <c r="Q42" s="84" t="n"/>
      <c r="R42" s="84" t="n"/>
      <c r="S42" s="84" t="n"/>
    </row>
    <row r="43" ht="16" customHeight="1" s="83">
      <c r="A43" s="84" t="n"/>
      <c r="B43" s="112" t="inlineStr">
        <is>
          <t>Hiring market read</t>
        </is>
      </c>
      <c r="R43" s="84" t="n"/>
      <c r="S43" s="84" t="n"/>
    </row>
    <row r="44" ht="13" customHeight="1" s="83">
      <c r="A44" s="84" t="n"/>
      <c r="B44" s="113" t="inlineStr">
        <is>
          <t>Where this pool is strong, and where it will cost you.</t>
        </is>
      </c>
      <c r="R44" s="84" t="n"/>
      <c r="S44" s="84" t="n"/>
    </row>
    <row r="45" ht="6" customHeight="1" s="83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84" t="n"/>
      <c r="L45" s="84" t="n"/>
      <c r="M45" s="84" t="n"/>
      <c r="N45" s="84" t="n"/>
      <c r="O45" s="84" t="n"/>
      <c r="P45" s="84" t="n"/>
      <c r="Q45" s="84" t="n"/>
      <c r="R45" s="84" t="n"/>
      <c r="S45" s="84" t="n"/>
    </row>
    <row r="46">
      <c r="A46" s="84" t="n"/>
      <c r="B46" s="89" t="n"/>
      <c r="C46" s="90" t="n"/>
      <c r="D46" s="90" t="n"/>
      <c r="E46" s="90" t="n"/>
      <c r="F46" s="90" t="n"/>
      <c r="G46" s="90" t="n"/>
      <c r="H46" s="90" t="n"/>
      <c r="I46" s="91" t="n"/>
      <c r="J46" s="89" t="n"/>
      <c r="K46" s="90" t="n"/>
      <c r="L46" s="90" t="n"/>
      <c r="M46" s="90" t="n"/>
      <c r="N46" s="90" t="n"/>
      <c r="O46" s="90" t="n"/>
      <c r="P46" s="90" t="n"/>
      <c r="Q46" s="91" t="n"/>
      <c r="R46" s="84" t="n"/>
      <c r="S46" s="84" t="n"/>
    </row>
    <row r="47">
      <c r="A47" s="84" t="n"/>
      <c r="B47" s="114" t="n"/>
      <c r="C47" s="166" t="inlineStr">
        <is>
          <t>SUPPLY AND COVERAGE</t>
        </is>
      </c>
      <c r="D47" s="115" t="n"/>
      <c r="E47" s="115" t="n"/>
      <c r="F47" s="115" t="n"/>
      <c r="G47" s="115" t="n"/>
      <c r="H47" s="115" t="n"/>
      <c r="I47" s="116" t="n"/>
      <c r="J47" s="114" t="n"/>
      <c r="K47" s="166" t="inlineStr">
        <is>
          <t>DEPTH AND COST</t>
        </is>
      </c>
      <c r="L47" s="115" t="n"/>
      <c r="M47" s="115" t="n"/>
      <c r="N47" s="115" t="n"/>
      <c r="O47" s="115" t="n"/>
      <c r="P47" s="115" t="n"/>
      <c r="Q47" s="116" t="n"/>
      <c r="R47" s="84" t="n"/>
      <c r="S47" s="84" t="n"/>
    </row>
    <row r="48">
      <c r="A48" s="84" t="n"/>
      <c r="B48" s="114" t="n"/>
      <c r="C48" s="115" t="n"/>
      <c r="D48" s="115" t="n"/>
      <c r="E48" s="115" t="n"/>
      <c r="F48" s="115" t="n"/>
      <c r="G48" s="115" t="n"/>
      <c r="H48" s="115" t="n"/>
      <c r="I48" s="116" t="n"/>
      <c r="J48" s="114" t="n"/>
      <c r="K48" s="115" t="n"/>
      <c r="L48" s="115" t="n"/>
      <c r="M48" s="115" t="n"/>
      <c r="N48" s="115" t="n"/>
      <c r="O48" s="115" t="n"/>
      <c r="P48" s="115" t="n"/>
      <c r="Q48" s="116" t="n"/>
      <c r="R48" s="84" t="n"/>
      <c r="S48" s="84" t="n"/>
    </row>
    <row r="49" ht="15" customHeight="1" s="83">
      <c r="A49" s="84" t="n"/>
      <c r="B49" s="114" t="n"/>
      <c r="C49" s="167" t="inlineStr">
        <is>
          <t>Deepest supply</t>
        </is>
      </c>
      <c r="G49" s="168" t="str">
        <f>'Dashboard Calc'!$B$381</f>
        <v>Chennai</v>
      </c>
      <c r="I49" s="95" t="n"/>
      <c r="J49" s="114" t="n"/>
      <c r="K49" s="167" t="inlineStr">
        <is>
          <t>Average experience</t>
        </is>
      </c>
      <c r="O49" s="169">
        <f>'Dashboard Calc'!$B$368</f>
        <v>5.5324</v>
      </c>
      <c r="Q49" s="95" t="n"/>
      <c r="R49" s="84" t="n"/>
      <c r="S49" s="84" t="n"/>
    </row>
    <row r="50" ht="12" customHeight="1" s="83">
      <c r="A50" s="84" t="n"/>
      <c r="B50" s="114" t="n"/>
      <c r="C50" s="170" t="inlineStr">
        <is>
          <t>Most candidates available</t>
        </is>
      </c>
      <c r="D50" s="171" t="n"/>
      <c r="E50" s="171" t="n"/>
      <c r="F50" s="171" t="n"/>
      <c r="G50" s="171" t="n"/>
      <c r="H50" s="171" t="n"/>
      <c r="I50" s="171" t="n"/>
      <c r="J50" s="114" t="n"/>
      <c r="K50" s="170" t="inlineStr">
        <is>
          <t>Across profiles with detail on file</t>
        </is>
      </c>
      <c r="L50" s="171" t="n"/>
      <c r="M50" s="171" t="n"/>
      <c r="N50" s="171" t="n"/>
      <c r="O50" s="171" t="n"/>
      <c r="P50" s="171" t="n"/>
      <c r="Q50" s="171" t="n"/>
      <c r="R50" s="84" t="n"/>
      <c r="S50" s="84" t="n"/>
    </row>
    <row r="51" ht="15" customHeight="1" s="83">
      <c r="A51" s="84" t="n"/>
      <c r="B51" s="114" t="n"/>
      <c r="C51" s="167" t="inlineStr">
        <is>
          <t>Requisitions in play</t>
        </is>
      </c>
      <c r="G51" s="172">
        <f>'Dashboard Calc'!$B$377</f>
        <v>3</v>
      </c>
      <c r="I51" s="95" t="n"/>
      <c r="J51" s="114" t="n"/>
      <c r="K51" s="167" t="inlineStr">
        <is>
          <t>Most experienced</t>
        </is>
      </c>
      <c r="O51" s="169">
        <f>'Dashboard Calc'!$B$369</f>
        <v>9.6</v>
      </c>
      <c r="Q51" s="95" t="n"/>
      <c r="R51" s="84" t="n"/>
      <c r="S51" s="84" t="n"/>
    </row>
    <row r="52" ht="12" customHeight="1" s="83">
      <c r="A52" s="84" t="n"/>
      <c r="B52" s="114" t="n"/>
      <c r="C52" s="170" t="inlineStr">
        <is>
          <t>Distinct roles being worked</t>
        </is>
      </c>
      <c r="D52" s="171" t="n"/>
      <c r="E52" s="171" t="n"/>
      <c r="F52" s="171" t="n"/>
      <c r="G52" s="171" t="n"/>
      <c r="H52" s="171" t="n"/>
      <c r="I52" s="171" t="n"/>
      <c r="J52" s="114" t="n"/>
      <c r="K52" s="170" t="inlineStr">
        <is>
          <t>Deepest profile reviewed</t>
        </is>
      </c>
      <c r="L52" s="171" t="n"/>
      <c r="M52" s="171" t="n"/>
      <c r="N52" s="171" t="n"/>
      <c r="O52" s="171" t="n"/>
      <c r="P52" s="171" t="n"/>
      <c r="Q52" s="171" t="n"/>
      <c r="R52" s="84" t="n"/>
      <c r="S52" s="84" t="n"/>
    </row>
    <row r="53" ht="15" customHeight="1" s="83">
      <c r="A53" s="84" t="n"/>
      <c r="B53" s="114" t="n"/>
      <c r="C53" s="167" t="inlineStr">
        <is>
          <t>Recruiters engaged</t>
        </is>
      </c>
      <c r="G53" s="172">
        <f>'Dashboard Calc'!$B$378</f>
        <v>5</v>
      </c>
      <c r="I53" s="95" t="n"/>
      <c r="J53" s="114" t="n"/>
      <c r="K53" s="167" t="inlineStr">
        <is>
          <t>Senior / lead calibre</t>
        </is>
      </c>
      <c r="O53" s="172">
        <f>'Dashboard Calc'!$B$371</f>
        <v>8</v>
      </c>
      <c r="Q53" s="95" t="n"/>
      <c r="R53" s="84" t="n"/>
      <c r="S53" s="84" t="n"/>
    </row>
    <row r="54" ht="12" customHeight="1" s="83">
      <c r="A54" s="84" t="n"/>
      <c r="B54" s="114" t="n"/>
      <c r="C54" s="170" t="inlineStr">
        <is>
          <t>Working this pipeline</t>
        </is>
      </c>
      <c r="D54" s="171" t="n"/>
      <c r="E54" s="171" t="n"/>
      <c r="F54" s="171" t="n"/>
      <c r="G54" s="171" t="n"/>
      <c r="H54" s="171" t="n"/>
      <c r="I54" s="171" t="n"/>
      <c r="J54" s="114" t="n"/>
      <c r="K54" s="170" t="inlineStr">
        <is>
          <t>At or above the senior bar</t>
        </is>
      </c>
      <c r="L54" s="171" t="n"/>
      <c r="M54" s="171" t="n"/>
      <c r="N54" s="171" t="n"/>
      <c r="O54" s="171" t="n"/>
      <c r="P54" s="171" t="n"/>
      <c r="Q54" s="171" t="n"/>
      <c r="R54" s="84" t="n"/>
      <c r="S54" s="84" t="n"/>
    </row>
    <row r="55" ht="15" customHeight="1" s="83">
      <c r="A55" s="84" t="n"/>
      <c r="B55" s="114" t="n"/>
      <c r="C55" s="167" t="inlineStr">
        <is>
          <t>Target-location match</t>
        </is>
      </c>
      <c r="G55" s="173">
        <f>'Dashboard Calc'!$B$375</f>
        <v>0.75</v>
      </c>
      <c r="I55" s="95" t="n"/>
      <c r="J55" s="114" t="n"/>
      <c r="K55" s="167" t="inlineStr">
        <is>
          <t>Average current CTC</t>
        </is>
      </c>
      <c r="O55" s="174">
        <f>'Dashboard Calc'!$B$364</f>
        <v>14.024666666666667</v>
      </c>
      <c r="Q55" s="95" t="n"/>
      <c r="R55" s="84" t="n"/>
      <c r="S55" s="84" t="n"/>
    </row>
    <row r="56" ht="12" customHeight="1" s="83">
      <c r="A56" s="84" t="n"/>
      <c r="B56" s="114" t="n"/>
      <c r="C56" s="170" t="inlineStr">
        <is>
          <t>Based in or moving to target</t>
        </is>
      </c>
      <c r="D56" s="171" t="n"/>
      <c r="E56" s="171" t="n"/>
      <c r="F56" s="171" t="n"/>
      <c r="G56" s="171" t="n"/>
      <c r="H56" s="171" t="n"/>
      <c r="I56" s="171" t="n"/>
      <c r="J56" s="114" t="n"/>
      <c r="K56" s="170" t="inlineStr">
        <is>
          <t>What the pool earns today</t>
        </is>
      </c>
      <c r="L56" s="171" t="n"/>
      <c r="M56" s="171" t="n"/>
      <c r="N56" s="171" t="n"/>
      <c r="O56" s="171" t="n"/>
      <c r="P56" s="171" t="n"/>
      <c r="Q56" s="171" t="n"/>
      <c r="R56" s="84" t="n"/>
      <c r="S56" s="84" t="n"/>
    </row>
    <row r="57" ht="15" customHeight="1" s="83">
      <c r="A57" s="84" t="n"/>
      <c r="B57" s="114" t="n"/>
      <c r="C57" s="167" t="inlineStr">
        <is>
          <t>Immediately available</t>
        </is>
      </c>
      <c r="G57" s="172">
        <f>'Dashboard Calc'!$B$373</f>
        <v>3</v>
      </c>
      <c r="I57" s="95" t="n"/>
      <c r="J57" s="114" t="n"/>
      <c r="K57" s="167" t="inlineStr">
        <is>
          <t>Average expected CTC</t>
        </is>
      </c>
      <c r="O57" s="174">
        <f>'Dashboard Calc'!$B$365</f>
        <v>19.896551724137932</v>
      </c>
      <c r="Q57" s="95" t="n"/>
      <c r="R57" s="84" t="n"/>
      <c r="S57" s="84" t="n"/>
    </row>
    <row r="58" ht="12" customHeight="1" s="83">
      <c r="A58" s="84" t="n"/>
      <c r="B58" s="114" t="n"/>
      <c r="C58" s="170" t="inlineStr">
        <is>
          <t>Can start now</t>
        </is>
      </c>
      <c r="D58" s="171" t="n"/>
      <c r="E58" s="171" t="n"/>
      <c r="F58" s="171" t="n"/>
      <c r="G58" s="171" t="n"/>
      <c r="H58" s="171" t="n"/>
      <c r="I58" s="171" t="n"/>
      <c r="J58" s="114" t="n"/>
      <c r="K58" s="170" t="inlineStr">
        <is>
          <t>What the pool is asking</t>
        </is>
      </c>
      <c r="L58" s="171" t="n"/>
      <c r="M58" s="171" t="n"/>
      <c r="N58" s="171" t="n"/>
      <c r="O58" s="171" t="n"/>
      <c r="P58" s="171" t="n"/>
      <c r="Q58" s="171" t="n"/>
      <c r="R58" s="84" t="n"/>
      <c r="S58" s="84" t="n"/>
    </row>
    <row r="59" ht="15" customHeight="1" s="83">
      <c r="A59" s="84" t="n"/>
      <c r="B59" s="114" t="n"/>
      <c r="C59" s="167" t="inlineStr">
        <is>
          <t>Joiner-ready</t>
        </is>
      </c>
      <c r="G59" s="172">
        <f>'Dashboard Calc'!$B$372</f>
        <v>11</v>
      </c>
      <c r="I59" s="95" t="n"/>
      <c r="J59" s="114" t="n"/>
      <c r="K59" s="167" t="inlineStr">
        <is>
          <t>Average uplift sought</t>
        </is>
      </c>
      <c r="O59" s="173">
        <f>'Dashboard Calc'!$B$366</f>
        <v>0.4881948670129424</v>
      </c>
      <c r="Q59" s="95" t="n"/>
      <c r="R59" s="84" t="n"/>
      <c r="S59" s="84" t="n"/>
    </row>
    <row r="60" ht="12" customHeight="1" s="83">
      <c r="A60" s="84" t="n"/>
      <c r="B60" s="99" t="n"/>
      <c r="C60" s="170" t="inlineStr">
        <is>
          <t>Within the acceptable notice window</t>
        </is>
      </c>
      <c r="D60" s="171" t="n"/>
      <c r="E60" s="171" t="n"/>
      <c r="F60" s="171" t="n"/>
      <c r="G60" s="171" t="n"/>
      <c r="H60" s="171" t="n"/>
      <c r="I60" s="171" t="n"/>
      <c r="J60" s="99" t="n"/>
      <c r="K60" s="170" t="inlineStr">
        <is>
          <t>Premium over current package</t>
        </is>
      </c>
      <c r="L60" s="171" t="n"/>
      <c r="M60" s="171" t="n"/>
      <c r="N60" s="171" t="n"/>
      <c r="O60" s="171" t="n"/>
      <c r="P60" s="171" t="n"/>
      <c r="Q60" s="171" t="n"/>
      <c r="R60" s="84" t="n"/>
      <c r="S60" s="84" t="n"/>
    </row>
    <row r="61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4" t="n"/>
      <c r="J61" s="84" t="n"/>
      <c r="K61" s="84" t="n"/>
      <c r="L61" s="84" t="n"/>
      <c r="M61" s="84" t="n"/>
      <c r="N61" s="84" t="n"/>
      <c r="O61" s="84" t="n"/>
      <c r="P61" s="84" t="n"/>
      <c r="Q61" s="84" t="n"/>
      <c r="R61" s="84" t="n"/>
      <c r="S61" s="84" t="n"/>
    </row>
    <row r="62" ht="12" customHeight="1" s="83">
      <c r="A62" s="84" t="n"/>
      <c r="B62" s="84" t="n"/>
      <c r="C62" s="84" t="n"/>
      <c r="D62" s="84" t="n"/>
      <c r="E62" s="84" t="n"/>
      <c r="F62" s="84" t="n"/>
      <c r="G62" s="84" t="n"/>
      <c r="H62" s="84" t="n"/>
      <c r="I62" s="84" t="n"/>
      <c r="J62" s="84" t="n"/>
      <c r="K62" s="84" t="n"/>
      <c r="L62" s="84" t="n"/>
      <c r="M62" s="84" t="n"/>
      <c r="N62" s="84" t="n"/>
      <c r="O62" s="84" t="n"/>
      <c r="P62" s="84" t="n"/>
      <c r="Q62" s="84" t="n"/>
      <c r="R62" s="84" t="n"/>
      <c r="S62" s="84" t="n"/>
    </row>
    <row r="63" ht="16" customHeight="1" s="83">
      <c r="A63" s="84" t="n"/>
      <c r="B63" s="112" t="inlineStr">
        <is>
          <t>Pipeline and geography at a glance</t>
        </is>
      </c>
      <c r="R63" s="84" t="n"/>
      <c r="S63" s="84" t="n"/>
    </row>
    <row r="64" ht="13" customHeight="1" s="83">
      <c r="A64" s="84" t="n"/>
      <c r="B64" s="113" t="inlineStr">
        <is>
          <t>The same two views the recruiting team works from.</t>
        </is>
      </c>
      <c r="R64" s="84" t="n"/>
      <c r="S64" s="84" t="n"/>
    </row>
    <row r="65" ht="6" customHeight="1" s="83">
      <c r="A65" s="84" t="n"/>
      <c r="B65" s="84" t="n"/>
      <c r="C65" s="84" t="n"/>
      <c r="D65" s="84" t="n"/>
      <c r="E65" s="84" t="n"/>
      <c r="F65" s="84" t="n"/>
      <c r="G65" s="84" t="n"/>
      <c r="H65" s="84" t="n"/>
      <c r="I65" s="84" t="n"/>
      <c r="J65" s="84" t="n"/>
      <c r="K65" s="84" t="n"/>
      <c r="L65" s="84" t="n"/>
      <c r="M65" s="84" t="n"/>
      <c r="N65" s="84" t="n"/>
      <c r="O65" s="84" t="n"/>
      <c r="P65" s="84" t="n"/>
      <c r="Q65" s="84" t="n"/>
      <c r="R65" s="84" t="n"/>
      <c r="S65" s="84" t="n"/>
    </row>
    <row r="66" ht="14" customHeight="1" s="83">
      <c r="A66" s="84" t="n"/>
      <c r="B66" s="89" t="n"/>
      <c r="C66" s="90" t="n"/>
      <c r="D66" s="90" t="n"/>
      <c r="E66" s="90" t="n"/>
      <c r="F66" s="90" t="n"/>
      <c r="G66" s="90" t="n"/>
      <c r="H66" s="90" t="n"/>
      <c r="I66" s="91" t="n"/>
      <c r="J66" s="89" t="n"/>
      <c r="K66" s="90" t="n"/>
      <c r="L66" s="90" t="n"/>
      <c r="M66" s="90" t="n"/>
      <c r="N66" s="90" t="n"/>
      <c r="O66" s="90" t="n"/>
      <c r="P66" s="90" t="n"/>
      <c r="Q66" s="91" t="n"/>
      <c r="R66" s="84" t="n"/>
      <c r="S66" s="84" t="n"/>
    </row>
    <row r="67" ht="14" customHeight="1" s="83">
      <c r="A67" s="84" t="n"/>
      <c r="B67" s="114" t="n"/>
      <c r="C67" s="115" t="n"/>
      <c r="D67" s="115" t="n"/>
      <c r="E67" s="115" t="n"/>
      <c r="F67" s="115" t="n"/>
      <c r="G67" s="115" t="n"/>
      <c r="H67" s="115" t="n"/>
      <c r="I67" s="116" t="n"/>
      <c r="J67" s="114" t="n"/>
      <c r="K67" s="115" t="n"/>
      <c r="L67" s="115" t="n"/>
      <c r="M67" s="115" t="n"/>
      <c r="N67" s="115" t="n"/>
      <c r="O67" s="115" t="n"/>
      <c r="P67" s="115" t="n"/>
      <c r="Q67" s="116" t="n"/>
      <c r="R67" s="84" t="n"/>
      <c r="S67" s="84" t="n"/>
    </row>
    <row r="68" ht="14" customHeight="1" s="83">
      <c r="A68" s="84" t="n"/>
      <c r="B68" s="114" t="n"/>
      <c r="C68" s="115" t="n"/>
      <c r="D68" s="115" t="n"/>
      <c r="E68" s="115" t="n"/>
      <c r="F68" s="115" t="n"/>
      <c r="G68" s="115" t="n"/>
      <c r="H68" s="115" t="n"/>
      <c r="I68" s="116" t="n"/>
      <c r="J68" s="114" t="n"/>
      <c r="K68" s="115" t="n"/>
      <c r="L68" s="115" t="n"/>
      <c r="M68" s="115" t="n"/>
      <c r="N68" s="115" t="n"/>
      <c r="O68" s="115" t="n"/>
      <c r="P68" s="115" t="n"/>
      <c r="Q68" s="116" t="n"/>
      <c r="R68" s="84" t="n"/>
      <c r="S68" s="84" t="n"/>
    </row>
    <row r="69" ht="14" customHeight="1" s="83">
      <c r="A69" s="84" t="n"/>
      <c r="B69" s="114" t="n"/>
      <c r="C69" s="115" t="n"/>
      <c r="D69" s="115" t="n"/>
      <c r="E69" s="115" t="n"/>
      <c r="F69" s="115" t="n"/>
      <c r="G69" s="115" t="n"/>
      <c r="H69" s="115" t="n"/>
      <c r="I69" s="116" t="n"/>
      <c r="J69" s="114" t="n"/>
      <c r="K69" s="115" t="n"/>
      <c r="L69" s="115" t="n"/>
      <c r="M69" s="115" t="n"/>
      <c r="N69" s="115" t="n"/>
      <c r="O69" s="115" t="n"/>
      <c r="P69" s="115" t="n"/>
      <c r="Q69" s="116" t="n"/>
      <c r="R69" s="84" t="n"/>
      <c r="S69" s="84" t="n"/>
    </row>
    <row r="70" ht="14" customHeight="1" s="83">
      <c r="A70" s="84" t="n"/>
      <c r="B70" s="114" t="n"/>
      <c r="C70" s="115" t="n"/>
      <c r="D70" s="115" t="n"/>
      <c r="E70" s="115" t="n"/>
      <c r="F70" s="115" t="n"/>
      <c r="G70" s="115" t="n"/>
      <c r="H70" s="115" t="n"/>
      <c r="I70" s="116" t="n"/>
      <c r="J70" s="114" t="n"/>
      <c r="K70" s="115" t="n"/>
      <c r="L70" s="115" t="n"/>
      <c r="M70" s="115" t="n"/>
      <c r="N70" s="115" t="n"/>
      <c r="O70" s="115" t="n"/>
      <c r="P70" s="115" t="n"/>
      <c r="Q70" s="116" t="n"/>
      <c r="R70" s="84" t="n"/>
      <c r="S70" s="84" t="n"/>
    </row>
    <row r="71" ht="14" customHeight="1" s="83">
      <c r="A71" s="84" t="n"/>
      <c r="B71" s="114" t="n"/>
      <c r="C71" s="115" t="n"/>
      <c r="D71" s="115" t="n"/>
      <c r="E71" s="115" t="n"/>
      <c r="F71" s="115" t="n"/>
      <c r="G71" s="115" t="n"/>
      <c r="H71" s="115" t="n"/>
      <c r="I71" s="116" t="n"/>
      <c r="J71" s="114" t="n"/>
      <c r="K71" s="115" t="n"/>
      <c r="L71" s="115" t="n"/>
      <c r="M71" s="115" t="n"/>
      <c r="N71" s="115" t="n"/>
      <c r="O71" s="115" t="n"/>
      <c r="P71" s="115" t="n"/>
      <c r="Q71" s="116" t="n"/>
      <c r="R71" s="84" t="n"/>
      <c r="S71" s="84" t="n"/>
    </row>
    <row r="72" ht="14" customHeight="1" s="83">
      <c r="A72" s="84" t="n"/>
      <c r="B72" s="114" t="n"/>
      <c r="C72" s="115" t="n"/>
      <c r="D72" s="115" t="n"/>
      <c r="E72" s="115" t="n"/>
      <c r="F72" s="115" t="n"/>
      <c r="G72" s="115" t="n"/>
      <c r="H72" s="115" t="n"/>
      <c r="I72" s="116" t="n"/>
      <c r="J72" s="114" t="n"/>
      <c r="K72" s="115" t="n"/>
      <c r="L72" s="115" t="n"/>
      <c r="M72" s="115" t="n"/>
      <c r="N72" s="115" t="n"/>
      <c r="O72" s="115" t="n"/>
      <c r="P72" s="115" t="n"/>
      <c r="Q72" s="116" t="n"/>
      <c r="R72" s="84" t="n"/>
      <c r="S72" s="84" t="n"/>
    </row>
    <row r="73" ht="14" customHeight="1" s="83">
      <c r="A73" s="84" t="n"/>
      <c r="B73" s="114" t="n"/>
      <c r="C73" s="115" t="n"/>
      <c r="D73" s="115" t="n"/>
      <c r="E73" s="115" t="n"/>
      <c r="F73" s="115" t="n"/>
      <c r="G73" s="115" t="n"/>
      <c r="H73" s="115" t="n"/>
      <c r="I73" s="116" t="n"/>
      <c r="J73" s="114" t="n"/>
      <c r="K73" s="115" t="n"/>
      <c r="L73" s="115" t="n"/>
      <c r="M73" s="115" t="n"/>
      <c r="N73" s="115" t="n"/>
      <c r="O73" s="115" t="n"/>
      <c r="P73" s="115" t="n"/>
      <c r="Q73" s="116" t="n"/>
      <c r="R73" s="84" t="n"/>
      <c r="S73" s="84" t="n"/>
    </row>
    <row r="74" ht="14" customHeight="1" s="83">
      <c r="A74" s="84" t="n"/>
      <c r="B74" s="114" t="n"/>
      <c r="C74" s="115" t="n"/>
      <c r="D74" s="115" t="n"/>
      <c r="E74" s="115" t="n"/>
      <c r="F74" s="115" t="n"/>
      <c r="G74" s="115" t="n"/>
      <c r="H74" s="115" t="n"/>
      <c r="I74" s="116" t="n"/>
      <c r="J74" s="114" t="n"/>
      <c r="K74" s="115" t="n"/>
      <c r="L74" s="115" t="n"/>
      <c r="M74" s="115" t="n"/>
      <c r="N74" s="115" t="n"/>
      <c r="O74" s="115" t="n"/>
      <c r="P74" s="115" t="n"/>
      <c r="Q74" s="116" t="n"/>
      <c r="R74" s="84" t="n"/>
      <c r="S74" s="84" t="n"/>
    </row>
    <row r="75" ht="14" customHeight="1" s="83">
      <c r="A75" s="84" t="n"/>
      <c r="B75" s="114" t="n"/>
      <c r="C75" s="115" t="n"/>
      <c r="D75" s="115" t="n"/>
      <c r="E75" s="115" t="n"/>
      <c r="F75" s="115" t="n"/>
      <c r="G75" s="115" t="n"/>
      <c r="H75" s="115" t="n"/>
      <c r="I75" s="116" t="n"/>
      <c r="J75" s="114" t="n"/>
      <c r="K75" s="115" t="n"/>
      <c r="L75" s="115" t="n"/>
      <c r="M75" s="115" t="n"/>
      <c r="N75" s="115" t="n"/>
      <c r="O75" s="115" t="n"/>
      <c r="P75" s="115" t="n"/>
      <c r="Q75" s="116" t="n"/>
      <c r="R75" s="84" t="n"/>
      <c r="S75" s="84" t="n"/>
    </row>
    <row r="76" ht="14" customHeight="1" s="83">
      <c r="A76" s="84" t="n"/>
      <c r="B76" s="114" t="n"/>
      <c r="C76" s="115" t="n"/>
      <c r="D76" s="115" t="n"/>
      <c r="E76" s="115" t="n"/>
      <c r="F76" s="115" t="n"/>
      <c r="G76" s="115" t="n"/>
      <c r="H76" s="115" t="n"/>
      <c r="I76" s="116" t="n"/>
      <c r="J76" s="114" t="n"/>
      <c r="K76" s="115" t="n"/>
      <c r="L76" s="115" t="n"/>
      <c r="M76" s="115" t="n"/>
      <c r="N76" s="115" t="n"/>
      <c r="O76" s="115" t="n"/>
      <c r="P76" s="115" t="n"/>
      <c r="Q76" s="116" t="n"/>
      <c r="R76" s="84" t="n"/>
      <c r="S76" s="84" t="n"/>
    </row>
    <row r="77" ht="14" customHeight="1" s="83">
      <c r="A77" s="84" t="n"/>
      <c r="B77" s="114" t="n"/>
      <c r="C77" s="115" t="n"/>
      <c r="D77" s="115" t="n"/>
      <c r="E77" s="115" t="n"/>
      <c r="F77" s="115" t="n"/>
      <c r="G77" s="115" t="n"/>
      <c r="H77" s="115" t="n"/>
      <c r="I77" s="116" t="n"/>
      <c r="J77" s="114" t="n"/>
      <c r="K77" s="115" t="n"/>
      <c r="L77" s="115" t="n"/>
      <c r="M77" s="115" t="n"/>
      <c r="N77" s="115" t="n"/>
      <c r="O77" s="115" t="n"/>
      <c r="P77" s="115" t="n"/>
      <c r="Q77" s="116" t="n"/>
      <c r="R77" s="84" t="n"/>
      <c r="S77" s="84" t="n"/>
    </row>
    <row r="78" ht="14" customHeight="1" s="83">
      <c r="A78" s="84" t="n"/>
      <c r="B78" s="114" t="n"/>
      <c r="C78" s="115" t="n"/>
      <c r="D78" s="115" t="n"/>
      <c r="E78" s="115" t="n"/>
      <c r="F78" s="115" t="n"/>
      <c r="G78" s="115" t="n"/>
      <c r="H78" s="115" t="n"/>
      <c r="I78" s="116" t="n"/>
      <c r="J78" s="114" t="n"/>
      <c r="K78" s="115" t="n"/>
      <c r="L78" s="115" t="n"/>
      <c r="M78" s="115" t="n"/>
      <c r="N78" s="115" t="n"/>
      <c r="O78" s="115" t="n"/>
      <c r="P78" s="115" t="n"/>
      <c r="Q78" s="116" t="n"/>
      <c r="R78" s="84" t="n"/>
      <c r="S78" s="84" t="n"/>
    </row>
    <row r="79" ht="14" customHeight="1" s="83">
      <c r="A79" s="84" t="n"/>
      <c r="B79" s="114" t="n"/>
      <c r="C79" s="115" t="n"/>
      <c r="D79" s="115" t="n"/>
      <c r="E79" s="115" t="n"/>
      <c r="F79" s="115" t="n"/>
      <c r="G79" s="115" t="n"/>
      <c r="H79" s="115" t="n"/>
      <c r="I79" s="116" t="n"/>
      <c r="J79" s="114" t="n"/>
      <c r="K79" s="115" t="n"/>
      <c r="L79" s="115" t="n"/>
      <c r="M79" s="115" t="n"/>
      <c r="N79" s="115" t="n"/>
      <c r="O79" s="115" t="n"/>
      <c r="P79" s="115" t="n"/>
      <c r="Q79" s="116" t="n"/>
      <c r="R79" s="84" t="n"/>
      <c r="S79" s="84" t="n"/>
    </row>
    <row r="80" ht="14" customHeight="1" s="83">
      <c r="A80" s="84" t="n"/>
      <c r="B80" s="114" t="n"/>
      <c r="C80" s="115" t="n"/>
      <c r="D80" s="115" t="n"/>
      <c r="E80" s="115" t="n"/>
      <c r="F80" s="115" t="n"/>
      <c r="G80" s="115" t="n"/>
      <c r="H80" s="115" t="n"/>
      <c r="I80" s="116" t="n"/>
      <c r="J80" s="114" t="n"/>
      <c r="K80" s="115" t="n"/>
      <c r="L80" s="115" t="n"/>
      <c r="M80" s="115" t="n"/>
      <c r="N80" s="115" t="n"/>
      <c r="O80" s="115" t="n"/>
      <c r="P80" s="115" t="n"/>
      <c r="Q80" s="116" t="n"/>
      <c r="R80" s="84" t="n"/>
      <c r="S80" s="84" t="n"/>
    </row>
    <row r="81" ht="14" customHeight="1" s="83">
      <c r="A81" s="84" t="n"/>
      <c r="B81" s="114" t="n"/>
      <c r="C81" s="115" t="n"/>
      <c r="D81" s="115" t="n"/>
      <c r="E81" s="115" t="n"/>
      <c r="F81" s="115" t="n"/>
      <c r="G81" s="115" t="n"/>
      <c r="H81" s="115" t="n"/>
      <c r="I81" s="116" t="n"/>
      <c r="J81" s="114" t="n"/>
      <c r="K81" s="115" t="n"/>
      <c r="L81" s="115" t="n"/>
      <c r="M81" s="115" t="n"/>
      <c r="N81" s="115" t="n"/>
      <c r="O81" s="115" t="n"/>
      <c r="P81" s="115" t="n"/>
      <c r="Q81" s="116" t="n"/>
      <c r="R81" s="84" t="n"/>
      <c r="S81" s="84" t="n"/>
    </row>
    <row r="82" ht="14" customHeight="1" s="83">
      <c r="A82" s="84" t="n"/>
      <c r="B82" s="99" t="n"/>
      <c r="C82" s="100" t="n"/>
      <c r="D82" s="100" t="n"/>
      <c r="E82" s="100" t="n"/>
      <c r="F82" s="100" t="n"/>
      <c r="G82" s="100" t="n"/>
      <c r="H82" s="100" t="n"/>
      <c r="I82" s="101" t="n"/>
      <c r="J82" s="99" t="n"/>
      <c r="K82" s="100" t="n"/>
      <c r="L82" s="100" t="n"/>
      <c r="M82" s="100" t="n"/>
      <c r="N82" s="100" t="n"/>
      <c r="O82" s="100" t="n"/>
      <c r="P82" s="100" t="n"/>
      <c r="Q82" s="101" t="n"/>
      <c r="R82" s="84" t="n"/>
      <c r="S82" s="84" t="n"/>
    </row>
    <row r="83">
      <c r="A83" s="84" t="n"/>
      <c r="B83" s="84" t="n"/>
      <c r="C83" s="84" t="n"/>
      <c r="D83" s="84" t="n"/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n"/>
      <c r="N83" s="84" t="n"/>
      <c r="O83" s="84" t="n"/>
      <c r="P83" s="84" t="n"/>
      <c r="Q83" s="84" t="n"/>
      <c r="R83" s="84" t="n"/>
      <c r="S83" s="84" t="n"/>
    </row>
    <row r="84">
      <c r="A84" s="84" t="n"/>
      <c r="B84" s="84" t="n"/>
      <c r="C84" s="84" t="n"/>
      <c r="D84" s="84" t="n"/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n"/>
      <c r="N84" s="84" t="n"/>
      <c r="O84" s="84" t="n"/>
      <c r="P84" s="84" t="n"/>
      <c r="Q84" s="84" t="n"/>
      <c r="R84" s="84" t="n"/>
      <c r="S84" s="84" t="n"/>
    </row>
    <row r="85">
      <c r="A85" s="84" t="n"/>
      <c r="B85" s="149" t="inlineStr">
        <is>
          <t>Figures cover candidates recorded in Master Data-2026. Experience, company and designation are drawn from the Submission template detail block, so they are available for submitted candidates.</t>
        </is>
      </c>
      <c r="R85" s="84" t="n"/>
      <c r="S85" s="84" t="n"/>
    </row>
    <row r="86">
      <c r="A86" s="84" t="n"/>
      <c r="B86" s="84" t="n"/>
      <c r="C86" s="84" t="n"/>
      <c r="D86" s="84" t="n"/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n"/>
      <c r="N86" s="84" t="n"/>
      <c r="O86" s="84" t="n"/>
      <c r="P86" s="84" t="n"/>
      <c r="Q86" s="84" t="n"/>
      <c r="R86" s="84" t="n"/>
      <c r="S86" s="84" t="n"/>
    </row>
    <row r="87">
      <c r="A87" s="84" t="n"/>
      <c r="B87" s="84" t="n"/>
      <c r="C87" s="84" t="n"/>
      <c r="D87" s="84" t="n"/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n"/>
      <c r="N87" s="84" t="n"/>
      <c r="O87" s="84" t="n"/>
      <c r="P87" s="84" t="n"/>
      <c r="Q87" s="84" t="n"/>
      <c r="R87" s="84" t="n"/>
      <c r="S87" s="84" t="n"/>
    </row>
    <row r="88">
      <c r="A88" s="84" t="n"/>
      <c r="B88" s="84" t="n"/>
      <c r="C88" s="84" t="n"/>
      <c r="D88" s="84" t="n"/>
      <c r="E88" s="84" t="n"/>
      <c r="F88" s="84" t="n"/>
      <c r="G88" s="84" t="n"/>
      <c r="H88" s="84" t="n"/>
      <c r="I88" s="84" t="n"/>
      <c r="J88" s="84" t="n"/>
      <c r="K88" s="84" t="n"/>
      <c r="L88" s="84" t="n"/>
      <c r="M88" s="84" t="n"/>
      <c r="N88" s="84" t="n"/>
      <c r="O88" s="84" t="n"/>
      <c r="P88" s="84" t="n"/>
      <c r="Q88" s="84" t="n"/>
      <c r="R88" s="84" t="n"/>
      <c r="S88" s="84" t="n"/>
    </row>
    <row r="89">
      <c r="A89" s="84" t="n"/>
      <c r="B89" s="84" t="n"/>
      <c r="C89" s="84" t="n"/>
      <c r="D89" s="84" t="n"/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n"/>
      <c r="N89" s="84" t="n"/>
      <c r="O89" s="84" t="n"/>
      <c r="P89" s="84" t="n"/>
      <c r="Q89" s="84" t="n"/>
      <c r="R89" s="84" t="n"/>
      <c r="S89" s="84" t="n"/>
    </row>
    <row r="90">
      <c r="A90" s="84" t="n"/>
      <c r="B90" s="84" t="n"/>
      <c r="C90" s="84" t="n"/>
      <c r="D90" s="84" t="n"/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n"/>
      <c r="N90" s="84" t="n"/>
      <c r="O90" s="84" t="n"/>
      <c r="P90" s="84" t="n"/>
      <c r="Q90" s="84" t="n"/>
      <c r="R90" s="84" t="n"/>
      <c r="S90" s="84" t="n"/>
    </row>
    <row r="91">
      <c r="A91" s="84" t="n"/>
      <c r="B91" s="84" t="n"/>
      <c r="C91" s="84" t="n"/>
      <c r="D91" s="84" t="n"/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n"/>
      <c r="N91" s="84" t="n"/>
      <c r="O91" s="84" t="n"/>
      <c r="P91" s="84" t="n"/>
      <c r="Q91" s="84" t="n"/>
      <c r="R91" s="84" t="n"/>
      <c r="S91" s="84" t="n"/>
    </row>
    <row r="92">
      <c r="A92" s="84" t="n"/>
      <c r="B92" s="84" t="n"/>
      <c r="C92" s="84" t="n"/>
      <c r="D92" s="84" t="n"/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n"/>
      <c r="N92" s="84" t="n"/>
      <c r="O92" s="84" t="n"/>
      <c r="P92" s="84" t="n"/>
      <c r="Q92" s="84" t="n"/>
      <c r="R92" s="84" t="n"/>
      <c r="S92" s="84" t="n"/>
    </row>
    <row r="93">
      <c r="A93" s="84" t="n"/>
      <c r="B93" s="84" t="n"/>
      <c r="C93" s="84" t="n"/>
      <c r="D93" s="84" t="n"/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n"/>
      <c r="N93" s="84" t="n"/>
      <c r="O93" s="84" t="n"/>
      <c r="P93" s="84" t="n"/>
      <c r="Q93" s="84" t="n"/>
      <c r="R93" s="84" t="n"/>
      <c r="S93" s="84" t="n"/>
    </row>
    <row r="94">
      <c r="A94" s="84" t="n"/>
      <c r="B94" s="84" t="n"/>
      <c r="C94" s="84" t="n"/>
      <c r="D94" s="84" t="n"/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n"/>
      <c r="N94" s="84" t="n"/>
      <c r="O94" s="84" t="n"/>
      <c r="P94" s="84" t="n"/>
      <c r="Q94" s="84" t="n"/>
      <c r="R94" s="84" t="n"/>
      <c r="S94" s="84" t="n"/>
    </row>
    <row r="95">
      <c r="A95" s="84" t="n"/>
      <c r="B95" s="84" t="n"/>
      <c r="C95" s="84" t="n"/>
      <c r="D95" s="84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</row>
    <row r="96">
      <c r="A96" s="84" t="n"/>
      <c r="B96" s="84" t="n"/>
      <c r="C96" s="84" t="n"/>
      <c r="D96" s="84" t="n"/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n"/>
      <c r="N96" s="84" t="n"/>
      <c r="O96" s="84" t="n"/>
      <c r="P96" s="84" t="n"/>
      <c r="Q96" s="84" t="n"/>
      <c r="R96" s="84" t="n"/>
      <c r="S96" s="84" t="n"/>
    </row>
    <row r="97">
      <c r="A97" s="84" t="n"/>
      <c r="B97" s="84" t="n"/>
      <c r="C97" s="84" t="n"/>
      <c r="D97" s="84" t="n"/>
      <c r="E97" s="84" t="n"/>
      <c r="F97" s="84" t="n"/>
      <c r="G97" s="84" t="n"/>
      <c r="H97" s="84" t="n"/>
      <c r="I97" s="84" t="n"/>
      <c r="J97" s="84" t="n"/>
      <c r="K97" s="84" t="n"/>
      <c r="L97" s="84" t="n"/>
      <c r="M97" s="84" t="n"/>
      <c r="N97" s="84" t="n"/>
      <c r="O97" s="84" t="n"/>
      <c r="P97" s="84" t="n"/>
      <c r="Q97" s="84" t="n"/>
      <c r="R97" s="84" t="n"/>
      <c r="S97" s="84" t="n"/>
    </row>
    <row r="98">
      <c r="A98" s="84" t="n"/>
      <c r="B98" s="84" t="n"/>
      <c r="C98" s="84" t="n"/>
      <c r="D98" s="84" t="n"/>
      <c r="E98" s="84" t="n"/>
      <c r="F98" s="84" t="n"/>
      <c r="G98" s="84" t="n"/>
      <c r="H98" s="84" t="n"/>
      <c r="I98" s="84" t="n"/>
      <c r="J98" s="84" t="n"/>
      <c r="K98" s="84" t="n"/>
      <c r="L98" s="84" t="n"/>
      <c r="M98" s="84" t="n"/>
      <c r="N98" s="84" t="n"/>
      <c r="O98" s="84" t="n"/>
      <c r="P98" s="84" t="n"/>
      <c r="Q98" s="84" t="n"/>
      <c r="R98" s="84" t="n"/>
      <c r="S98" s="84" t="n"/>
    </row>
    <row r="99">
      <c r="A99" s="84" t="n"/>
      <c r="B99" s="84" t="n"/>
      <c r="C99" s="84" t="n"/>
      <c r="D99" s="84" t="n"/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n"/>
      <c r="N99" s="84" t="n"/>
      <c r="O99" s="84" t="n"/>
      <c r="P99" s="84" t="n"/>
      <c r="Q99" s="84" t="n"/>
      <c r="R99" s="84" t="n"/>
      <c r="S99" s="84" t="n"/>
    </row>
    <row r="100">
      <c r="A100" s="84" t="n"/>
      <c r="B100" s="84" t="n"/>
      <c r="C100" s="84" t="n"/>
      <c r="D100" s="84" t="n"/>
      <c r="E100" s="84" t="n"/>
      <c r="F100" s="84" t="n"/>
      <c r="G100" s="84" t="n"/>
      <c r="H100" s="84" t="n"/>
      <c r="I100" s="84" t="n"/>
      <c r="J100" s="84" t="n"/>
      <c r="K100" s="84" t="n"/>
      <c r="L100" s="84" t="n"/>
      <c r="M100" s="84" t="n"/>
      <c r="N100" s="84" t="n"/>
      <c r="O100" s="84" t="n"/>
      <c r="P100" s="84" t="n"/>
      <c r="Q100" s="84" t="n"/>
      <c r="R100" s="84" t="n"/>
      <c r="S100" s="84" t="n"/>
    </row>
    <row r="101">
      <c r="A101" s="84" t="n"/>
      <c r="B101" s="84" t="n"/>
      <c r="C101" s="84" t="n"/>
      <c r="D101" s="84" t="n"/>
      <c r="E101" s="84" t="n"/>
      <c r="F101" s="84" t="n"/>
      <c r="G101" s="84" t="n"/>
      <c r="H101" s="84" t="n"/>
      <c r="I101" s="84" t="n"/>
      <c r="J101" s="84" t="n"/>
      <c r="K101" s="84" t="n"/>
      <c r="L101" s="84" t="n"/>
      <c r="M101" s="84" t="n"/>
      <c r="N101" s="84" t="n"/>
      <c r="O101" s="84" t="n"/>
      <c r="P101" s="84" t="n"/>
      <c r="Q101" s="84" t="n"/>
      <c r="R101" s="84" t="n"/>
      <c r="S101" s="84" t="n"/>
    </row>
    <row r="102">
      <c r="A102" s="84" t="n"/>
      <c r="B102" s="84" t="n"/>
      <c r="C102" s="84" t="n"/>
      <c r="D102" s="84" t="n"/>
      <c r="E102" s="84" t="n"/>
      <c r="F102" s="84" t="n"/>
      <c r="G102" s="84" t="n"/>
      <c r="H102" s="84" t="n"/>
      <c r="I102" s="84" t="n"/>
      <c r="J102" s="84" t="n"/>
      <c r="K102" s="84" t="n"/>
      <c r="L102" s="84" t="n"/>
      <c r="M102" s="84" t="n"/>
      <c r="N102" s="84" t="n"/>
      <c r="O102" s="84" t="n"/>
      <c r="P102" s="84" t="n"/>
      <c r="Q102" s="84" t="n"/>
      <c r="R102" s="84" t="n"/>
      <c r="S102" s="84" t="n"/>
    </row>
    <row r="103">
      <c r="A103" s="84" t="n"/>
      <c r="B103" s="84" t="n"/>
      <c r="C103" s="84" t="n"/>
      <c r="D103" s="84" t="n"/>
      <c r="E103" s="84" t="n"/>
      <c r="F103" s="84" t="n"/>
      <c r="G103" s="84" t="n"/>
      <c r="H103" s="84" t="n"/>
      <c r="I103" s="84" t="n"/>
      <c r="J103" s="84" t="n"/>
      <c r="K103" s="84" t="n"/>
      <c r="L103" s="84" t="n"/>
      <c r="M103" s="84" t="n"/>
      <c r="N103" s="84" t="n"/>
      <c r="O103" s="84" t="n"/>
      <c r="P103" s="84" t="n"/>
      <c r="Q103" s="84" t="n"/>
      <c r="R103" s="84" t="n"/>
      <c r="S103" s="84" t="n"/>
    </row>
    <row r="104">
      <c r="A104" s="84" t="n"/>
      <c r="B104" s="84" t="n"/>
      <c r="C104" s="84" t="n"/>
      <c r="D104" s="84" t="n"/>
      <c r="E104" s="84" t="n"/>
      <c r="F104" s="84" t="n"/>
      <c r="G104" s="84" t="n"/>
      <c r="H104" s="84" t="n"/>
      <c r="I104" s="84" t="n"/>
      <c r="J104" s="84" t="n"/>
      <c r="K104" s="84" t="n"/>
      <c r="L104" s="84" t="n"/>
      <c r="M104" s="84" t="n"/>
      <c r="N104" s="84" t="n"/>
      <c r="O104" s="84" t="n"/>
      <c r="P104" s="84" t="n"/>
      <c r="Q104" s="84" t="n"/>
      <c r="R104" s="84" t="n"/>
      <c r="S104" s="84" t="n"/>
    </row>
    <row r="105">
      <c r="A105" s="84" t="n"/>
      <c r="B105" s="84" t="n"/>
      <c r="C105" s="84" t="n"/>
      <c r="D105" s="84" t="n"/>
      <c r="E105" s="84" t="n"/>
      <c r="F105" s="84" t="n"/>
      <c r="G105" s="84" t="n"/>
      <c r="H105" s="84" t="n"/>
      <c r="I105" s="84" t="n"/>
      <c r="J105" s="84" t="n"/>
      <c r="K105" s="84" t="n"/>
      <c r="L105" s="84" t="n"/>
      <c r="M105" s="84" t="n"/>
      <c r="N105" s="84" t="n"/>
      <c r="O105" s="84" t="n"/>
      <c r="P105" s="84" t="n"/>
      <c r="Q105" s="84" t="n"/>
      <c r="R105" s="84" t="n"/>
      <c r="S105" s="84" t="n"/>
    </row>
    <row r="106">
      <c r="A106" s="84" t="n"/>
      <c r="B106" s="84" t="n"/>
      <c r="C106" s="84" t="n"/>
      <c r="D106" s="84" t="n"/>
      <c r="E106" s="84" t="n"/>
      <c r="F106" s="84" t="n"/>
      <c r="G106" s="84" t="n"/>
      <c r="H106" s="84" t="n"/>
      <c r="I106" s="84" t="n"/>
      <c r="J106" s="84" t="n"/>
      <c r="K106" s="84" t="n"/>
      <c r="L106" s="84" t="n"/>
      <c r="M106" s="84" t="n"/>
      <c r="N106" s="84" t="n"/>
      <c r="O106" s="84" t="n"/>
      <c r="P106" s="84" t="n"/>
      <c r="Q106" s="84" t="n"/>
      <c r="R106" s="84" t="n"/>
      <c r="S106" s="84" t="n"/>
    </row>
    <row r="107">
      <c r="A107" s="84" t="n"/>
      <c r="B107" s="84" t="n"/>
      <c r="C107" s="84" t="n"/>
      <c r="D107" s="84" t="n"/>
      <c r="E107" s="84" t="n"/>
      <c r="F107" s="84" t="n"/>
      <c r="G107" s="84" t="n"/>
      <c r="H107" s="84" t="n"/>
      <c r="I107" s="84" t="n"/>
      <c r="J107" s="84" t="n"/>
      <c r="K107" s="84" t="n"/>
      <c r="L107" s="84" t="n"/>
      <c r="M107" s="84" t="n"/>
      <c r="N107" s="84" t="n"/>
      <c r="O107" s="84" t="n"/>
      <c r="P107" s="84" t="n"/>
      <c r="Q107" s="84" t="n"/>
      <c r="R107" s="84" t="n"/>
      <c r="S107" s="84" t="n"/>
    </row>
    <row r="108">
      <c r="A108" s="84" t="n"/>
      <c r="B108" s="84" t="n"/>
      <c r="C108" s="84" t="n"/>
      <c r="D108" s="84" t="n"/>
      <c r="E108" s="84" t="n"/>
      <c r="F108" s="84" t="n"/>
      <c r="G108" s="84" t="n"/>
      <c r="H108" s="84" t="n"/>
      <c r="I108" s="84" t="n"/>
      <c r="J108" s="84" t="n"/>
      <c r="K108" s="84" t="n"/>
      <c r="L108" s="84" t="n"/>
      <c r="M108" s="84" t="n"/>
      <c r="N108" s="84" t="n"/>
      <c r="O108" s="84" t="n"/>
      <c r="P108" s="84" t="n"/>
      <c r="Q108" s="84" t="n"/>
      <c r="R108" s="84" t="n"/>
      <c r="S108" s="84" t="n"/>
    </row>
    <row r="109">
      <c r="A109" s="84" t="n"/>
      <c r="B109" s="84" t="n"/>
      <c r="C109" s="84" t="n"/>
      <c r="D109" s="84" t="n"/>
      <c r="E109" s="84" t="n"/>
      <c r="F109" s="84" t="n"/>
      <c r="G109" s="84" t="n"/>
      <c r="H109" s="84" t="n"/>
      <c r="I109" s="84" t="n"/>
      <c r="J109" s="84" t="n"/>
      <c r="K109" s="84" t="n"/>
      <c r="L109" s="84" t="n"/>
      <c r="M109" s="84" t="n"/>
      <c r="N109" s="84" t="n"/>
      <c r="O109" s="84" t="n"/>
      <c r="P109" s="84" t="n"/>
      <c r="Q109" s="84" t="n"/>
      <c r="R109" s="84" t="n"/>
      <c r="S109" s="84" t="n"/>
    </row>
    <row r="110">
      <c r="A110" s="84" t="n"/>
      <c r="B110" s="84" t="n"/>
      <c r="C110" s="84" t="n"/>
      <c r="D110" s="84" t="n"/>
      <c r="E110" s="84" t="n"/>
      <c r="F110" s="84" t="n"/>
      <c r="G110" s="84" t="n"/>
      <c r="H110" s="84" t="n"/>
      <c r="I110" s="84" t="n"/>
      <c r="J110" s="84" t="n"/>
      <c r="K110" s="84" t="n"/>
      <c r="L110" s="84" t="n"/>
      <c r="M110" s="84" t="n"/>
      <c r="N110" s="84" t="n"/>
      <c r="O110" s="84" t="n"/>
      <c r="P110" s="84" t="n"/>
      <c r="Q110" s="84" t="n"/>
      <c r="R110" s="84" t="n"/>
      <c r="S110" s="84" t="n"/>
    </row>
  </sheetData>
  <mergeCells count="92">
    <mergeCell ref="F36:H36"/>
    <mergeCell ref="C12:P13"/>
    <mergeCell ref="B64:Q64"/>
    <mergeCell ref="M35:N35"/>
    <mergeCell ref="H25:L25"/>
    <mergeCell ref="O51:Q51"/>
    <mergeCell ref="B32:Q32"/>
    <mergeCell ref="B63:Q63"/>
    <mergeCell ref="K49:N49"/>
    <mergeCell ref="F39:H39"/>
    <mergeCell ref="M36:N36"/>
    <mergeCell ref="H19:L19"/>
    <mergeCell ref="C34:E34"/>
    <mergeCell ref="K56:Q56"/>
    <mergeCell ref="C10:P11"/>
    <mergeCell ref="O39:Q39"/>
    <mergeCell ref="C60:I60"/>
    <mergeCell ref="K53:N53"/>
    <mergeCell ref="B3:L3"/>
    <mergeCell ref="F35:H35"/>
    <mergeCell ref="B6:Q6"/>
    <mergeCell ref="O59:Q59"/>
    <mergeCell ref="M20:Q20"/>
    <mergeCell ref="J34:K34"/>
    <mergeCell ref="C39:E39"/>
    <mergeCell ref="G55:I55"/>
    <mergeCell ref="J36:K36"/>
    <mergeCell ref="B7:Q7"/>
    <mergeCell ref="G51:I51"/>
    <mergeCell ref="C58:I58"/>
    <mergeCell ref="C38:E38"/>
    <mergeCell ref="O38:Q38"/>
    <mergeCell ref="K54:Q54"/>
    <mergeCell ref="K51:N51"/>
    <mergeCell ref="K60:Q60"/>
    <mergeCell ref="B43:Q43"/>
    <mergeCell ref="B25:G25"/>
    <mergeCell ref="M26:Q26"/>
    <mergeCell ref="C35:E35"/>
    <mergeCell ref="B44:Q44"/>
    <mergeCell ref="O49:Q49"/>
    <mergeCell ref="M34:N34"/>
    <mergeCell ref="H20:L20"/>
    <mergeCell ref="O35:Q35"/>
    <mergeCell ref="J38:K38"/>
    <mergeCell ref="G53:I53"/>
    <mergeCell ref="M39:N39"/>
    <mergeCell ref="C57:F57"/>
    <mergeCell ref="F38:H38"/>
    <mergeCell ref="C36:E36"/>
    <mergeCell ref="C53:F53"/>
    <mergeCell ref="B85:Q85"/>
    <mergeCell ref="B2:L2"/>
    <mergeCell ref="F37:H37"/>
    <mergeCell ref="J35:K35"/>
    <mergeCell ref="C37:E37"/>
    <mergeCell ref="M37:N37"/>
    <mergeCell ref="K55:N55"/>
    <mergeCell ref="O37:Q37"/>
    <mergeCell ref="B26:G26"/>
    <mergeCell ref="C14:P15"/>
    <mergeCell ref="F34:H34"/>
    <mergeCell ref="O53:Q53"/>
    <mergeCell ref="M38:N38"/>
    <mergeCell ref="C51:F51"/>
    <mergeCell ref="J39:K39"/>
    <mergeCell ref="H26:L26"/>
    <mergeCell ref="C52:I52"/>
    <mergeCell ref="G57:I57"/>
    <mergeCell ref="G49:I49"/>
    <mergeCell ref="J37:K37"/>
    <mergeCell ref="K57:N57"/>
    <mergeCell ref="B19:G19"/>
    <mergeCell ref="O55:Q55"/>
    <mergeCell ref="C49:F49"/>
    <mergeCell ref="B20:G20"/>
    <mergeCell ref="M25:Q25"/>
    <mergeCell ref="O57:Q57"/>
    <mergeCell ref="B31:Q31"/>
    <mergeCell ref="C54:I54"/>
    <mergeCell ref="G59:I59"/>
    <mergeCell ref="C55:F55"/>
    <mergeCell ref="O34:Q34"/>
    <mergeCell ref="K50:Q50"/>
    <mergeCell ref="C50:I50"/>
    <mergeCell ref="C56:I56"/>
    <mergeCell ref="K58:Q58"/>
    <mergeCell ref="K59:N59"/>
    <mergeCell ref="O36:Q36"/>
    <mergeCell ref="C59:F59"/>
    <mergeCell ref="K52:Q52"/>
    <mergeCell ref="M19:Q19"/>
  </mergeCells>
  <pageMargins left="0.75" right="0.75" top="1" bottom="1" header="0.5" footer="0.5"/>
  <pageSetup orientation="portrait" fitToHeight="0" fitToWidth="1"/>
  <drawing ns1:id="rId1"/>
</worksheet>
</file>

<file path=xl/worksheets/sheet3.xml><?xml version="1.0" encoding="utf-8"?>
<worksheet xmlns="http://schemas.openxmlformats.org/spreadsheetml/2006/main">
  <sheetPr>
    <tabColor rgb="001A1D23"/>
    <outlinePr summaryBelow="1" summaryRight="1"/>
    <pageSetUpPr/>
  </sheetPr>
  <dimension ref="A1:V1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style="83" min="1" max="1"/>
    <col width="22" customWidth="1" style="83" min="2" max="2"/>
    <col width="12" customWidth="1" style="83" min="3" max="3"/>
    <col width="11" customWidth="1" style="83" min="4" max="4"/>
    <col width="22" customWidth="1" style="83" min="5" max="5"/>
    <col width="13" customWidth="1" style="83" min="6" max="6"/>
    <col width="19" customWidth="1" style="83" min="7" max="7"/>
    <col width="8" customWidth="1" style="83" min="8" max="8"/>
    <col width="30" customWidth="1" style="83" min="9" max="9"/>
    <col width="9" customWidth="1" style="83" min="10" max="10"/>
    <col width="22" customWidth="1" style="83" min="11" max="11"/>
    <col width="22" customWidth="1" style="83" min="12" max="12"/>
    <col width="10" customWidth="1" style="83" min="13" max="13"/>
    <col width="10" customWidth="1" style="83" min="14" max="14"/>
    <col width="10" customWidth="1" style="83" min="15" max="15"/>
    <col width="24" customWidth="1" style="83" min="16" max="16"/>
    <col width="8" customWidth="1" style="83" min="17" max="17"/>
    <col width="13" customWidth="1" style="83" min="18" max="18"/>
    <col width="13" customWidth="1" style="83" min="19" max="19"/>
    <col width="9" customWidth="1" style="83" min="20" max="20"/>
    <col width="22" customWidth="1" style="83" min="21" max="21"/>
  </cols>
  <sheetData>
    <row r="1" ht="10" customHeight="1" s="83">
      <c r="A1" s="84" t="n"/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84" t="n"/>
      <c r="U1" s="84" t="n"/>
      <c r="V1" s="84" t="n"/>
    </row>
    <row r="2" ht="26" customHeight="1" s="83">
      <c r="A2" s="84" t="n"/>
      <c r="B2" s="175" t="inlineStr">
        <is>
          <t>Recruiter Working View</t>
        </is>
      </c>
      <c r="C2" s="84" t="n"/>
      <c r="D2" s="84" t="n"/>
      <c r="E2" s="84" t="n"/>
      <c r="F2" s="84" t="n"/>
      <c r="G2" s="84" t="n"/>
      <c r="H2" s="84" t="n"/>
      <c r="I2" s="84" t="n"/>
      <c r="J2" s="84" t="n"/>
      <c r="K2" s="84" t="n"/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</row>
    <row r="3" ht="14" customHeight="1" s="83">
      <c r="A3" s="84" t="n"/>
      <c r="B3" s="87" t="inlineStr">
        <is>
          <t>Every candidate in Master Data-2026, enriched and normalised. Use the column filters to work a slice — sorting and filtering here never affects the dashboard.</t>
        </is>
      </c>
      <c r="C3" s="84" t="n"/>
      <c r="D3" s="84" t="n"/>
      <c r="E3" s="84" t="n"/>
      <c r="F3" s="84" t="n"/>
      <c r="G3" s="84" t="n"/>
      <c r="H3" s="84" t="n"/>
      <c r="I3" s="84" t="n"/>
      <c r="J3" s="84" t="n"/>
      <c r="K3" s="84" t="n"/>
      <c r="L3" s="84" t="n"/>
      <c r="M3" s="84" t="n"/>
      <c r="N3" s="84" t="n"/>
      <c r="O3" s="84" t="n"/>
      <c r="P3" s="84" t="n"/>
      <c r="Q3" s="84" t="n"/>
      <c r="R3" s="84" t="n"/>
      <c r="S3" s="84" t="n"/>
      <c r="T3" s="84" t="n"/>
      <c r="U3" s="84" t="n"/>
      <c r="V3" s="84" t="n"/>
    </row>
    <row r="4" ht="10" customHeight="1" s="83">
      <c r="A4" s="84" t="n"/>
      <c r="B4" s="84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84" t="n"/>
      <c r="M4" s="84" t="n"/>
      <c r="N4" s="84" t="n"/>
      <c r="O4" s="84" t="n"/>
      <c r="P4" s="84" t="n"/>
      <c r="Q4" s="84" t="n"/>
      <c r="R4" s="84" t="n"/>
      <c r="S4" s="84" t="n"/>
      <c r="T4" s="84" t="n"/>
      <c r="U4" s="84" t="n"/>
      <c r="V4" s="84" t="n"/>
    </row>
    <row r="5" ht="24" customHeight="1" s="83">
      <c r="A5" s="84" t="n"/>
      <c r="B5" s="176" t="inlineStr">
        <is>
          <t>CANDIDATE</t>
        </is>
      </c>
      <c r="C5" s="176" t="inlineStr">
        <is>
          <t>RECRUITER</t>
        </is>
      </c>
      <c r="D5" s="176" t="inlineStr">
        <is>
          <t>SOURCED</t>
        </is>
      </c>
      <c r="E5" s="176" t="inlineStr">
        <is>
          <t>REQUISITION</t>
        </is>
      </c>
      <c r="F5" s="176" t="inlineStr">
        <is>
          <t>CITY</t>
        </is>
      </c>
      <c r="G5" s="176" t="inlineStr">
        <is>
          <t>STAGE</t>
        </is>
      </c>
      <c r="H5" s="176" t="inlineStr">
        <is>
          <t>STAGE #</t>
        </is>
      </c>
      <c r="I5" s="176" t="inlineStr">
        <is>
          <t>SUB-STATUS</t>
        </is>
      </c>
      <c r="J5" s="176" t="inlineStr">
        <is>
          <t>EXP</t>
        </is>
      </c>
      <c r="K5" s="176" t="inlineStr">
        <is>
          <t>CURRENT COMPANY</t>
        </is>
      </c>
      <c r="L5" s="176" t="inlineStr">
        <is>
          <t>DESIGNATION</t>
        </is>
      </c>
      <c r="M5" s="176" t="inlineStr">
        <is>
          <t>CCTC</t>
        </is>
      </c>
      <c r="N5" s="176" t="inlineStr">
        <is>
          <t>ECTC</t>
        </is>
      </c>
      <c r="O5" s="176" t="inlineStr">
        <is>
          <t>HIKE</t>
        </is>
      </c>
      <c r="P5" s="176" t="inlineStr">
        <is>
          <t>NOTICE</t>
        </is>
      </c>
      <c r="Q5" s="176" t="inlineStr">
        <is>
          <t>DAYS</t>
        </is>
      </c>
      <c r="R5" s="176" t="inlineStr">
        <is>
          <t>AVAILABILITY</t>
        </is>
      </c>
      <c r="S5" s="176" t="inlineStr">
        <is>
          <t>PREFERRED LOC</t>
        </is>
      </c>
      <c r="T5" s="176" t="inlineStr">
        <is>
          <t>LOC MATCH</t>
        </is>
      </c>
      <c r="U5" s="176" t="inlineStr">
        <is>
          <t>REASON TO MOVE</t>
        </is>
      </c>
      <c r="V5" s="84" t="n"/>
    </row>
    <row r="6" ht="16" customHeight="1" s="83">
      <c r="B6" s="137" t="str">
        <f>IF('Dashboard Calc'!$B$6="","",'Dashboard Calc'!$B$6)</f>
        <v>Sibiraj Munirathinam</v>
      </c>
      <c r="C6" s="138" t="str">
        <f>IF('Dashboard Calc'!$B$6="","",'Dashboard Calc'!$C$6)</f>
        <v>Sarath</v>
      </c>
      <c r="D6" s="177">
        <f>IF('Dashboard Calc'!$B$6="","",'Dashboard Calc'!$D$6)</f>
        <v>46247</v>
      </c>
      <c r="E6" s="138" t="str">
        <f>IF('Dashboard Calc'!$B$6="","",'Dashboard Calc'!$F$6)</f>
        <v>Full Stack Developer</v>
      </c>
      <c r="F6" s="138" t="str">
        <f>IF('Dashboard Calc'!$B$6="","",'Dashboard Calc'!$H$6)</f>
        <v>Chennai</v>
      </c>
      <c r="G6" s="138" t="str">
        <f>IF('Dashboard Calc'!$B$6="","",'Dashboard Calc'!$I$6)</f>
        <v>ZN Submission</v>
      </c>
      <c r="H6" s="143">
        <f>IF('Dashboard Calc'!$B$6="","",'Dashboard Calc'!$J$6)</f>
        <v>2</v>
      </c>
      <c r="I6" s="138" t="str">
        <f>IF('Dashboard Calc'!$B$6="","",'Dashboard Calc'!$K$6)</f>
        <v>Client Review</v>
      </c>
      <c r="J6" s="144">
        <f>IF('Dashboard Calc'!$B$6="","",'Dashboard Calc'!$W$6)</f>
        <v>4</v>
      </c>
      <c r="K6" s="138" t="str">
        <f>IF('Dashboard Calc'!$B$6="","",'Dashboard Calc'!$Y$6)</f>
        <v>Camu</v>
      </c>
      <c r="L6" s="138" t="str">
        <f>IF('Dashboard Calc'!$B$6="","",'Dashboard Calc'!$Z$6)</f>
        <v>SSE</v>
      </c>
      <c r="M6" s="144">
        <f>IF('Dashboard Calc'!$B$6="","",'Dashboard Calc'!$M$6)</f>
        <v>9</v>
      </c>
      <c r="N6" s="144">
        <f>IF('Dashboard Calc'!$B$6="","",'Dashboard Calc'!$O$6)</f>
        <v>12</v>
      </c>
      <c r="O6" s="145">
        <f>IF('Dashboard Calc'!$B$6="","",'Dashboard Calc'!$P$6)</f>
        <v>0.33333333333333326</v>
      </c>
      <c r="P6" s="138" t="str">
        <f>IF('Dashboard Calc'!$B$6="","",'Dashboard Calc'!$Q$6)</f>
        <v>Immediate</v>
      </c>
      <c r="Q6" s="143">
        <f>IF('Dashboard Calc'!$B$6="","",'Dashboard Calc'!$S$6)</f>
        <v>0</v>
      </c>
      <c r="R6" s="142" t="str">
        <f>IF('Dashboard Calc'!$B$6="","",'Dashboard Calc'!$T$6)</f>
        <v>Immediate</v>
      </c>
      <c r="S6" s="138" t="str">
        <f>IF('Dashboard Calc'!$B$6="","",'Dashboard Calc'!$AA$6)</f>
        <v>Chennai</v>
      </c>
      <c r="T6" s="143">
        <f>IF('Dashboard Calc'!$B$6="","",'Dashboard Calc'!$AD$6)</f>
        <v>1</v>
      </c>
      <c r="U6" s="138" t="str">
        <f>IF('Dashboard Calc'!$B$6="","",'Dashboard Calc'!$AB$6)</f>
        <v>Career Growth</v>
      </c>
    </row>
    <row r="7" ht="16" customHeight="1" s="83">
      <c r="B7" s="129" t="str">
        <f>IF('Dashboard Calc'!$B$7="","",'Dashboard Calc'!$B$7)</f>
        <v>Karthik Kumar</v>
      </c>
      <c r="C7" s="131" t="str">
        <f>IF('Dashboard Calc'!$B$7="","",'Dashboard Calc'!$C$7)</f>
        <v>Sarath</v>
      </c>
      <c r="D7" s="178">
        <f>IF('Dashboard Calc'!$B$7="","",'Dashboard Calc'!$D$7)</f>
        <v>46247</v>
      </c>
      <c r="E7" s="131" t="str">
        <f>IF('Dashboard Calc'!$B$7="","",'Dashboard Calc'!$F$7)</f>
        <v>Full Stack Developer</v>
      </c>
      <c r="F7" s="131" t="str">
        <f>IF('Dashboard Calc'!$B$7="","",'Dashboard Calc'!$H$7)</f>
        <v>Chennai</v>
      </c>
      <c r="G7" s="131" t="str">
        <f>IF('Dashboard Calc'!$B$7="","",'Dashboard Calc'!$I$7)</f>
        <v>Telephonic Screening</v>
      </c>
      <c r="H7" s="146">
        <f>IF('Dashboard Calc'!$B$7="","",'Dashboard Calc'!$J$7)</f>
        <v>1</v>
      </c>
      <c r="I7" s="131" t="str">
        <f>IF('Dashboard Calc'!$B$7="","",'Dashboard Calc'!$K$7)</f>
        <v>Hold</v>
      </c>
      <c r="J7" s="147">
        <f>IF('Dashboard Calc'!$B$7="","",'Dashboard Calc'!$W$7)</f>
        <v>0</v>
      </c>
      <c r="K7" s="131">
        <f>IF('Dashboard Calc'!$B$7="","",'Dashboard Calc'!$Y$7)</f>
      </c>
      <c r="L7" s="131">
        <f>IF('Dashboard Calc'!$B$7="","",'Dashboard Calc'!$Z$7)</f>
      </c>
      <c r="M7" s="147">
        <f>IF('Dashboard Calc'!$B$7="","",'Dashboard Calc'!$M$7)</f>
        <v>6.69</v>
      </c>
      <c r="N7" s="147">
        <f>IF('Dashboard Calc'!$B$7="","",'Dashboard Calc'!$O$7)</f>
        <v>12</v>
      </c>
      <c r="O7" s="148">
        <f>IF('Dashboard Calc'!$B$7="","",'Dashboard Calc'!$P$7)</f>
        <v>0.7937219730941703</v>
      </c>
      <c r="P7" s="131" t="str">
        <f>IF('Dashboard Calc'!$B$7="","",'Dashboard Calc'!$Q$7)</f>
        <v>1 Week(LWD 19th Aug)</v>
      </c>
      <c r="Q7" s="146">
        <f>IF('Dashboard Calc'!$B$7="","",'Dashboard Calc'!$S$7)</f>
        <v>-1</v>
      </c>
      <c r="R7" s="135" t="str">
        <f>IF('Dashboard Calc'!$B$7="","",'Dashboard Calc'!$T$7)</f>
        <v>Not recorded</v>
      </c>
      <c r="S7" s="131">
        <f>IF('Dashboard Calc'!$B$7="","",'Dashboard Calc'!$AA$7)</f>
      </c>
      <c r="T7" s="146">
        <f>IF('Dashboard Calc'!$B$7="","",'Dashboard Calc'!$AD$7)</f>
        <v>1</v>
      </c>
      <c r="U7" s="131">
        <f>IF('Dashboard Calc'!$B$7="","",'Dashboard Calc'!$AB$7)</f>
      </c>
    </row>
    <row r="8" ht="16" customHeight="1" s="83">
      <c r="B8" s="137" t="str">
        <f>IF('Dashboard Calc'!$B$8="","",'Dashboard Calc'!$B$8)</f>
        <v>Rogesh</v>
      </c>
      <c r="C8" s="138" t="str">
        <f>IF('Dashboard Calc'!$B$8="","",'Dashboard Calc'!$C$8)</f>
        <v>Sarath</v>
      </c>
      <c r="D8" s="177">
        <f>IF('Dashboard Calc'!$B$8="","",'Dashboard Calc'!$D$8)</f>
        <v>46247</v>
      </c>
      <c r="E8" s="138" t="str">
        <f>IF('Dashboard Calc'!$B$8="","",'Dashboard Calc'!$F$8)</f>
        <v>Full Stack Developer</v>
      </c>
      <c r="F8" s="138" t="str">
        <f>IF('Dashboard Calc'!$B$8="","",'Dashboard Calc'!$H$8)</f>
        <v>Chennai</v>
      </c>
      <c r="G8" s="138" t="str">
        <f>IF('Dashboard Calc'!$B$8="","",'Dashboard Calc'!$I$8)</f>
        <v>Telephonic Screening</v>
      </c>
      <c r="H8" s="143">
        <f>IF('Dashboard Calc'!$B$8="","",'Dashboard Calc'!$J$8)</f>
        <v>1</v>
      </c>
      <c r="I8" s="138" t="str">
        <f>IF('Dashboard Calc'!$B$8="","",'Dashboard Calc'!$K$8)</f>
        <v>Hold</v>
      </c>
      <c r="J8" s="144">
        <f>IF('Dashboard Calc'!$B$8="","",'Dashboard Calc'!$W$8)</f>
        <v>0</v>
      </c>
      <c r="K8" s="138">
        <f>IF('Dashboard Calc'!$B$8="","",'Dashboard Calc'!$Y$8)</f>
      </c>
      <c r="L8" s="138">
        <f>IF('Dashboard Calc'!$B$8="","",'Dashboard Calc'!$Z$8)</f>
      </c>
      <c r="M8" s="144">
        <f>IF('Dashboard Calc'!$B$8="","",'Dashboard Calc'!$M$8)</f>
        <v>4</v>
      </c>
      <c r="N8" s="144">
        <f>IF('Dashboard Calc'!$B$8="","",'Dashboard Calc'!$O$8)</f>
        <v>8</v>
      </c>
      <c r="O8" s="145">
        <f>IF('Dashboard Calc'!$B$8="","",'Dashboard Calc'!$P$8)</f>
        <v>1</v>
      </c>
      <c r="P8" s="138" t="str">
        <f>IF('Dashboard Calc'!$B$8="","",'Dashboard Calc'!$Q$8)</f>
        <v>20 Days(LWD 4th Sep)</v>
      </c>
      <c r="Q8" s="143">
        <f>IF('Dashboard Calc'!$B$8="","",'Dashboard Calc'!$S$8)</f>
        <v>20</v>
      </c>
      <c r="R8" s="142" t="str">
        <f>IF('Dashboard Calc'!$B$8="","",'Dashboard Calc'!$T$8)</f>
        <v>1-30 days</v>
      </c>
      <c r="S8" s="138">
        <f>IF('Dashboard Calc'!$B$8="","",'Dashboard Calc'!$AA$8)</f>
      </c>
      <c r="T8" s="143">
        <f>IF('Dashboard Calc'!$B$8="","",'Dashboard Calc'!$AD$8)</f>
        <v>1</v>
      </c>
      <c r="U8" s="138">
        <f>IF('Dashboard Calc'!$B$8="","",'Dashboard Calc'!$AB$8)</f>
      </c>
    </row>
    <row r="9" ht="16" customHeight="1" s="83">
      <c r="B9" s="129" t="str">
        <f>IF('Dashboard Calc'!$B$9="","",'Dashboard Calc'!$B$9)</f>
        <v>Malaikkannan</v>
      </c>
      <c r="C9" s="131" t="str">
        <f>IF('Dashboard Calc'!$B$9="","",'Dashboard Calc'!$C$9)</f>
        <v>Sarath</v>
      </c>
      <c r="D9" s="178">
        <f>IF('Dashboard Calc'!$B$9="","",'Dashboard Calc'!$D$9)</f>
        <v>46247</v>
      </c>
      <c r="E9" s="131" t="str">
        <f>IF('Dashboard Calc'!$B$9="","",'Dashboard Calc'!$F$9)</f>
        <v>Full Stack Developer</v>
      </c>
      <c r="F9" s="131" t="str">
        <f>IF('Dashboard Calc'!$B$9="","",'Dashboard Calc'!$H$9)</f>
        <v>Chennai</v>
      </c>
      <c r="G9" s="131" t="str">
        <f>IF('Dashboard Calc'!$B$9="","",'Dashboard Calc'!$I$9)</f>
        <v>Telephonic Screening</v>
      </c>
      <c r="H9" s="146">
        <f>IF('Dashboard Calc'!$B$9="","",'Dashboard Calc'!$J$9)</f>
        <v>1</v>
      </c>
      <c r="I9" s="131" t="str">
        <f>IF('Dashboard Calc'!$B$9="","",'Dashboard Calc'!$K$9)</f>
        <v>Already Zeronorth processed</v>
      </c>
      <c r="J9" s="147">
        <f>IF('Dashboard Calc'!$B$9="","",'Dashboard Calc'!$W$9)</f>
        <v>0</v>
      </c>
      <c r="K9" s="131">
        <f>IF('Dashboard Calc'!$B$9="","",'Dashboard Calc'!$Y$9)</f>
      </c>
      <c r="L9" s="131">
        <f>IF('Dashboard Calc'!$B$9="","",'Dashboard Calc'!$Z$9)</f>
      </c>
      <c r="M9" s="147">
        <f>IF('Dashboard Calc'!$B$9="","",'Dashboard Calc'!$M$9)</f>
        <v>0</v>
      </c>
      <c r="N9" s="147">
        <f>IF('Dashboard Calc'!$B$9="","",'Dashboard Calc'!$O$9)</f>
        <v>0</v>
      </c>
      <c r="O9" s="148">
        <f>IF('Dashboard Calc'!$B$9="","",'Dashboard Calc'!$P$9)</f>
        <v>0</v>
      </c>
      <c r="P9" s="131">
        <f>IF('Dashboard Calc'!$B$9="","",'Dashboard Calc'!$Q$9)</f>
      </c>
      <c r="Q9" s="146">
        <f>IF('Dashboard Calc'!$B$9="","",'Dashboard Calc'!$S$9)</f>
        <v>-1</v>
      </c>
      <c r="R9" s="135" t="str">
        <f>IF('Dashboard Calc'!$B$9="","",'Dashboard Calc'!$T$9)</f>
        <v>Not recorded</v>
      </c>
      <c r="S9" s="131">
        <f>IF('Dashboard Calc'!$B$9="","",'Dashboard Calc'!$AA$9)</f>
      </c>
      <c r="T9" s="146">
        <f>IF('Dashboard Calc'!$B$9="","",'Dashboard Calc'!$AD$9)</f>
        <v>1</v>
      </c>
      <c r="U9" s="131">
        <f>IF('Dashboard Calc'!$B$9="","",'Dashboard Calc'!$AB$9)</f>
      </c>
    </row>
    <row r="10" ht="16" customHeight="1" s="83">
      <c r="B10" s="137" t="str">
        <f>IF('Dashboard Calc'!$B$10="","",'Dashboard Calc'!$B$10)</f>
        <v>Mubbanthal Surya</v>
      </c>
      <c r="C10" s="138" t="str">
        <f>IF('Dashboard Calc'!$B$10="","",'Dashboard Calc'!$C$10)</f>
        <v>Sarath</v>
      </c>
      <c r="D10" s="177">
        <f>IF('Dashboard Calc'!$B$10="","",'Dashboard Calc'!$D$10)</f>
        <v>46247</v>
      </c>
      <c r="E10" s="138" t="str">
        <f>IF('Dashboard Calc'!$B$10="","",'Dashboard Calc'!$F$10)</f>
        <v>Full Stack Developer</v>
      </c>
      <c r="F10" s="138" t="str">
        <f>IF('Dashboard Calc'!$B$10="","",'Dashboard Calc'!$H$10)</f>
        <v>Chennai</v>
      </c>
      <c r="G10" s="138" t="str">
        <f>IF('Dashboard Calc'!$B$10="","",'Dashboard Calc'!$I$10)</f>
        <v>ZN Submission</v>
      </c>
      <c r="H10" s="143">
        <f>IF('Dashboard Calc'!$B$10="","",'Dashboard Calc'!$J$10)</f>
        <v>2</v>
      </c>
      <c r="I10" s="138" t="str">
        <f>IF('Dashboard Calc'!$B$10="","",'Dashboard Calc'!$K$10)</f>
        <v>Client Review</v>
      </c>
      <c r="J10" s="144">
        <f>IF('Dashboard Calc'!$B$10="","",'Dashboard Calc'!$W$10)</f>
        <v>3.8</v>
      </c>
      <c r="K10" s="138" t="str">
        <f>IF('Dashboard Calc'!$B$10="","",'Dashboard Calc'!$Y$10)</f>
        <v>Business Core Solutions</v>
      </c>
      <c r="L10" s="138" t="str">
        <f>IF('Dashboard Calc'!$B$10="","",'Dashboard Calc'!$Z$10)</f>
        <v>FullStack Developer</v>
      </c>
      <c r="M10" s="144">
        <f>IF('Dashboard Calc'!$B$10="","",'Dashboard Calc'!$M$10)</f>
        <v>6.92</v>
      </c>
      <c r="N10" s="144">
        <f>IF('Dashboard Calc'!$B$10="","",'Dashboard Calc'!$O$10)</f>
        <v>12</v>
      </c>
      <c r="O10" s="145">
        <f>IF('Dashboard Calc'!$B$10="","",'Dashboard Calc'!$P$10)</f>
        <v>0.7341040462427746</v>
      </c>
      <c r="P10" s="138" t="str">
        <f>IF('Dashboard Calc'!$B$10="","",'Dashboard Calc'!$Q$10)</f>
        <v>1 Month(Negotiable)</v>
      </c>
      <c r="Q10" s="143">
        <f>IF('Dashboard Calc'!$B$10="","",'Dashboard Calc'!$S$10)</f>
        <v>30</v>
      </c>
      <c r="R10" s="142" t="str">
        <f>IF('Dashboard Calc'!$B$10="","",'Dashboard Calc'!$T$10)</f>
        <v>1-30 days</v>
      </c>
      <c r="S10" s="138" t="str">
        <f>IF('Dashboard Calc'!$B$10="","",'Dashboard Calc'!$AA$10)</f>
        <v>Chennai</v>
      </c>
      <c r="T10" s="143">
        <f>IF('Dashboard Calc'!$B$10="","",'Dashboard Calc'!$AD$10)</f>
        <v>1</v>
      </c>
      <c r="U10" s="138" t="str">
        <f>IF('Dashboard Calc'!$B$10="","",'Dashboard Calc'!$AB$10)</f>
        <v>Career Growth</v>
      </c>
    </row>
    <row r="11" ht="16" customHeight="1" s="83">
      <c r="B11" s="129" t="str">
        <f>IF('Dashboard Calc'!$B$11="","",'Dashboard Calc'!$B$11)</f>
        <v>Govardhan</v>
      </c>
      <c r="C11" s="131" t="str">
        <f>IF('Dashboard Calc'!$B$11="","",'Dashboard Calc'!$C$11)</f>
        <v>Sarath</v>
      </c>
      <c r="D11" s="178">
        <f>IF('Dashboard Calc'!$B$11="","",'Dashboard Calc'!$D$11)</f>
        <v>46247</v>
      </c>
      <c r="E11" s="131" t="str">
        <f>IF('Dashboard Calc'!$B$11="","",'Dashboard Calc'!$F$11)</f>
        <v>Full Stack Developer</v>
      </c>
      <c r="F11" s="131" t="str">
        <f>IF('Dashboard Calc'!$B$11="","",'Dashboard Calc'!$H$11)</f>
        <v>Chennai</v>
      </c>
      <c r="G11" s="131" t="str">
        <f>IF('Dashboard Calc'!$B$11="","",'Dashboard Calc'!$I$11)</f>
        <v>ZN Submission</v>
      </c>
      <c r="H11" s="146">
        <f>IF('Dashboard Calc'!$B$11="","",'Dashboard Calc'!$J$11)</f>
        <v>2</v>
      </c>
      <c r="I11" s="131" t="str">
        <f>IF('Dashboard Calc'!$B$11="","",'Dashboard Calc'!$K$11)</f>
        <v>Client Review</v>
      </c>
      <c r="J11" s="147">
        <f>IF('Dashboard Calc'!$B$11="","",'Dashboard Calc'!$W$11)</f>
        <v>8</v>
      </c>
      <c r="K11" s="131" t="str">
        <f>IF('Dashboard Calc'!$B$11="","",'Dashboard Calc'!$Y$11)</f>
        <v>Indium Software</v>
      </c>
      <c r="L11" s="131" t="str">
        <f>IF('Dashboard Calc'!$B$11="","",'Dashboard Calc'!$Z$11)</f>
        <v>SSE</v>
      </c>
      <c r="M11" s="147">
        <f>IF('Dashboard Calc'!$B$11="","",'Dashboard Calc'!$M$11)</f>
        <v>19</v>
      </c>
      <c r="N11" s="147">
        <f>IF('Dashboard Calc'!$B$11="","",'Dashboard Calc'!$O$11)</f>
        <v>30</v>
      </c>
      <c r="O11" s="148">
        <f>IF('Dashboard Calc'!$B$11="","",'Dashboard Calc'!$P$11)</f>
        <v>0.5789473684210527</v>
      </c>
      <c r="P11" s="131" t="str">
        <f>IF('Dashboard Calc'!$B$11="","",'Dashboard Calc'!$Q$11)</f>
        <v>1 Month(LWD 15th Sep)</v>
      </c>
      <c r="Q11" s="146">
        <f>IF('Dashboard Calc'!$B$11="","",'Dashboard Calc'!$S$11)</f>
        <v>30</v>
      </c>
      <c r="R11" s="135" t="str">
        <f>IF('Dashboard Calc'!$B$11="","",'Dashboard Calc'!$T$11)</f>
        <v>1-30 days</v>
      </c>
      <c r="S11" s="131" t="str">
        <f>IF('Dashboard Calc'!$B$11="","",'Dashboard Calc'!$AA$11)</f>
        <v>Chennai</v>
      </c>
      <c r="T11" s="146">
        <f>IF('Dashboard Calc'!$B$11="","",'Dashboard Calc'!$AD$11)</f>
        <v>1</v>
      </c>
      <c r="U11" s="131" t="str">
        <f>IF('Dashboard Calc'!$B$11="","",'Dashboard Calc'!$AB$11)</f>
        <v>Preferring Chennai</v>
      </c>
    </row>
    <row r="12" ht="16" customHeight="1" s="83">
      <c r="B12" s="137" t="str">
        <f>IF('Dashboard Calc'!$B$12="","",'Dashboard Calc'!$B$12)</f>
        <v>Saravana Ganesh S</v>
      </c>
      <c r="C12" s="138" t="str">
        <f>IF('Dashboard Calc'!$B$12="","",'Dashboard Calc'!$C$12)</f>
        <v>Rujuta</v>
      </c>
      <c r="D12" s="177">
        <f>IF('Dashboard Calc'!$B$12="","",'Dashboard Calc'!$D$12)</f>
        <v>46247</v>
      </c>
      <c r="E12" s="138" t="str">
        <f>IF('Dashboard Calc'!$B$12="","",'Dashboard Calc'!$F$12)</f>
        <v>Full Stack Developer</v>
      </c>
      <c r="F12" s="138" t="str">
        <f>IF('Dashboard Calc'!$B$12="","",'Dashboard Calc'!$H$12)</f>
        <v>Chennai</v>
      </c>
      <c r="G12" s="138" t="str">
        <f>IF('Dashboard Calc'!$B$12="","",'Dashboard Calc'!$I$12)</f>
        <v>ZN Submission</v>
      </c>
      <c r="H12" s="143">
        <f>IF('Dashboard Calc'!$B$12="","",'Dashboard Calc'!$J$12)</f>
        <v>2</v>
      </c>
      <c r="I12" s="138" t="str">
        <f>IF('Dashboard Calc'!$B$12="","",'Dashboard Calc'!$K$12)</f>
        <v>Client Review</v>
      </c>
      <c r="J12" s="144">
        <f>IF('Dashboard Calc'!$B$12="","",'Dashboard Calc'!$W$12)</f>
        <v>4.9</v>
      </c>
      <c r="K12" s="138" t="str">
        <f>IF('Dashboard Calc'!$B$12="","",'Dashboard Calc'!$Y$12)</f>
        <v>Primus Global</v>
      </c>
      <c r="L12" s="138" t="str">
        <f>IF('Dashboard Calc'!$B$12="","",'Dashboard Calc'!$Z$12)</f>
        <v>Software Development Engineer</v>
      </c>
      <c r="M12" s="144">
        <f>IF('Dashboard Calc'!$B$12="","",'Dashboard Calc'!$M$12)</f>
        <v>15</v>
      </c>
      <c r="N12" s="144">
        <f>IF('Dashboard Calc'!$B$12="","",'Dashboard Calc'!$O$12)</f>
        <v>20</v>
      </c>
      <c r="O12" s="145">
        <f>IF('Dashboard Calc'!$B$12="","",'Dashboard Calc'!$P$12)</f>
        <v>0.33333333333333326</v>
      </c>
      <c r="P12" s="138" t="str">
        <f>IF('Dashboard Calc'!$B$12="","",'Dashboard Calc'!$Q$12)</f>
        <v>30 days</v>
      </c>
      <c r="Q12" s="143">
        <f>IF('Dashboard Calc'!$B$12="","",'Dashboard Calc'!$S$12)</f>
        <v>30</v>
      </c>
      <c r="R12" s="142" t="str">
        <f>IF('Dashboard Calc'!$B$12="","",'Dashboard Calc'!$T$12)</f>
        <v>1-30 days</v>
      </c>
      <c r="S12" s="138" t="str">
        <f>IF('Dashboard Calc'!$B$12="","",'Dashboard Calc'!$AA$12)</f>
        <v>Chennai</v>
      </c>
      <c r="T12" s="143">
        <f>IF('Dashboard Calc'!$B$12="","",'Dashboard Calc'!$AD$12)</f>
        <v>1</v>
      </c>
      <c r="U12" s="138" t="str">
        <f>IF('Dashboard Calc'!$B$12="","",'Dashboard Calc'!$AB$12)</f>
        <v>Career Growth</v>
      </c>
    </row>
    <row r="13" ht="16" customHeight="1" s="83">
      <c r="B13" s="129" t="str">
        <f>IF('Dashboard Calc'!$B$13="","",'Dashboard Calc'!$B$13)</f>
        <v>S Naveen Kumar</v>
      </c>
      <c r="C13" s="131" t="str">
        <f>IF('Dashboard Calc'!$B$13="","",'Dashboard Calc'!$C$13)</f>
        <v>Rujuta</v>
      </c>
      <c r="D13" s="178">
        <f>IF('Dashboard Calc'!$B$13="","",'Dashboard Calc'!$D$13)</f>
        <v>46247</v>
      </c>
      <c r="E13" s="131" t="str">
        <f>IF('Dashboard Calc'!$B$13="","",'Dashboard Calc'!$F$13)</f>
        <v>Full Stack Developer</v>
      </c>
      <c r="F13" s="131" t="str">
        <f>IF('Dashboard Calc'!$B$13="","",'Dashboard Calc'!$H$13)</f>
        <v>Bangalore</v>
      </c>
      <c r="G13" s="131" t="str">
        <f>IF('Dashboard Calc'!$B$13="","",'Dashboard Calc'!$I$13)</f>
        <v>Telephonic Screening</v>
      </c>
      <c r="H13" s="146">
        <f>IF('Dashboard Calc'!$B$13="","",'Dashboard Calc'!$J$13)</f>
        <v>1</v>
      </c>
      <c r="I13" s="131" t="str">
        <f>IF('Dashboard Calc'!$B$13="","",'Dashboard Calc'!$K$13)</f>
        <v>Have experience in NEST.JS not in node.js</v>
      </c>
      <c r="J13" s="147">
        <f>IF('Dashboard Calc'!$B$13="","",'Dashboard Calc'!$W$13)</f>
        <v>0</v>
      </c>
      <c r="K13" s="131">
        <f>IF('Dashboard Calc'!$B$13="","",'Dashboard Calc'!$Y$13)</f>
      </c>
      <c r="L13" s="131">
        <f>IF('Dashboard Calc'!$B$13="","",'Dashboard Calc'!$Z$13)</f>
      </c>
      <c r="M13" s="147">
        <f>IF('Dashboard Calc'!$B$13="","",'Dashboard Calc'!$M$13)</f>
        <v>0</v>
      </c>
      <c r="N13" s="147">
        <f>IF('Dashboard Calc'!$B$13="","",'Dashboard Calc'!$O$13)</f>
        <v>0</v>
      </c>
      <c r="O13" s="148">
        <f>IF('Dashboard Calc'!$B$13="","",'Dashboard Calc'!$P$13)</f>
        <v>0</v>
      </c>
      <c r="P13" s="131">
        <f>IF('Dashboard Calc'!$B$13="","",'Dashboard Calc'!$Q$13)</f>
      </c>
      <c r="Q13" s="146">
        <f>IF('Dashboard Calc'!$B$13="","",'Dashboard Calc'!$S$13)</f>
        <v>-1</v>
      </c>
      <c r="R13" s="135" t="str">
        <f>IF('Dashboard Calc'!$B$13="","",'Dashboard Calc'!$T$13)</f>
        <v>Not recorded</v>
      </c>
      <c r="S13" s="131">
        <f>IF('Dashboard Calc'!$B$13="","",'Dashboard Calc'!$AA$13)</f>
      </c>
      <c r="T13" s="146">
        <f>IF('Dashboard Calc'!$B$13="","",'Dashboard Calc'!$AD$13)</f>
        <v>0</v>
      </c>
      <c r="U13" s="131">
        <f>IF('Dashboard Calc'!$B$13="","",'Dashboard Calc'!$AB$13)</f>
      </c>
    </row>
    <row r="14" ht="16" customHeight="1" s="83">
      <c r="B14" s="137" t="str">
        <f>IF('Dashboard Calc'!$B$14="","",'Dashboard Calc'!$B$14)</f>
        <v>Kishore M</v>
      </c>
      <c r="C14" s="138" t="str">
        <f>IF('Dashboard Calc'!$B$14="","",'Dashboard Calc'!$C$14)</f>
        <v>Rujuta</v>
      </c>
      <c r="D14" s="177">
        <f>IF('Dashboard Calc'!$B$14="","",'Dashboard Calc'!$D$14)</f>
        <v>46247</v>
      </c>
      <c r="E14" s="138" t="str">
        <f>IF('Dashboard Calc'!$B$14="","",'Dashboard Calc'!$F$14)</f>
        <v>Full Stack Developer</v>
      </c>
      <c r="F14" s="138" t="str">
        <f>IF('Dashboard Calc'!$B$14="","",'Dashboard Calc'!$H$14)</f>
        <v>Chennai</v>
      </c>
      <c r="G14" s="138" t="str">
        <f>IF('Dashboard Calc'!$B$14="","",'Dashboard Calc'!$I$14)</f>
        <v>Telephonic Screening</v>
      </c>
      <c r="H14" s="143">
        <f>IF('Dashboard Calc'!$B$14="","",'Dashboard Calc'!$J$14)</f>
        <v>1</v>
      </c>
      <c r="I14" s="138" t="str">
        <f>IF('Dashboard Calc'!$B$14="","",'Dashboard Calc'!$K$14)</f>
        <v>He will give a call in 10 min</v>
      </c>
      <c r="J14" s="144">
        <f>IF('Dashboard Calc'!$B$14="","",'Dashboard Calc'!$W$14)</f>
        <v>0</v>
      </c>
      <c r="K14" s="138">
        <f>IF('Dashboard Calc'!$B$14="","",'Dashboard Calc'!$Y$14)</f>
      </c>
      <c r="L14" s="138">
        <f>IF('Dashboard Calc'!$B$14="","",'Dashboard Calc'!$Z$14)</f>
      </c>
      <c r="M14" s="144">
        <f>IF('Dashboard Calc'!$B$14="","",'Dashboard Calc'!$M$14)</f>
        <v>0</v>
      </c>
      <c r="N14" s="144">
        <f>IF('Dashboard Calc'!$B$14="","",'Dashboard Calc'!$O$14)</f>
        <v>0</v>
      </c>
      <c r="O14" s="145">
        <f>IF('Dashboard Calc'!$B$14="","",'Dashboard Calc'!$P$14)</f>
        <v>0</v>
      </c>
      <c r="P14" s="138">
        <f>IF('Dashboard Calc'!$B$14="","",'Dashboard Calc'!$Q$14)</f>
      </c>
      <c r="Q14" s="143">
        <f>IF('Dashboard Calc'!$B$14="","",'Dashboard Calc'!$S$14)</f>
        <v>-1</v>
      </c>
      <c r="R14" s="142" t="str">
        <f>IF('Dashboard Calc'!$B$14="","",'Dashboard Calc'!$T$14)</f>
        <v>Not recorded</v>
      </c>
      <c r="S14" s="138">
        <f>IF('Dashboard Calc'!$B$14="","",'Dashboard Calc'!$AA$14)</f>
      </c>
      <c r="T14" s="143">
        <f>IF('Dashboard Calc'!$B$14="","",'Dashboard Calc'!$AD$14)</f>
        <v>1</v>
      </c>
      <c r="U14" s="138">
        <f>IF('Dashboard Calc'!$B$14="","",'Dashboard Calc'!$AB$14)</f>
      </c>
    </row>
    <row r="15" ht="16" customHeight="1" s="83">
      <c r="B15" s="129" t="str">
        <f>IF('Dashboard Calc'!$B$15="","",'Dashboard Calc'!$B$15)</f>
        <v>Hariprakash</v>
      </c>
      <c r="C15" s="131" t="str">
        <f>IF('Dashboard Calc'!$B$15="","",'Dashboard Calc'!$C$15)</f>
        <v>Vandana</v>
      </c>
      <c r="D15" s="178">
        <f>IF('Dashboard Calc'!$B$15="","",'Dashboard Calc'!$D$15)</f>
        <v>46247</v>
      </c>
      <c r="E15" s="131" t="str">
        <f>IF('Dashboard Calc'!$B$15="","",'Dashboard Calc'!$F$15)</f>
        <v>Full Stack Developer</v>
      </c>
      <c r="F15" s="131" t="str">
        <f>IF('Dashboard Calc'!$B$15="","",'Dashboard Calc'!$H$15)</f>
        <v>Chennai</v>
      </c>
      <c r="G15" s="131" t="str">
        <f>IF('Dashboard Calc'!$B$15="","",'Dashboard Calc'!$I$15)</f>
        <v>ZN Submission</v>
      </c>
      <c r="H15" s="146">
        <f>IF('Dashboard Calc'!$B$15="","",'Dashboard Calc'!$J$15)</f>
        <v>2</v>
      </c>
      <c r="I15" s="131" t="str">
        <f>IF('Dashboard Calc'!$B$15="","",'Dashboard Calc'!$K$15)</f>
        <v>Jd sent, waiting for acknowlegment.</v>
      </c>
      <c r="J15" s="147">
        <f>IF('Dashboard Calc'!$B$15="","",'Dashboard Calc'!$W$15)</f>
        <v>3.1</v>
      </c>
      <c r="K15" s="131" t="str">
        <f>IF('Dashboard Calc'!$B$15="","",'Dashboard Calc'!$Y$15)</f>
        <v>Contentstack</v>
      </c>
      <c r="L15" s="131" t="str">
        <f>IF('Dashboard Calc'!$B$15="","",'Dashboard Calc'!$Z$15)</f>
        <v>Software Engineer</v>
      </c>
      <c r="M15" s="147">
        <f>IF('Dashboard Calc'!$B$15="","",'Dashboard Calc'!$M$15)</f>
        <v>13.13</v>
      </c>
      <c r="N15" s="147">
        <f>IF('Dashboard Calc'!$B$15="","",'Dashboard Calc'!$O$15)</f>
        <v>22</v>
      </c>
      <c r="O15" s="148">
        <f>IF('Dashboard Calc'!$B$15="","",'Dashboard Calc'!$P$15)</f>
        <v>0.6755521706016754</v>
      </c>
      <c r="P15" s="131" t="str">
        <f>IF('Dashboard Calc'!$B$15="","",'Dashboard Calc'!$Q$15)</f>
        <v>60 days(30 days)</v>
      </c>
      <c r="Q15" s="146">
        <f>IF('Dashboard Calc'!$B$15="","",'Dashboard Calc'!$S$15)</f>
        <v>60</v>
      </c>
      <c r="R15" s="135" t="str">
        <f>IF('Dashboard Calc'!$B$15="","",'Dashboard Calc'!$T$15)</f>
        <v>31-60 days</v>
      </c>
      <c r="S15" s="131" t="str">
        <f>IF('Dashboard Calc'!$B$15="","",'Dashboard Calc'!$AA$15)</f>
        <v>Chennai</v>
      </c>
      <c r="T15" s="146">
        <f>IF('Dashboard Calc'!$B$15="","",'Dashboard Calc'!$AD$15)</f>
        <v>1</v>
      </c>
      <c r="U15" s="131" t="str">
        <f>IF('Dashboard Calc'!$B$15="","",'Dashboard Calc'!$AB$15)</f>
        <v>Career Growth</v>
      </c>
    </row>
    <row r="16" ht="16" customHeight="1" s="83">
      <c r="B16" s="137" t="str">
        <f>IF('Dashboard Calc'!$B$16="","",'Dashboard Calc'!$B$16)</f>
        <v>Suriya</v>
      </c>
      <c r="C16" s="138" t="str">
        <f>IF('Dashboard Calc'!$B$16="","",'Dashboard Calc'!$C$16)</f>
        <v>Ananthy</v>
      </c>
      <c r="D16" s="177">
        <f>IF('Dashboard Calc'!$B$16="","",'Dashboard Calc'!$D$16)</f>
        <v>46247</v>
      </c>
      <c r="E16" s="138" t="str">
        <f>IF('Dashboard Calc'!$B$16="","",'Dashboard Calc'!$F$16)</f>
        <v>Full Stack Developer</v>
      </c>
      <c r="F16" s="138" t="str">
        <f>IF('Dashboard Calc'!$B$16="","",'Dashboard Calc'!$H$16)</f>
        <v>Chennai</v>
      </c>
      <c r="G16" s="138" t="str">
        <f>IF('Dashboard Calc'!$B$16="","",'Dashboard Calc'!$I$16)</f>
        <v>Telephonic Screening</v>
      </c>
      <c r="H16" s="143">
        <f>IF('Dashboard Calc'!$B$16="","",'Dashboard Calc'!$J$16)</f>
        <v>1</v>
      </c>
      <c r="I16" s="138" t="str">
        <f>IF('Dashboard Calc'!$B$16="","",'Dashboard Calc'!$K$16)</f>
        <v>Already have an offer</v>
      </c>
      <c r="J16" s="144">
        <f>IF('Dashboard Calc'!$B$16="","",'Dashboard Calc'!$W$16)</f>
        <v>0</v>
      </c>
      <c r="K16" s="138">
        <f>IF('Dashboard Calc'!$B$16="","",'Dashboard Calc'!$Y$16)</f>
      </c>
      <c r="L16" s="138">
        <f>IF('Dashboard Calc'!$B$16="","",'Dashboard Calc'!$Z$16)</f>
      </c>
      <c r="M16" s="144">
        <f>IF('Dashboard Calc'!$B$16="","",'Dashboard Calc'!$M$16)</f>
        <v>0</v>
      </c>
      <c r="N16" s="144">
        <f>IF('Dashboard Calc'!$B$16="","",'Dashboard Calc'!$O$16)</f>
        <v>0</v>
      </c>
      <c r="O16" s="145">
        <f>IF('Dashboard Calc'!$B$16="","",'Dashboard Calc'!$P$16)</f>
        <v>0</v>
      </c>
      <c r="P16" s="138">
        <f>IF('Dashboard Calc'!$B$16="","",'Dashboard Calc'!$Q$16)</f>
      </c>
      <c r="Q16" s="143">
        <f>IF('Dashboard Calc'!$B$16="","",'Dashboard Calc'!$S$16)</f>
        <v>-1</v>
      </c>
      <c r="R16" s="142" t="str">
        <f>IF('Dashboard Calc'!$B$16="","",'Dashboard Calc'!$T$16)</f>
        <v>Not recorded</v>
      </c>
      <c r="S16" s="138">
        <f>IF('Dashboard Calc'!$B$16="","",'Dashboard Calc'!$AA$16)</f>
      </c>
      <c r="T16" s="143">
        <f>IF('Dashboard Calc'!$B$16="","",'Dashboard Calc'!$AD$16)</f>
        <v>1</v>
      </c>
      <c r="U16" s="138">
        <f>IF('Dashboard Calc'!$B$16="","",'Dashboard Calc'!$AB$16)</f>
      </c>
    </row>
    <row r="17" ht="16" customHeight="1" s="83">
      <c r="B17" s="129" t="str">
        <f>IF('Dashboard Calc'!$B$17="","",'Dashboard Calc'!$B$17)</f>
        <v>Prashanth S</v>
      </c>
      <c r="C17" s="131" t="str">
        <f>IF('Dashboard Calc'!$B$17="","",'Dashboard Calc'!$C$17)</f>
        <v>Ananthy</v>
      </c>
      <c r="D17" s="178">
        <f>IF('Dashboard Calc'!$B$17="","",'Dashboard Calc'!$D$17)</f>
        <v>46247</v>
      </c>
      <c r="E17" s="131" t="str">
        <f>IF('Dashboard Calc'!$B$17="","",'Dashboard Calc'!$F$17)</f>
        <v>Full Stack Developer</v>
      </c>
      <c r="F17" s="131" t="str">
        <f>IF('Dashboard Calc'!$B$17="","",'Dashboard Calc'!$H$17)</f>
        <v>Not recorded</v>
      </c>
      <c r="G17" s="131" t="str">
        <f>IF('Dashboard Calc'!$B$17="","",'Dashboard Calc'!$I$17)</f>
        <v>Telephonic Screening</v>
      </c>
      <c r="H17" s="146">
        <f>IF('Dashboard Calc'!$B$17="","",'Dashboard Calc'!$J$17)</f>
        <v>1</v>
      </c>
      <c r="I17" s="131" t="str">
        <f>IF('Dashboard Calc'!$B$17="","",'Dashboard Calc'!$K$17)</f>
        <v>No response dropped a message</v>
      </c>
      <c r="J17" s="147">
        <f>IF('Dashboard Calc'!$B$17="","",'Dashboard Calc'!$W$17)</f>
        <v>0</v>
      </c>
      <c r="K17" s="131">
        <f>IF('Dashboard Calc'!$B$17="","",'Dashboard Calc'!$Y$17)</f>
      </c>
      <c r="L17" s="131">
        <f>IF('Dashboard Calc'!$B$17="","",'Dashboard Calc'!$Z$17)</f>
      </c>
      <c r="M17" s="147">
        <f>IF('Dashboard Calc'!$B$17="","",'Dashboard Calc'!$M$17)</f>
        <v>0</v>
      </c>
      <c r="N17" s="147">
        <f>IF('Dashboard Calc'!$B$17="","",'Dashboard Calc'!$O$17)</f>
        <v>0</v>
      </c>
      <c r="O17" s="148">
        <f>IF('Dashboard Calc'!$B$17="","",'Dashboard Calc'!$P$17)</f>
        <v>0</v>
      </c>
      <c r="P17" s="131">
        <f>IF('Dashboard Calc'!$B$17="","",'Dashboard Calc'!$Q$17)</f>
      </c>
      <c r="Q17" s="146">
        <f>IF('Dashboard Calc'!$B$17="","",'Dashboard Calc'!$S$17)</f>
        <v>-1</v>
      </c>
      <c r="R17" s="135" t="str">
        <f>IF('Dashboard Calc'!$B$17="","",'Dashboard Calc'!$T$17)</f>
        <v>Not recorded</v>
      </c>
      <c r="S17" s="131">
        <f>IF('Dashboard Calc'!$B$17="","",'Dashboard Calc'!$AA$17)</f>
      </c>
      <c r="T17" s="146">
        <f>IF('Dashboard Calc'!$B$17="","",'Dashboard Calc'!$AD$17)</f>
        <v>0</v>
      </c>
      <c r="U17" s="131">
        <f>IF('Dashboard Calc'!$B$17="","",'Dashboard Calc'!$AB$17)</f>
      </c>
    </row>
    <row r="18" ht="16" customHeight="1" s="83">
      <c r="B18" s="137" t="str">
        <f>IF('Dashboard Calc'!$B$18="","",'Dashboard Calc'!$B$18)</f>
        <v>Jayaselva Manikannan</v>
      </c>
      <c r="C18" s="138" t="str">
        <f>IF('Dashboard Calc'!$B$18="","",'Dashboard Calc'!$C$18)</f>
        <v>Rujuta</v>
      </c>
      <c r="D18" s="177">
        <f>IF('Dashboard Calc'!$B$18="","",'Dashboard Calc'!$D$18)</f>
        <v>46247</v>
      </c>
      <c r="E18" s="138" t="str">
        <f>IF('Dashboard Calc'!$B$18="","",'Dashboard Calc'!$F$18)</f>
        <v>Full Stack Developer</v>
      </c>
      <c r="F18" s="138" t="str">
        <f>IF('Dashboard Calc'!$B$18="","",'Dashboard Calc'!$H$18)</f>
        <v>Chennai</v>
      </c>
      <c r="G18" s="138" t="str">
        <f>IF('Dashboard Calc'!$B$18="","",'Dashboard Calc'!$I$18)</f>
        <v>ZN Submission</v>
      </c>
      <c r="H18" s="143">
        <f>IF('Dashboard Calc'!$B$18="","",'Dashboard Calc'!$J$18)</f>
        <v>2</v>
      </c>
      <c r="I18" s="138" t="str">
        <f>IF('Dashboard Calc'!$B$18="","",'Dashboard Calc'!$K$18)</f>
        <v>Client Review</v>
      </c>
      <c r="J18" s="144">
        <f>IF('Dashboard Calc'!$B$18="","",'Dashboard Calc'!$W$18)</f>
        <v>5.6</v>
      </c>
      <c r="K18" s="138" t="str">
        <f>IF('Dashboard Calc'!$B$18="","",'Dashboard Calc'!$Y$18)</f>
        <v>Akrivia HCM</v>
      </c>
      <c r="L18" s="138" t="str">
        <f>IF('Dashboard Calc'!$B$18="","",'Dashboard Calc'!$Z$18)</f>
        <v>FullStack Developer</v>
      </c>
      <c r="M18" s="144">
        <f>IF('Dashboard Calc'!$B$18="","",'Dashboard Calc'!$M$18)</f>
        <v>17</v>
      </c>
      <c r="N18" s="144">
        <f>IF('Dashboard Calc'!$B$18="","",'Dashboard Calc'!$O$18)</f>
        <v>18</v>
      </c>
      <c r="O18" s="145">
        <f>IF('Dashboard Calc'!$B$18="","",'Dashboard Calc'!$P$18)</f>
        <v>0.05882352941176472</v>
      </c>
      <c r="P18" s="138" t="str">
        <f>IF('Dashboard Calc'!$B$18="","",'Dashboard Calc'!$Q$18)</f>
        <v>Immediate</v>
      </c>
      <c r="Q18" s="143">
        <f>IF('Dashboard Calc'!$B$18="","",'Dashboard Calc'!$S$18)</f>
        <v>0</v>
      </c>
      <c r="R18" s="142" t="str">
        <f>IF('Dashboard Calc'!$B$18="","",'Dashboard Calc'!$T$18)</f>
        <v>Immediate</v>
      </c>
      <c r="S18" s="138" t="str">
        <f>IF('Dashboard Calc'!$B$18="","",'Dashboard Calc'!$AA$18)</f>
        <v>Chennai</v>
      </c>
      <c r="T18" s="143">
        <f>IF('Dashboard Calc'!$B$18="","",'Dashboard Calc'!$AD$18)</f>
        <v>1</v>
      </c>
      <c r="U18" s="138" t="str">
        <f>IF('Dashboard Calc'!$B$18="","",'Dashboard Calc'!$AB$18)</f>
        <v>Career Growth</v>
      </c>
    </row>
    <row r="19" ht="16" customHeight="1" s="83">
      <c r="B19" s="129" t="str">
        <f>IF('Dashboard Calc'!$B$19="","",'Dashboard Calc'!$B$19)</f>
        <v>Rishi Kumar</v>
      </c>
      <c r="C19" s="131" t="str">
        <f>IF('Dashboard Calc'!$B$19="","",'Dashboard Calc'!$C$19)</f>
        <v>Ananthy</v>
      </c>
      <c r="D19" s="178">
        <f>IF('Dashboard Calc'!$B$19="","",'Dashboard Calc'!$D$19)</f>
        <v>46247</v>
      </c>
      <c r="E19" s="131" t="str">
        <f>IF('Dashboard Calc'!$B$19="","",'Dashboard Calc'!$F$19)</f>
        <v>Full Stack Developer</v>
      </c>
      <c r="F19" s="131" t="str">
        <f>IF('Dashboard Calc'!$B$19="","",'Dashboard Calc'!$H$19)</f>
        <v>Chennai</v>
      </c>
      <c r="G19" s="131" t="str">
        <f>IF('Dashboard Calc'!$B$19="","",'Dashboard Calc'!$I$19)</f>
        <v>Telephonic Screening</v>
      </c>
      <c r="H19" s="146">
        <f>IF('Dashboard Calc'!$B$19="","",'Dashboard Calc'!$J$19)</f>
        <v>1</v>
      </c>
      <c r="I19" s="131" t="str">
        <f>IF('Dashboard Calc'!$B$19="","",'Dashboard Calc'!$K$19)</f>
        <v>No response dropped a message</v>
      </c>
      <c r="J19" s="147">
        <f>IF('Dashboard Calc'!$B$19="","",'Dashboard Calc'!$W$19)</f>
        <v>0</v>
      </c>
      <c r="K19" s="131">
        <f>IF('Dashboard Calc'!$B$19="","",'Dashboard Calc'!$Y$19)</f>
      </c>
      <c r="L19" s="131">
        <f>IF('Dashboard Calc'!$B$19="","",'Dashboard Calc'!$Z$19)</f>
      </c>
      <c r="M19" s="147">
        <f>IF('Dashboard Calc'!$B$19="","",'Dashboard Calc'!$M$19)</f>
        <v>0</v>
      </c>
      <c r="N19" s="147">
        <f>IF('Dashboard Calc'!$B$19="","",'Dashboard Calc'!$O$19)</f>
        <v>0</v>
      </c>
      <c r="O19" s="148">
        <f>IF('Dashboard Calc'!$B$19="","",'Dashboard Calc'!$P$19)</f>
        <v>0</v>
      </c>
      <c r="P19" s="131">
        <f>IF('Dashboard Calc'!$B$19="","",'Dashboard Calc'!$Q$19)</f>
      </c>
      <c r="Q19" s="146">
        <f>IF('Dashboard Calc'!$B$19="","",'Dashboard Calc'!$S$19)</f>
        <v>-1</v>
      </c>
      <c r="R19" s="135" t="str">
        <f>IF('Dashboard Calc'!$B$19="","",'Dashboard Calc'!$T$19)</f>
        <v>Not recorded</v>
      </c>
      <c r="S19" s="131">
        <f>IF('Dashboard Calc'!$B$19="","",'Dashboard Calc'!$AA$19)</f>
      </c>
      <c r="T19" s="146">
        <f>IF('Dashboard Calc'!$B$19="","",'Dashboard Calc'!$AD$19)</f>
        <v>1</v>
      </c>
      <c r="U19" s="131">
        <f>IF('Dashboard Calc'!$B$19="","",'Dashboard Calc'!$AB$19)</f>
      </c>
    </row>
    <row r="20" ht="16" customHeight="1" s="83">
      <c r="B20" s="137" t="str">
        <f>IF('Dashboard Calc'!$B$20="","",'Dashboard Calc'!$B$20)</f>
        <v>Vinothkumar K</v>
      </c>
      <c r="C20" s="138" t="str">
        <f>IF('Dashboard Calc'!$B$20="","",'Dashboard Calc'!$C$20)</f>
        <v>Ananthy</v>
      </c>
      <c r="D20" s="177">
        <f>IF('Dashboard Calc'!$B$20="","",'Dashboard Calc'!$D$20)</f>
        <v>46247</v>
      </c>
      <c r="E20" s="138" t="str">
        <f>IF('Dashboard Calc'!$B$20="","",'Dashboard Calc'!$F$20)</f>
        <v>Full Stack Developer</v>
      </c>
      <c r="F20" s="138" t="str">
        <f>IF('Dashboard Calc'!$B$20="","",'Dashboard Calc'!$H$20)</f>
        <v>Chennai</v>
      </c>
      <c r="G20" s="138" t="str">
        <f>IF('Dashboard Calc'!$B$20="","",'Dashboard Calc'!$I$20)</f>
        <v>Telephonic Screening</v>
      </c>
      <c r="H20" s="143">
        <f>IF('Dashboard Calc'!$B$20="","",'Dashboard Calc'!$J$20)</f>
        <v>1</v>
      </c>
      <c r="I20" s="138" t="str">
        <f>IF('Dashboard Calc'!$B$20="","",'Dashboard Calc'!$K$20)</f>
        <v>No response dropped a message</v>
      </c>
      <c r="J20" s="144">
        <f>IF('Dashboard Calc'!$B$20="","",'Dashboard Calc'!$W$20)</f>
        <v>0</v>
      </c>
      <c r="K20" s="138">
        <f>IF('Dashboard Calc'!$B$20="","",'Dashboard Calc'!$Y$20)</f>
      </c>
      <c r="L20" s="138">
        <f>IF('Dashboard Calc'!$B$20="","",'Dashboard Calc'!$Z$20)</f>
      </c>
      <c r="M20" s="144">
        <f>IF('Dashboard Calc'!$B$20="","",'Dashboard Calc'!$M$20)</f>
        <v>0</v>
      </c>
      <c r="N20" s="144">
        <f>IF('Dashboard Calc'!$B$20="","",'Dashboard Calc'!$O$20)</f>
        <v>0</v>
      </c>
      <c r="O20" s="145">
        <f>IF('Dashboard Calc'!$B$20="","",'Dashboard Calc'!$P$20)</f>
        <v>0</v>
      </c>
      <c r="P20" s="138">
        <f>IF('Dashboard Calc'!$B$20="","",'Dashboard Calc'!$Q$20)</f>
      </c>
      <c r="Q20" s="143">
        <f>IF('Dashboard Calc'!$B$20="","",'Dashboard Calc'!$S$20)</f>
        <v>-1</v>
      </c>
      <c r="R20" s="142" t="str">
        <f>IF('Dashboard Calc'!$B$20="","",'Dashboard Calc'!$T$20)</f>
        <v>Not recorded</v>
      </c>
      <c r="S20" s="138">
        <f>IF('Dashboard Calc'!$B$20="","",'Dashboard Calc'!$AA$20)</f>
      </c>
      <c r="T20" s="143">
        <f>IF('Dashboard Calc'!$B$20="","",'Dashboard Calc'!$AD$20)</f>
        <v>1</v>
      </c>
      <c r="U20" s="138">
        <f>IF('Dashboard Calc'!$B$20="","",'Dashboard Calc'!$AB$20)</f>
      </c>
    </row>
    <row r="21" ht="16" customHeight="1" s="83">
      <c r="B21" s="129" t="str">
        <f>IF('Dashboard Calc'!$B$21="","",'Dashboard Calc'!$B$21)</f>
        <v>Yuva Charan Reddy Durgam</v>
      </c>
      <c r="C21" s="131" t="str">
        <f>IF('Dashboard Calc'!$B$21="","",'Dashboard Calc'!$C$21)</f>
        <v>Ananthy</v>
      </c>
      <c r="D21" s="178">
        <f>IF('Dashboard Calc'!$B$21="","",'Dashboard Calc'!$D$21)</f>
        <v>46247</v>
      </c>
      <c r="E21" s="131" t="str">
        <f>IF('Dashboard Calc'!$B$21="","",'Dashboard Calc'!$F$21)</f>
        <v>Full Stack Lead</v>
      </c>
      <c r="F21" s="131" t="str">
        <f>IF('Dashboard Calc'!$B$21="","",'Dashboard Calc'!$H$21)</f>
        <v>Tirupati</v>
      </c>
      <c r="G21" s="131" t="str">
        <f>IF('Dashboard Calc'!$B$21="","",'Dashboard Calc'!$I$21)</f>
        <v>ZN Submission</v>
      </c>
      <c r="H21" s="146">
        <f>IF('Dashboard Calc'!$B$21="","",'Dashboard Calc'!$J$21)</f>
        <v>2</v>
      </c>
      <c r="I21" s="131" t="str">
        <f>IF('Dashboard Calc'!$B$21="","",'Dashboard Calc'!$K$21)</f>
        <v>Client Review</v>
      </c>
      <c r="J21" s="147">
        <f>IF('Dashboard Calc'!$B$21="","",'Dashboard Calc'!$W$21)</f>
        <v>8.2</v>
      </c>
      <c r="K21" s="131" t="str">
        <f>IF('Dashboard Calc'!$B$21="","",'Dashboard Calc'!$Y$21)</f>
        <v>Virtusa</v>
      </c>
      <c r="L21" s="131" t="str">
        <f>IF('Dashboard Calc'!$B$21="","",'Dashboard Calc'!$Z$21)</f>
        <v>Lead Software Engineer</v>
      </c>
      <c r="M21" s="147">
        <f>IF('Dashboard Calc'!$B$21="","",'Dashboard Calc'!$M$21)</f>
        <v>20.5</v>
      </c>
      <c r="N21" s="147">
        <f>IF('Dashboard Calc'!$B$21="","",'Dashboard Calc'!$O$21)</f>
        <v>35</v>
      </c>
      <c r="O21" s="148">
        <f>IF('Dashboard Calc'!$B$21="","",'Dashboard Calc'!$P$21)</f>
        <v>0.7073170731707317</v>
      </c>
      <c r="P21" s="131" t="str">
        <f>IF('Dashboard Calc'!$B$21="","",'Dashboard Calc'!$Q$21)</f>
        <v>LWD - 18th Sep</v>
      </c>
      <c r="Q21" s="146">
        <f>IF('Dashboard Calc'!$B$21="","",'Dashboard Calc'!$S$21)</f>
        <v>-1</v>
      </c>
      <c r="R21" s="135" t="str">
        <f>IF('Dashboard Calc'!$B$21="","",'Dashboard Calc'!$T$21)</f>
        <v>Not recorded</v>
      </c>
      <c r="S21" s="131" t="str">
        <f>IF('Dashboard Calc'!$B$21="","",'Dashboard Calc'!$AA$21)</f>
        <v>Chennai</v>
      </c>
      <c r="T21" s="146">
        <f>IF('Dashboard Calc'!$B$21="","",'Dashboard Calc'!$AD$21)</f>
        <v>1</v>
      </c>
      <c r="U21" s="131" t="str">
        <f>IF('Dashboard Calc'!$B$21="","",'Dashboard Calc'!$AB$21)</f>
        <v>Career Growth</v>
      </c>
    </row>
    <row r="22" ht="16" customHeight="1" s="83">
      <c r="B22" s="137" t="str">
        <f>IF('Dashboard Calc'!$B$22="","",'Dashboard Calc'!$B$22)</f>
        <v>Srinivasan Balaji</v>
      </c>
      <c r="C22" s="138" t="str">
        <f>IF('Dashboard Calc'!$B$22="","",'Dashboard Calc'!$C$22)</f>
        <v>Kirthi</v>
      </c>
      <c r="D22" s="177">
        <f>IF('Dashboard Calc'!$B$22="","",'Dashboard Calc'!$D$22)</f>
        <v>46247</v>
      </c>
      <c r="E22" s="138" t="str">
        <f>IF('Dashboard Calc'!$B$22="","",'Dashboard Calc'!$F$22)</f>
        <v>Full Stack Developer</v>
      </c>
      <c r="F22" s="138" t="str">
        <f>IF('Dashboard Calc'!$B$22="","",'Dashboard Calc'!$H$22)</f>
        <v>Chennai</v>
      </c>
      <c r="G22" s="138" t="str">
        <f>IF('Dashboard Calc'!$B$22="","",'Dashboard Calc'!$I$22)</f>
        <v>Telephonic Screening</v>
      </c>
      <c r="H22" s="143">
        <f>IF('Dashboard Calc'!$B$22="","",'Dashboard Calc'!$J$22)</f>
        <v>1</v>
      </c>
      <c r="I22" s="138" t="str">
        <f>IF('Dashboard Calc'!$B$22="","",'Dashboard Calc'!$K$22)</f>
        <v>Jd sent, waiting for acknowlegment.</v>
      </c>
      <c r="J22" s="144">
        <f>IF('Dashboard Calc'!$B$22="","",'Dashboard Calc'!$W$22)</f>
        <v>4.1</v>
      </c>
      <c r="K22" s="138" t="str">
        <f>IF('Dashboard Calc'!$B$22="","",'Dashboard Calc'!$Y$22)</f>
        <v>IQVIA</v>
      </c>
      <c r="L22" s="138" t="str">
        <f>IF('Dashboard Calc'!$B$22="","",'Dashboard Calc'!$Z$22)</f>
        <v>Software Development Engineer 2 (SDE-2) ·</v>
      </c>
      <c r="M22" s="144">
        <f>IF('Dashboard Calc'!$B$22="","",'Dashboard Calc'!$M$22)</f>
        <v>11</v>
      </c>
      <c r="N22" s="144">
        <f>IF('Dashboard Calc'!$B$22="","",'Dashboard Calc'!$O$22)</f>
        <v>14</v>
      </c>
      <c r="O22" s="145">
        <f>IF('Dashboard Calc'!$B$22="","",'Dashboard Calc'!$P$22)</f>
        <v>0.2727272727272727</v>
      </c>
      <c r="P22" s="138" t="str">
        <f>IF('Dashboard Calc'!$B$22="","",'Dashboard Calc'!$Q$22)</f>
        <v>Serving notice (LWD- 6 Sept)</v>
      </c>
      <c r="Q22" s="143">
        <f>IF('Dashboard Calc'!$B$22="","",'Dashboard Calc'!$S$22)</f>
        <v>-1</v>
      </c>
      <c r="R22" s="142" t="str">
        <f>IF('Dashboard Calc'!$B$22="","",'Dashboard Calc'!$T$22)</f>
        <v>Not recorded</v>
      </c>
      <c r="S22" s="138" t="str">
        <f>IF('Dashboard Calc'!$B$22="","",'Dashboard Calc'!$AA$22)</f>
        <v>Chennai</v>
      </c>
      <c r="T22" s="143">
        <f>IF('Dashboard Calc'!$B$22="","",'Dashboard Calc'!$AD$22)</f>
        <v>1</v>
      </c>
      <c r="U22" s="138" t="str">
        <f>IF('Dashboard Calc'!$B$22="","",'Dashboard Calc'!$AB$22)</f>
        <v>Current Project coming to an end</v>
      </c>
    </row>
    <row r="23" ht="16" customHeight="1" s="83">
      <c r="B23" s="129" t="str">
        <f>IF('Dashboard Calc'!$B$23="","",'Dashboard Calc'!$B$23)</f>
        <v>Sivasakthi Paramasivam</v>
      </c>
      <c r="C23" s="131" t="str">
        <f>IF('Dashboard Calc'!$B$23="","",'Dashboard Calc'!$C$23)</f>
        <v>Kirthi</v>
      </c>
      <c r="D23" s="178">
        <f>IF('Dashboard Calc'!$B$23="","",'Dashboard Calc'!$D$23)</f>
        <v>46247</v>
      </c>
      <c r="E23" s="131" t="str">
        <f>IF('Dashboard Calc'!$B$23="","",'Dashboard Calc'!$F$23)</f>
        <v>Full Stack Developer</v>
      </c>
      <c r="F23" s="131" t="str">
        <f>IF('Dashboard Calc'!$B$23="","",'Dashboard Calc'!$H$23)</f>
        <v>Not recorded</v>
      </c>
      <c r="G23" s="131" t="str">
        <f>IF('Dashboard Calc'!$B$23="","",'Dashboard Calc'!$I$23)</f>
        <v>Telephonic Screening</v>
      </c>
      <c r="H23" s="146">
        <f>IF('Dashboard Calc'!$B$23="","",'Dashboard Calc'!$J$23)</f>
        <v>1</v>
      </c>
      <c r="I23" s="131">
        <f>IF('Dashboard Calc'!$B$23="","",'Dashboard Calc'!$K$23)</f>
      </c>
      <c r="J23" s="147">
        <f>IF('Dashboard Calc'!$B$23="","",'Dashboard Calc'!$W$23)</f>
        <v>0</v>
      </c>
      <c r="K23" s="131">
        <f>IF('Dashboard Calc'!$B$23="","",'Dashboard Calc'!$Y$23)</f>
      </c>
      <c r="L23" s="131">
        <f>IF('Dashboard Calc'!$B$23="","",'Dashboard Calc'!$Z$23)</f>
      </c>
      <c r="M23" s="147">
        <f>IF('Dashboard Calc'!$B$23="","",'Dashboard Calc'!$M$23)</f>
        <v>0</v>
      </c>
      <c r="N23" s="147">
        <f>IF('Dashboard Calc'!$B$23="","",'Dashboard Calc'!$O$23)</f>
        <v>0</v>
      </c>
      <c r="O23" s="148">
        <f>IF('Dashboard Calc'!$B$23="","",'Dashboard Calc'!$P$23)</f>
        <v>0</v>
      </c>
      <c r="P23" s="131">
        <f>IF('Dashboard Calc'!$B$23="","",'Dashboard Calc'!$Q$23)</f>
      </c>
      <c r="Q23" s="146">
        <f>IF('Dashboard Calc'!$B$23="","",'Dashboard Calc'!$S$23)</f>
        <v>-1</v>
      </c>
      <c r="R23" s="135" t="str">
        <f>IF('Dashboard Calc'!$B$23="","",'Dashboard Calc'!$T$23)</f>
        <v>Not recorded</v>
      </c>
      <c r="S23" s="131">
        <f>IF('Dashboard Calc'!$B$23="","",'Dashboard Calc'!$AA$23)</f>
      </c>
      <c r="T23" s="146">
        <f>IF('Dashboard Calc'!$B$23="","",'Dashboard Calc'!$AD$23)</f>
        <v>0</v>
      </c>
      <c r="U23" s="131">
        <f>IF('Dashboard Calc'!$B$23="","",'Dashboard Calc'!$AB$23)</f>
      </c>
    </row>
    <row r="24" ht="16" customHeight="1" s="83">
      <c r="B24" s="137" t="str">
        <f>IF('Dashboard Calc'!$B$24="","",'Dashboard Calc'!$B$24)</f>
        <v>Porselvan subramanian</v>
      </c>
      <c r="C24" s="138" t="str">
        <f>IF('Dashboard Calc'!$B$24="","",'Dashboard Calc'!$C$24)</f>
        <v>Vandana</v>
      </c>
      <c r="D24" s="177">
        <f>IF('Dashboard Calc'!$B$24="","",'Dashboard Calc'!$D$24)</f>
        <v>46247</v>
      </c>
      <c r="E24" s="138" t="str">
        <f>IF('Dashboard Calc'!$B$24="","",'Dashboard Calc'!$F$24)</f>
        <v>Full Stack Developer</v>
      </c>
      <c r="F24" s="138" t="str">
        <f>IF('Dashboard Calc'!$B$24="","",'Dashboard Calc'!$H$24)</f>
        <v>Chennai</v>
      </c>
      <c r="G24" s="138" t="str">
        <f>IF('Dashboard Calc'!$B$24="","",'Dashboard Calc'!$I$24)</f>
        <v>Telephonic Screening</v>
      </c>
      <c r="H24" s="143">
        <f>IF('Dashboard Calc'!$B$24="","",'Dashboard Calc'!$J$24)</f>
        <v>1</v>
      </c>
      <c r="I24" s="138" t="str">
        <f>IF('Dashboard Calc'!$B$24="","",'Dashboard Calc'!$K$24)</f>
        <v>JD sent awaiting response</v>
      </c>
      <c r="J24" s="144">
        <f>IF('Dashboard Calc'!$B$24="","",'Dashboard Calc'!$W$24)</f>
        <v>4.7</v>
      </c>
      <c r="K24" s="138" t="str">
        <f>IF('Dashboard Calc'!$B$24="","",'Dashboard Calc'!$Y$24)</f>
        <v>Altimetrik</v>
      </c>
      <c r="L24" s="138" t="str">
        <f>IF('Dashboard Calc'!$B$24="","",'Dashboard Calc'!$Z$24)</f>
        <v>Senior Software Engineer</v>
      </c>
      <c r="M24" s="144">
        <f>IF('Dashboard Calc'!$B$24="","",'Dashboard Calc'!$M$24)</f>
        <v>13.5</v>
      </c>
      <c r="N24" s="144">
        <f>IF('Dashboard Calc'!$B$24="","",'Dashboard Calc'!$O$24)</f>
        <v>22</v>
      </c>
      <c r="O24" s="145">
        <f>IF('Dashboard Calc'!$B$24="","",'Dashboard Calc'!$P$24)</f>
        <v>0.6296296296296295</v>
      </c>
      <c r="P24" s="138" t="str">
        <f>IF('Dashboard Calc'!$B$24="","",'Dashboard Calc'!$Q$24)</f>
        <v>60 days(30 days)</v>
      </c>
      <c r="Q24" s="143">
        <f>IF('Dashboard Calc'!$B$24="","",'Dashboard Calc'!$S$24)</f>
        <v>60</v>
      </c>
      <c r="R24" s="142" t="str">
        <f>IF('Dashboard Calc'!$B$24="","",'Dashboard Calc'!$T$24)</f>
        <v>31-60 days</v>
      </c>
      <c r="S24" s="138" t="str">
        <f>IF('Dashboard Calc'!$B$24="","",'Dashboard Calc'!$AA$24)</f>
        <v>Chennai</v>
      </c>
      <c r="T24" s="143">
        <f>IF('Dashboard Calc'!$B$24="","",'Dashboard Calc'!$AD$24)</f>
        <v>1</v>
      </c>
      <c r="U24" s="138" t="str">
        <f>IF('Dashboard Calc'!$B$24="","",'Dashboard Calc'!$AB$24)</f>
        <v>Career Growth</v>
      </c>
    </row>
    <row r="25" ht="16" customHeight="1" s="83">
      <c r="B25" s="129" t="str">
        <f>IF('Dashboard Calc'!$B$25="","",'Dashboard Calc'!$B$25)</f>
        <v>M.Navin Kumar</v>
      </c>
      <c r="C25" s="131" t="str">
        <f>IF('Dashboard Calc'!$B$25="","",'Dashboard Calc'!$C$25)</f>
        <v>Ananthy</v>
      </c>
      <c r="D25" s="178">
        <f>IF('Dashboard Calc'!$B$25="","",'Dashboard Calc'!$D$25)</f>
        <v>46247</v>
      </c>
      <c r="E25" s="131" t="str">
        <f>IF('Dashboard Calc'!$B$25="","",'Dashboard Calc'!$F$25)</f>
        <v>Full Stack Lead</v>
      </c>
      <c r="F25" s="131" t="str">
        <f>IF('Dashboard Calc'!$B$25="","",'Dashboard Calc'!$H$25)</f>
        <v>Coimbatore</v>
      </c>
      <c r="G25" s="131" t="str">
        <f>IF('Dashboard Calc'!$B$25="","",'Dashboard Calc'!$I$25)</f>
        <v>ZN Submission</v>
      </c>
      <c r="H25" s="146">
        <f>IF('Dashboard Calc'!$B$25="","",'Dashboard Calc'!$J$25)</f>
        <v>2</v>
      </c>
      <c r="I25" s="131" t="str">
        <f>IF('Dashboard Calc'!$B$25="","",'Dashboard Calc'!$K$25)</f>
        <v>Client Review</v>
      </c>
      <c r="J25" s="147">
        <f>IF('Dashboard Calc'!$B$25="","",'Dashboard Calc'!$W$25)</f>
        <v>9</v>
      </c>
      <c r="K25" s="131" t="str">
        <f>IF('Dashboard Calc'!$B$25="","",'Dashboard Calc'!$Y$25)</f>
        <v>Nagarro</v>
      </c>
      <c r="L25" s="131" t="str">
        <f>IF('Dashboard Calc'!$B$25="","",'Dashboard Calc'!$Z$25)</f>
        <v>Associate Staff Engineer</v>
      </c>
      <c r="M25" s="147">
        <f>IF('Dashboard Calc'!$B$25="","",'Dashboard Calc'!$M$25)</f>
        <v>32.8</v>
      </c>
      <c r="N25" s="147">
        <f>IF('Dashboard Calc'!$B$25="","",'Dashboard Calc'!$O$25)</f>
        <v>35</v>
      </c>
      <c r="O25" s="148">
        <f>IF('Dashboard Calc'!$B$25="","",'Dashboard Calc'!$P$25)</f>
        <v>0.06707317073170738</v>
      </c>
      <c r="P25" s="131" t="str">
        <f>IF('Dashboard Calc'!$B$25="","",'Dashboard Calc'!$Q$25)</f>
        <v>In bench - can join in 15 days</v>
      </c>
      <c r="Q25" s="146">
        <f>IF('Dashboard Calc'!$B$25="","",'Dashboard Calc'!$S$25)</f>
        <v>-1</v>
      </c>
      <c r="R25" s="135" t="str">
        <f>IF('Dashboard Calc'!$B$25="","",'Dashboard Calc'!$T$25)</f>
        <v>Not recorded</v>
      </c>
      <c r="S25" s="131" t="str">
        <f>IF('Dashboard Calc'!$B$25="","",'Dashboard Calc'!$AA$25)</f>
        <v>Chennai</v>
      </c>
      <c r="T25" s="146">
        <f>IF('Dashboard Calc'!$B$25="","",'Dashboard Calc'!$AD$25)</f>
        <v>1</v>
      </c>
      <c r="U25" s="131" t="str">
        <f>IF('Dashboard Calc'!$B$25="","",'Dashboard Calc'!$AB$25)</f>
        <v>Career Growth</v>
      </c>
    </row>
    <row r="26" ht="16" customHeight="1" s="83">
      <c r="B26" s="137" t="str">
        <f>IF('Dashboard Calc'!$B$26="","",'Dashboard Calc'!$B$26)</f>
        <v>Chanukya</v>
      </c>
      <c r="C26" s="138" t="str">
        <f>IF('Dashboard Calc'!$B$26="","",'Dashboard Calc'!$C$26)</f>
        <v>Vandana</v>
      </c>
      <c r="D26" s="177">
        <f>IF('Dashboard Calc'!$B$26="","",'Dashboard Calc'!$D$26)</f>
        <v>46247</v>
      </c>
      <c r="E26" s="138" t="str">
        <f>IF('Dashboard Calc'!$B$26="","",'Dashboard Calc'!$F$26)</f>
        <v>Full Stack Developer</v>
      </c>
      <c r="F26" s="138" t="str">
        <f>IF('Dashboard Calc'!$B$26="","",'Dashboard Calc'!$H$26)</f>
        <v>Bangalore</v>
      </c>
      <c r="G26" s="138" t="str">
        <f>IF('Dashboard Calc'!$B$26="","",'Dashboard Calc'!$I$26)</f>
        <v>Telephonic Screening</v>
      </c>
      <c r="H26" s="143">
        <f>IF('Dashboard Calc'!$B$26="","",'Dashboard Calc'!$J$26)</f>
        <v>1</v>
      </c>
      <c r="I26" s="138" t="str">
        <f>IF('Dashboard Calc'!$B$26="","",'Dashboard Calc'!$K$26)</f>
        <v>Not interested to relocate to chennai</v>
      </c>
      <c r="J26" s="144">
        <f>IF('Dashboard Calc'!$B$26="","",'Dashboard Calc'!$W$26)</f>
        <v>0</v>
      </c>
      <c r="K26" s="138">
        <f>IF('Dashboard Calc'!$B$26="","",'Dashboard Calc'!$Y$26)</f>
      </c>
      <c r="L26" s="138">
        <f>IF('Dashboard Calc'!$B$26="","",'Dashboard Calc'!$Z$26)</f>
      </c>
      <c r="M26" s="144">
        <f>IF('Dashboard Calc'!$B$26="","",'Dashboard Calc'!$M$26)</f>
        <v>0</v>
      </c>
      <c r="N26" s="144">
        <f>IF('Dashboard Calc'!$B$26="","",'Dashboard Calc'!$O$26)</f>
        <v>0</v>
      </c>
      <c r="O26" s="145">
        <f>IF('Dashboard Calc'!$B$26="","",'Dashboard Calc'!$P$26)</f>
        <v>0</v>
      </c>
      <c r="P26" s="138">
        <f>IF('Dashboard Calc'!$B$26="","",'Dashboard Calc'!$Q$26)</f>
      </c>
      <c r="Q26" s="143">
        <f>IF('Dashboard Calc'!$B$26="","",'Dashboard Calc'!$S$26)</f>
        <v>-1</v>
      </c>
      <c r="R26" s="142" t="str">
        <f>IF('Dashboard Calc'!$B$26="","",'Dashboard Calc'!$T$26)</f>
        <v>Not recorded</v>
      </c>
      <c r="S26" s="138">
        <f>IF('Dashboard Calc'!$B$26="","",'Dashboard Calc'!$AA$26)</f>
      </c>
      <c r="T26" s="143">
        <f>IF('Dashboard Calc'!$B$26="","",'Dashboard Calc'!$AD$26)</f>
        <v>0</v>
      </c>
      <c r="U26" s="138">
        <f>IF('Dashboard Calc'!$B$26="","",'Dashboard Calc'!$AB$26)</f>
      </c>
    </row>
    <row r="27" ht="16" customHeight="1" s="83">
      <c r="B27" s="129" t="str">
        <f>IF('Dashboard Calc'!$B$27="","",'Dashboard Calc'!$B$27)</f>
        <v>Pavan Kumar Reddy</v>
      </c>
      <c r="C27" s="131" t="str">
        <f>IF('Dashboard Calc'!$B$27="","",'Dashboard Calc'!$C$27)</f>
        <v>Sarath</v>
      </c>
      <c r="D27" s="178">
        <f>IF('Dashboard Calc'!$B$27="","",'Dashboard Calc'!$D$27)</f>
        <v>46247</v>
      </c>
      <c r="E27" s="131" t="str">
        <f>IF('Dashboard Calc'!$B$27="","",'Dashboard Calc'!$F$27)</f>
        <v>Full Stack Lead</v>
      </c>
      <c r="F27" s="131" t="str">
        <f>IF('Dashboard Calc'!$B$27="","",'Dashboard Calc'!$H$27)</f>
        <v>Bangalore</v>
      </c>
      <c r="G27" s="131" t="str">
        <f>IF('Dashboard Calc'!$B$27="","",'Dashboard Calc'!$I$27)</f>
        <v>ZN Submission</v>
      </c>
      <c r="H27" s="146">
        <f>IF('Dashboard Calc'!$B$27="","",'Dashboard Calc'!$J$27)</f>
        <v>2</v>
      </c>
      <c r="I27" s="131">
        <f>IF('Dashboard Calc'!$B$27="","",'Dashboard Calc'!$K$27)</f>
      </c>
      <c r="J27" s="147">
        <f>IF('Dashboard Calc'!$B$27="","",'Dashboard Calc'!$W$27)</f>
        <v>9</v>
      </c>
      <c r="K27" s="131" t="str">
        <f>IF('Dashboard Calc'!$B$27="","",'Dashboard Calc'!$Y$27)</f>
        <v>HCL</v>
      </c>
      <c r="L27" s="131" t="str">
        <f>IF('Dashboard Calc'!$B$27="","",'Dashboard Calc'!$Z$27)</f>
        <v>Sr. FullStack Developer</v>
      </c>
      <c r="M27" s="147">
        <f>IF('Dashboard Calc'!$B$27="","",'Dashboard Calc'!$M$27)</f>
        <v>19</v>
      </c>
      <c r="N27" s="147">
        <f>IF('Dashboard Calc'!$B$27="","",'Dashboard Calc'!$O$27)</f>
        <v>26</v>
      </c>
      <c r="O27" s="148">
        <f>IF('Dashboard Calc'!$B$27="","",'Dashboard Calc'!$P$27)</f>
        <v>0.368421052631579</v>
      </c>
      <c r="P27" s="131" t="str">
        <f>IF('Dashboard Calc'!$B$27="","",'Dashboard Calc'!$Q$27)</f>
        <v>45 Days(LWD 30th Sep)</v>
      </c>
      <c r="Q27" s="146">
        <f>IF('Dashboard Calc'!$B$27="","",'Dashboard Calc'!$S$27)</f>
        <v>45</v>
      </c>
      <c r="R27" s="135" t="str">
        <f>IF('Dashboard Calc'!$B$27="","",'Dashboard Calc'!$T$27)</f>
        <v>31-60 days</v>
      </c>
      <c r="S27" s="131" t="str">
        <f>IF('Dashboard Calc'!$B$27="","",'Dashboard Calc'!$AA$27)</f>
        <v>Chennai</v>
      </c>
      <c r="T27" s="146">
        <f>IF('Dashboard Calc'!$B$27="","",'Dashboard Calc'!$AD$27)</f>
        <v>1</v>
      </c>
      <c r="U27" s="131" t="str">
        <f>IF('Dashboard Calc'!$B$27="","",'Dashboard Calc'!$AB$27)</f>
        <v>Preferring Chennai</v>
      </c>
    </row>
    <row r="28" ht="16" customHeight="1" s="83">
      <c r="B28" s="137" t="str">
        <f>IF('Dashboard Calc'!$B$28="","",'Dashboard Calc'!$B$28)</f>
        <v>Jeevananthan</v>
      </c>
      <c r="C28" s="138" t="str">
        <f>IF('Dashboard Calc'!$B$28="","",'Dashboard Calc'!$C$28)</f>
        <v>Sarath</v>
      </c>
      <c r="D28" s="177">
        <f>IF('Dashboard Calc'!$B$28="","",'Dashboard Calc'!$D$28)</f>
        <v>46247</v>
      </c>
      <c r="E28" s="138" t="str">
        <f>IF('Dashboard Calc'!$B$28="","",'Dashboard Calc'!$F$28)</f>
        <v>Full Stack Developer</v>
      </c>
      <c r="F28" s="138" t="str">
        <f>IF('Dashboard Calc'!$B$28="","",'Dashboard Calc'!$H$28)</f>
        <v>Chennai</v>
      </c>
      <c r="G28" s="138" t="str">
        <f>IF('Dashboard Calc'!$B$28="","",'Dashboard Calc'!$I$28)</f>
        <v>ZN Submission</v>
      </c>
      <c r="H28" s="143">
        <f>IF('Dashboard Calc'!$B$28="","",'Dashboard Calc'!$J$28)</f>
        <v>2</v>
      </c>
      <c r="I28" s="138" t="str">
        <f>IF('Dashboard Calc'!$B$28="","",'Dashboard Calc'!$K$28)</f>
        <v>Client Review</v>
      </c>
      <c r="J28" s="144">
        <f>IF('Dashboard Calc'!$B$28="","",'Dashboard Calc'!$W$28)</f>
        <v>0</v>
      </c>
      <c r="K28" s="138">
        <f>IF('Dashboard Calc'!$B$28="","",'Dashboard Calc'!$Y$28)</f>
      </c>
      <c r="L28" s="138">
        <f>IF('Dashboard Calc'!$B$28="","",'Dashboard Calc'!$Z$28)</f>
      </c>
      <c r="M28" s="144">
        <f>IF('Dashboard Calc'!$B$28="","",'Dashboard Calc'!$M$28)</f>
        <v>0</v>
      </c>
      <c r="N28" s="144">
        <f>IF('Dashboard Calc'!$B$28="","",'Dashboard Calc'!$O$28)</f>
        <v>0</v>
      </c>
      <c r="O28" s="145">
        <f>IF('Dashboard Calc'!$B$28="","",'Dashboard Calc'!$P$28)</f>
        <v>0</v>
      </c>
      <c r="P28" s="138">
        <f>IF('Dashboard Calc'!$B$28="","",'Dashboard Calc'!$Q$28)</f>
      </c>
      <c r="Q28" s="143">
        <f>IF('Dashboard Calc'!$B$28="","",'Dashboard Calc'!$S$28)</f>
        <v>-1</v>
      </c>
      <c r="R28" s="142" t="str">
        <f>IF('Dashboard Calc'!$B$28="","",'Dashboard Calc'!$T$28)</f>
        <v>Not recorded</v>
      </c>
      <c r="S28" s="138">
        <f>IF('Dashboard Calc'!$B$28="","",'Dashboard Calc'!$AA$28)</f>
      </c>
      <c r="T28" s="143">
        <f>IF('Dashboard Calc'!$B$28="","",'Dashboard Calc'!$AD$28)</f>
        <v>1</v>
      </c>
      <c r="U28" s="138">
        <f>IF('Dashboard Calc'!$B$28="","",'Dashboard Calc'!$AB$28)</f>
      </c>
    </row>
    <row r="29" ht="16" customHeight="1" s="83">
      <c r="B29" s="129" t="str">
        <f>IF('Dashboard Calc'!$B$29="","",'Dashboard Calc'!$B$29)</f>
        <v>Jahnavi</v>
      </c>
      <c r="C29" s="131" t="str">
        <f>IF('Dashboard Calc'!$B$29="","",'Dashboard Calc'!$C$29)</f>
        <v>Vandana</v>
      </c>
      <c r="D29" s="178">
        <f>IF('Dashboard Calc'!$B$29="","",'Dashboard Calc'!$D$29)</f>
        <v>46247</v>
      </c>
      <c r="E29" s="131" t="str">
        <f>IF('Dashboard Calc'!$B$29="","",'Dashboard Calc'!$F$29)</f>
        <v>Full Stack Developer</v>
      </c>
      <c r="F29" s="131" t="str">
        <f>IF('Dashboard Calc'!$B$29="","",'Dashboard Calc'!$H$29)</f>
        <v>Ongole</v>
      </c>
      <c r="G29" s="131" t="str">
        <f>IF('Dashboard Calc'!$B$29="","",'Dashboard Calc'!$I$29)</f>
        <v>ZN Submission</v>
      </c>
      <c r="H29" s="146">
        <f>IF('Dashboard Calc'!$B$29="","",'Dashboard Calc'!$J$29)</f>
        <v>2</v>
      </c>
      <c r="I29" s="131" t="str">
        <f>IF('Dashboard Calc'!$B$29="","",'Dashboard Calc'!$K$29)</f>
        <v>JD sent awaiting for response</v>
      </c>
      <c r="J29" s="147">
        <f>IF('Dashboard Calc'!$B$29="","",'Dashboard Calc'!$W$29)</f>
        <v>5.1</v>
      </c>
      <c r="K29" s="131" t="str">
        <f>IF('Dashboard Calc'!$B$29="","",'Dashboard Calc'!$Y$29)</f>
        <v>Lloyds Technology Centre</v>
      </c>
      <c r="L29" s="131" t="str">
        <f>IF('Dashboard Calc'!$B$29="","",'Dashboard Calc'!$Z$29)</f>
        <v>Software Engineer</v>
      </c>
      <c r="M29" s="147">
        <f>IF('Dashboard Calc'!$B$29="","",'Dashboard Calc'!$M$29)</f>
        <v>18</v>
      </c>
      <c r="N29" s="147">
        <f>IF('Dashboard Calc'!$B$29="","",'Dashboard Calc'!$O$29)</f>
        <v>22</v>
      </c>
      <c r="O29" s="148">
        <f>IF('Dashboard Calc'!$B$29="","",'Dashboard Calc'!$P$29)</f>
        <v>0.22222222222222232</v>
      </c>
      <c r="P29" s="131" t="str">
        <f>IF('Dashboard Calc'!$B$29="","",'Dashboard Calc'!$Q$29)</f>
        <v>30 days(23 days )</v>
      </c>
      <c r="Q29" s="146">
        <f>IF('Dashboard Calc'!$B$29="","",'Dashboard Calc'!$S$29)</f>
        <v>30</v>
      </c>
      <c r="R29" s="135" t="str">
        <f>IF('Dashboard Calc'!$B$29="","",'Dashboard Calc'!$T$29)</f>
        <v>1-30 days</v>
      </c>
      <c r="S29" s="131" t="str">
        <f>IF('Dashboard Calc'!$B$29="","",'Dashboard Calc'!$AA$29)</f>
        <v>Chennai</v>
      </c>
      <c r="T29" s="146">
        <f>IF('Dashboard Calc'!$B$29="","",'Dashboard Calc'!$AD$29)</f>
        <v>1</v>
      </c>
      <c r="U29" s="131" t="str">
        <f>IF('Dashboard Calc'!$B$29="","",'Dashboard Calc'!$AB$29)</f>
        <v>Career Growth</v>
      </c>
    </row>
    <row r="30" ht="16" customHeight="1" s="83">
      <c r="B30" s="137" t="str">
        <f>IF('Dashboard Calc'!$B$30="","",'Dashboard Calc'!$B$30)</f>
        <v>Gokulakrishnan</v>
      </c>
      <c r="C30" s="138" t="str">
        <f>IF('Dashboard Calc'!$B$30="","",'Dashboard Calc'!$C$30)</f>
        <v>Vandana</v>
      </c>
      <c r="D30" s="177">
        <f>IF('Dashboard Calc'!$B$30="","",'Dashboard Calc'!$D$30)</f>
        <v>46247</v>
      </c>
      <c r="E30" s="138" t="str">
        <f>IF('Dashboard Calc'!$B$30="","",'Dashboard Calc'!$F$30)</f>
        <v>Full Stack Developer</v>
      </c>
      <c r="F30" s="138" t="str">
        <f>IF('Dashboard Calc'!$B$30="","",'Dashboard Calc'!$H$30)</f>
        <v>Salem</v>
      </c>
      <c r="G30" s="138" t="str">
        <f>IF('Dashboard Calc'!$B$30="","",'Dashboard Calc'!$I$30)</f>
        <v>ZN Submission</v>
      </c>
      <c r="H30" s="143">
        <f>IF('Dashboard Calc'!$B$30="","",'Dashboard Calc'!$J$30)</f>
        <v>2</v>
      </c>
      <c r="I30" s="138" t="str">
        <f>IF('Dashboard Calc'!$B$30="","",'Dashboard Calc'!$K$30)</f>
        <v>JD sent awaiting for response</v>
      </c>
      <c r="J30" s="144">
        <f>IF('Dashboard Calc'!$B$30="","",'Dashboard Calc'!$W$30)</f>
        <v>4.1</v>
      </c>
      <c r="K30" s="138" t="str">
        <f>IF('Dashboard Calc'!$B$30="","",'Dashboard Calc'!$Y$30)</f>
        <v>Bolzano Group</v>
      </c>
      <c r="L30" s="138" t="str">
        <f>IF('Dashboard Calc'!$B$30="","",'Dashboard Calc'!$Z$30)</f>
        <v>Full Stack Developer</v>
      </c>
      <c r="M30" s="144">
        <f>IF('Dashboard Calc'!$B$30="","",'Dashboard Calc'!$M$30)</f>
        <v>7</v>
      </c>
      <c r="N30" s="144">
        <f>IF('Dashboard Calc'!$B$30="","",'Dashboard Calc'!$O$30)</f>
        <v>14</v>
      </c>
      <c r="O30" s="145">
        <f>IF('Dashboard Calc'!$B$30="","",'Dashboard Calc'!$P$30)</f>
        <v>1</v>
      </c>
      <c r="P30" s="138" t="str">
        <f>IF('Dashboard Calc'!$B$30="","",'Dashboard Calc'!$Q$30)</f>
        <v>30 days</v>
      </c>
      <c r="Q30" s="143">
        <f>IF('Dashboard Calc'!$B$30="","",'Dashboard Calc'!$S$30)</f>
        <v>30</v>
      </c>
      <c r="R30" s="142" t="str">
        <f>IF('Dashboard Calc'!$B$30="","",'Dashboard Calc'!$T$30)</f>
        <v>1-30 days</v>
      </c>
      <c r="S30" s="138" t="str">
        <f>IF('Dashboard Calc'!$B$30="","",'Dashboard Calc'!$AA$30)</f>
        <v>Chennai</v>
      </c>
      <c r="T30" s="143">
        <f>IF('Dashboard Calc'!$B$30="","",'Dashboard Calc'!$AD$30)</f>
        <v>1</v>
      </c>
      <c r="U30" s="138" t="str">
        <f>IF('Dashboard Calc'!$B$30="","",'Dashboard Calc'!$AB$30)</f>
        <v>Career Growth</v>
      </c>
    </row>
    <row r="31" ht="16" customHeight="1" s="83">
      <c r="B31" s="129" t="str">
        <f>IF('Dashboard Calc'!$B$31="","",'Dashboard Calc'!$B$31)</f>
        <v>Sakthi Mukesh D</v>
      </c>
      <c r="C31" s="131" t="str">
        <f>IF('Dashboard Calc'!$B$31="","",'Dashboard Calc'!$C$31)</f>
        <v>Ananthy</v>
      </c>
      <c r="D31" s="178">
        <f>IF('Dashboard Calc'!$B$31="","",'Dashboard Calc'!$D$31)</f>
        <v>46247</v>
      </c>
      <c r="E31" s="131" t="str">
        <f>IF('Dashboard Calc'!$B$31="","",'Dashboard Calc'!$F$31)</f>
        <v>Full Stack Developer</v>
      </c>
      <c r="F31" s="131" t="str">
        <f>IF('Dashboard Calc'!$B$31="","",'Dashboard Calc'!$H$31)</f>
        <v>Chennai</v>
      </c>
      <c r="G31" s="131" t="str">
        <f>IF('Dashboard Calc'!$B$31="","",'Dashboard Calc'!$I$31)</f>
        <v>ZN Submission</v>
      </c>
      <c r="H31" s="146">
        <f>IF('Dashboard Calc'!$B$31="","",'Dashboard Calc'!$J$31)</f>
        <v>2</v>
      </c>
      <c r="I31" s="131" t="str">
        <f>IF('Dashboard Calc'!$B$31="","",'Dashboard Calc'!$K$31)</f>
        <v>Client Review</v>
      </c>
      <c r="J31" s="147">
        <f>IF('Dashboard Calc'!$B$31="","",'Dashboard Calc'!$W$31)</f>
        <v>3</v>
      </c>
      <c r="K31" s="131" t="str">
        <f>IF('Dashboard Calc'!$B$31="","",'Dashboard Calc'!$Y$31)</f>
        <v>Avasoft</v>
      </c>
      <c r="L31" s="131" t="str">
        <f>IF('Dashboard Calc'!$B$31="","",'Dashboard Calc'!$Z$31)</f>
        <v>Software Engineer - Fullstack</v>
      </c>
      <c r="M31" s="147">
        <f>IF('Dashboard Calc'!$B$31="","",'Dashboard Calc'!$M$31)</f>
        <v>12</v>
      </c>
      <c r="N31" s="147">
        <f>IF('Dashboard Calc'!$B$31="","",'Dashboard Calc'!$O$31)</f>
        <v>16</v>
      </c>
      <c r="O31" s="148">
        <f>IF('Dashboard Calc'!$B$31="","",'Dashboard Calc'!$P$31)</f>
        <v>0.33333333333333326</v>
      </c>
      <c r="P31" s="131" t="str">
        <f>IF('Dashboard Calc'!$B$31="","",'Dashboard Calc'!$Q$31)</f>
        <v>LWD - 21st Aug</v>
      </c>
      <c r="Q31" s="146">
        <f>IF('Dashboard Calc'!$B$31="","",'Dashboard Calc'!$S$31)</f>
        <v>-1</v>
      </c>
      <c r="R31" s="135" t="str">
        <f>IF('Dashboard Calc'!$B$31="","",'Dashboard Calc'!$T$31)</f>
        <v>Not recorded</v>
      </c>
      <c r="S31" s="131" t="str">
        <f>IF('Dashboard Calc'!$B$31="","",'Dashboard Calc'!$AA$31)</f>
        <v>Chennai</v>
      </c>
      <c r="T31" s="146">
        <f>IF('Dashboard Calc'!$B$31="","",'Dashboard Calc'!$AD$31)</f>
        <v>1</v>
      </c>
      <c r="U31" s="131" t="str">
        <f>IF('Dashboard Calc'!$B$31="","",'Dashboard Calc'!$AB$31)</f>
        <v>Career Growth</v>
      </c>
    </row>
    <row r="32" ht="16" customHeight="1" s="83">
      <c r="B32" s="137" t="str">
        <f>IF('Dashboard Calc'!$B$32="","",'Dashboard Calc'!$B$32)</f>
        <v>Kathiravan</v>
      </c>
      <c r="C32" s="138" t="str">
        <f>IF('Dashboard Calc'!$B$32="","",'Dashboard Calc'!$C$32)</f>
        <v>Sarath</v>
      </c>
      <c r="D32" s="177">
        <f>IF('Dashboard Calc'!$B$32="","",'Dashboard Calc'!$D$32)</f>
        <v>46247</v>
      </c>
      <c r="E32" s="138" t="str">
        <f>IF('Dashboard Calc'!$B$32="","",'Dashboard Calc'!$F$32)</f>
        <v>Full Stack Developer</v>
      </c>
      <c r="F32" s="138" t="str">
        <f>IF('Dashboard Calc'!$B$32="","",'Dashboard Calc'!$H$32)</f>
        <v>Chennai</v>
      </c>
      <c r="G32" s="138" t="str">
        <f>IF('Dashboard Calc'!$B$32="","",'Dashboard Calc'!$I$32)</f>
        <v>ZN Submission</v>
      </c>
      <c r="H32" s="143">
        <f>IF('Dashboard Calc'!$B$32="","",'Dashboard Calc'!$J$32)</f>
        <v>2</v>
      </c>
      <c r="I32" s="138" t="str">
        <f>IF('Dashboard Calc'!$B$32="","",'Dashboard Calc'!$K$32)</f>
        <v>Client Review</v>
      </c>
      <c r="J32" s="144">
        <f>IF('Dashboard Calc'!$B$32="","",'Dashboard Calc'!$W$32)</f>
        <v>3.5</v>
      </c>
      <c r="K32" s="138" t="str">
        <f>IF('Dashboard Calc'!$B$32="","",'Dashboard Calc'!$Y$32)</f>
        <v>Dextris Infoservice</v>
      </c>
      <c r="L32" s="138" t="str">
        <f>IF('Dashboard Calc'!$B$32="","",'Dashboard Calc'!$Z$32)</f>
        <v>Software Developer</v>
      </c>
      <c r="M32" s="144">
        <f>IF('Dashboard Calc'!$B$32="","",'Dashboard Calc'!$M$32)</f>
        <v>0</v>
      </c>
      <c r="N32" s="144">
        <f>IF('Dashboard Calc'!$B$32="","",'Dashboard Calc'!$O$32)</f>
        <v>0</v>
      </c>
      <c r="O32" s="145">
        <f>IF('Dashboard Calc'!$B$32="","",'Dashboard Calc'!$P$32)</f>
        <v>0</v>
      </c>
      <c r="P32" s="138">
        <f>IF('Dashboard Calc'!$B$32="","",'Dashboard Calc'!$Q$32)</f>
      </c>
      <c r="Q32" s="143">
        <f>IF('Dashboard Calc'!$B$32="","",'Dashboard Calc'!$S$32)</f>
        <v>-1</v>
      </c>
      <c r="R32" s="142" t="str">
        <f>IF('Dashboard Calc'!$B$32="","",'Dashboard Calc'!$T$32)</f>
        <v>Not recorded</v>
      </c>
      <c r="S32" s="138" t="str">
        <f>IF('Dashboard Calc'!$B$32="","",'Dashboard Calc'!$AA$32)</f>
        <v>Chennai</v>
      </c>
      <c r="T32" s="143">
        <f>IF('Dashboard Calc'!$B$32="","",'Dashboard Calc'!$AD$32)</f>
        <v>1</v>
      </c>
      <c r="U32" s="138" t="str">
        <f>IF('Dashboard Calc'!$B$32="","",'Dashboard Calc'!$AB$32)</f>
        <v>Current Project Ended</v>
      </c>
    </row>
    <row r="33" ht="16" customHeight="1" s="83">
      <c r="B33" s="129" t="str">
        <f>IF('Dashboard Calc'!$B$33="","",'Dashboard Calc'!$B$33)</f>
        <v>Anilbabu B</v>
      </c>
      <c r="C33" s="131" t="str">
        <f>IF('Dashboard Calc'!$B$33="","",'Dashboard Calc'!$C$33)</f>
        <v>Ananthy</v>
      </c>
      <c r="D33" s="178">
        <f>IF('Dashboard Calc'!$B$33="","",'Dashboard Calc'!$D$33)</f>
        <v>46247</v>
      </c>
      <c r="E33" s="131" t="str">
        <f>IF('Dashboard Calc'!$B$33="","",'Dashboard Calc'!$F$33)</f>
        <v>Full Stack Developer</v>
      </c>
      <c r="F33" s="131" t="str">
        <f>IF('Dashboard Calc'!$B$33="","",'Dashboard Calc'!$H$33)</f>
        <v>Chennai</v>
      </c>
      <c r="G33" s="131" t="str">
        <f>IF('Dashboard Calc'!$B$33="","",'Dashboard Calc'!$I$33)</f>
        <v>Telephonic Screening</v>
      </c>
      <c r="H33" s="146">
        <f>IF('Dashboard Calc'!$B$33="","",'Dashboard Calc'!$J$33)</f>
        <v>1</v>
      </c>
      <c r="I33" s="131" t="str">
        <f>IF('Dashboard Calc'!$B$33="","",'Dashboard Calc'!$K$33)</f>
        <v>Less react experience</v>
      </c>
      <c r="J33" s="147">
        <f>IF('Dashboard Calc'!$B$33="","",'Dashboard Calc'!$W$33)</f>
        <v>0</v>
      </c>
      <c r="K33" s="131">
        <f>IF('Dashboard Calc'!$B$33="","",'Dashboard Calc'!$Y$33)</f>
      </c>
      <c r="L33" s="131">
        <f>IF('Dashboard Calc'!$B$33="","",'Dashboard Calc'!$Z$33)</f>
      </c>
      <c r="M33" s="147">
        <f>IF('Dashboard Calc'!$B$33="","",'Dashboard Calc'!$M$33)</f>
        <v>0</v>
      </c>
      <c r="N33" s="147">
        <f>IF('Dashboard Calc'!$B$33="","",'Dashboard Calc'!$O$33)</f>
        <v>0</v>
      </c>
      <c r="O33" s="148">
        <f>IF('Dashboard Calc'!$B$33="","",'Dashboard Calc'!$P$33)</f>
        <v>0</v>
      </c>
      <c r="P33" s="131">
        <f>IF('Dashboard Calc'!$B$33="","",'Dashboard Calc'!$Q$33)</f>
      </c>
      <c r="Q33" s="146">
        <f>IF('Dashboard Calc'!$B$33="","",'Dashboard Calc'!$S$33)</f>
        <v>-1</v>
      </c>
      <c r="R33" s="135" t="str">
        <f>IF('Dashboard Calc'!$B$33="","",'Dashboard Calc'!$T$33)</f>
        <v>Not recorded</v>
      </c>
      <c r="S33" s="131">
        <f>IF('Dashboard Calc'!$B$33="","",'Dashboard Calc'!$AA$33)</f>
      </c>
      <c r="T33" s="146">
        <f>IF('Dashboard Calc'!$B$33="","",'Dashboard Calc'!$AD$33)</f>
        <v>1</v>
      </c>
      <c r="U33" s="131">
        <f>IF('Dashboard Calc'!$B$33="","",'Dashboard Calc'!$AB$33)</f>
      </c>
    </row>
    <row r="34" ht="16" customHeight="1" s="83">
      <c r="B34" s="137" t="str">
        <f>IF('Dashboard Calc'!$B$34="","",'Dashboard Calc'!$B$34)</f>
        <v>Duraipandi R</v>
      </c>
      <c r="C34" s="138" t="str">
        <f>IF('Dashboard Calc'!$B$34="","",'Dashboard Calc'!$C$34)</f>
        <v>Ananthy</v>
      </c>
      <c r="D34" s="177">
        <f>IF('Dashboard Calc'!$B$34="","",'Dashboard Calc'!$D$34)</f>
        <v>46247</v>
      </c>
      <c r="E34" s="138" t="str">
        <f>IF('Dashboard Calc'!$B$34="","",'Dashboard Calc'!$F$34)</f>
        <v>Full Stack Developer</v>
      </c>
      <c r="F34" s="138" t="str">
        <f>IF('Dashboard Calc'!$B$34="","",'Dashboard Calc'!$H$34)</f>
        <v>Chennai</v>
      </c>
      <c r="G34" s="138" t="str">
        <f>IF('Dashboard Calc'!$B$34="","",'Dashboard Calc'!$I$34)</f>
        <v>ZN Interview</v>
      </c>
      <c r="H34" s="143">
        <f>IF('Dashboard Calc'!$B$34="","",'Dashboard Calc'!$J$34)</f>
        <v>3</v>
      </c>
      <c r="I34" s="138" t="str">
        <f>IF('Dashboard Calc'!$B$34="","",'Dashboard Calc'!$K$34)</f>
        <v>L1 - 2nd Oct - 11am</v>
      </c>
      <c r="J34" s="144">
        <f>IF('Dashboard Calc'!$B$34="","",'Dashboard Calc'!$W$34)</f>
        <v>3</v>
      </c>
      <c r="K34" s="138" t="str">
        <f>IF('Dashboard Calc'!$B$34="","",'Dashboard Calc'!$Y$34)</f>
        <v>Sify Technologies Limited</v>
      </c>
      <c r="L34" s="138" t="str">
        <f>IF('Dashboard Calc'!$B$34="","",'Dashboard Calc'!$Z$34)</f>
        <v>Fullstack Developer</v>
      </c>
      <c r="M34" s="144">
        <f>IF('Dashboard Calc'!$B$34="","",'Dashboard Calc'!$M$34)</f>
        <v>8</v>
      </c>
      <c r="N34" s="144">
        <f>IF('Dashboard Calc'!$B$34="","",'Dashboard Calc'!$O$34)</f>
        <v>15</v>
      </c>
      <c r="O34" s="145">
        <f>IF('Dashboard Calc'!$B$34="","",'Dashboard Calc'!$P$34)</f>
        <v>0.875</v>
      </c>
      <c r="P34" s="138" t="str">
        <f>IF('Dashboard Calc'!$B$34="","",'Dashboard Calc'!$Q$34)</f>
        <v>LWD - 30th Sep</v>
      </c>
      <c r="Q34" s="143">
        <f>IF('Dashboard Calc'!$B$34="","",'Dashboard Calc'!$S$34)</f>
        <v>-1</v>
      </c>
      <c r="R34" s="142" t="str">
        <f>IF('Dashboard Calc'!$B$34="","",'Dashboard Calc'!$T$34)</f>
        <v>Not recorded</v>
      </c>
      <c r="S34" s="138" t="str">
        <f>IF('Dashboard Calc'!$B$34="","",'Dashboard Calc'!$AA$34)</f>
        <v>Chennai</v>
      </c>
      <c r="T34" s="143">
        <f>IF('Dashboard Calc'!$B$34="","",'Dashboard Calc'!$AD$34)</f>
        <v>1</v>
      </c>
      <c r="U34" s="138" t="str">
        <f>IF('Dashboard Calc'!$B$34="","",'Dashboard Calc'!$AB$34)</f>
        <v>Career Growth</v>
      </c>
    </row>
    <row r="35" ht="16" customHeight="1" s="83">
      <c r="B35" s="129" t="str">
        <f>IF('Dashboard Calc'!$B$35="","",'Dashboard Calc'!$B$35)</f>
        <v>Arunprakash S</v>
      </c>
      <c r="C35" s="131" t="str">
        <f>IF('Dashboard Calc'!$B$35="","",'Dashboard Calc'!$C$35)</f>
        <v>Ananthy</v>
      </c>
      <c r="D35" s="178">
        <f>IF('Dashboard Calc'!$B$35="","",'Dashboard Calc'!$D$35)</f>
        <v>46247</v>
      </c>
      <c r="E35" s="131" t="str">
        <f>IF('Dashboard Calc'!$B$35="","",'Dashboard Calc'!$F$35)</f>
        <v>Full Stack Developer</v>
      </c>
      <c r="F35" s="131" t="str">
        <f>IF('Dashboard Calc'!$B$35="","",'Dashboard Calc'!$H$35)</f>
        <v>Chennai</v>
      </c>
      <c r="G35" s="131" t="str">
        <f>IF('Dashboard Calc'!$B$35="","",'Dashboard Calc'!$I$35)</f>
        <v>Telephonic Screening</v>
      </c>
      <c r="H35" s="146">
        <f>IF('Dashboard Calc'!$B$35="","",'Dashboard Calc'!$J$35)</f>
        <v>1</v>
      </c>
      <c r="I35" s="131" t="str">
        <f>IF('Dashboard Calc'!$B$35="","",'Dashboard Calc'!$K$35)</f>
        <v>No response dropped a message</v>
      </c>
      <c r="J35" s="147">
        <f>IF('Dashboard Calc'!$B$35="","",'Dashboard Calc'!$W$35)</f>
        <v>0</v>
      </c>
      <c r="K35" s="131">
        <f>IF('Dashboard Calc'!$B$35="","",'Dashboard Calc'!$Y$35)</f>
      </c>
      <c r="L35" s="131">
        <f>IF('Dashboard Calc'!$B$35="","",'Dashboard Calc'!$Z$35)</f>
      </c>
      <c r="M35" s="147">
        <f>IF('Dashboard Calc'!$B$35="","",'Dashboard Calc'!$M$35)</f>
        <v>0</v>
      </c>
      <c r="N35" s="147">
        <f>IF('Dashboard Calc'!$B$35="","",'Dashboard Calc'!$O$35)</f>
        <v>0</v>
      </c>
      <c r="O35" s="148">
        <f>IF('Dashboard Calc'!$B$35="","",'Dashboard Calc'!$P$35)</f>
        <v>0</v>
      </c>
      <c r="P35" s="131">
        <f>IF('Dashboard Calc'!$B$35="","",'Dashboard Calc'!$Q$35)</f>
      </c>
      <c r="Q35" s="146">
        <f>IF('Dashboard Calc'!$B$35="","",'Dashboard Calc'!$S$35)</f>
        <v>-1</v>
      </c>
      <c r="R35" s="135" t="str">
        <f>IF('Dashboard Calc'!$B$35="","",'Dashboard Calc'!$T$35)</f>
        <v>Not recorded</v>
      </c>
      <c r="S35" s="131">
        <f>IF('Dashboard Calc'!$B$35="","",'Dashboard Calc'!$AA$35)</f>
      </c>
      <c r="T35" s="146">
        <f>IF('Dashboard Calc'!$B$35="","",'Dashboard Calc'!$AD$35)</f>
        <v>1</v>
      </c>
      <c r="U35" s="131">
        <f>IF('Dashboard Calc'!$B$35="","",'Dashboard Calc'!$AB$35)</f>
      </c>
    </row>
    <row r="36" ht="16" customHeight="1" s="83">
      <c r="B36" s="137" t="str">
        <f>IF('Dashboard Calc'!$B$36="","",'Dashboard Calc'!$B$36)</f>
        <v>G Santhosh</v>
      </c>
      <c r="C36" s="138" t="str">
        <f>IF('Dashboard Calc'!$B$36="","",'Dashboard Calc'!$C$36)</f>
        <v>Ananthy</v>
      </c>
      <c r="D36" s="177">
        <f>IF('Dashboard Calc'!$B$36="","",'Dashboard Calc'!$D$36)</f>
        <v>46247</v>
      </c>
      <c r="E36" s="138" t="str">
        <f>IF('Dashboard Calc'!$B$36="","",'Dashboard Calc'!$F$36)</f>
        <v>Full Stack Developer</v>
      </c>
      <c r="F36" s="138" t="str">
        <f>IF('Dashboard Calc'!$B$36="","",'Dashboard Calc'!$H$36)</f>
        <v>Coimbatore</v>
      </c>
      <c r="G36" s="138" t="str">
        <f>IF('Dashboard Calc'!$B$36="","",'Dashboard Calc'!$I$36)</f>
        <v>Telephonic Screening</v>
      </c>
      <c r="H36" s="143">
        <f>IF('Dashboard Calc'!$B$36="","",'Dashboard Calc'!$J$36)</f>
        <v>1</v>
      </c>
      <c r="I36" s="138" t="str">
        <f>IF('Dashboard Calc'!$B$36="","",'Dashboard Calc'!$K$36)</f>
        <v>Longer notice</v>
      </c>
      <c r="J36" s="144">
        <f>IF('Dashboard Calc'!$B$36="","",'Dashboard Calc'!$W$36)</f>
        <v>0</v>
      </c>
      <c r="K36" s="138">
        <f>IF('Dashboard Calc'!$B$36="","",'Dashboard Calc'!$Y$36)</f>
      </c>
      <c r="L36" s="138">
        <f>IF('Dashboard Calc'!$B$36="","",'Dashboard Calc'!$Z$36)</f>
      </c>
      <c r="M36" s="144">
        <f>IF('Dashboard Calc'!$B$36="","",'Dashboard Calc'!$M$36)</f>
        <v>9</v>
      </c>
      <c r="N36" s="144">
        <f>IF('Dashboard Calc'!$B$36="","",'Dashboard Calc'!$O$36)</f>
        <v>13</v>
      </c>
      <c r="O36" s="145">
        <f>IF('Dashboard Calc'!$B$36="","",'Dashboard Calc'!$P$36)</f>
        <v>0.4444444444444444</v>
      </c>
      <c r="P36" s="138" t="str">
        <f>IF('Dashboard Calc'!$B$36="","",'Dashboard Calc'!$Q$36)</f>
        <v>60 days</v>
      </c>
      <c r="Q36" s="143">
        <f>IF('Dashboard Calc'!$B$36="","",'Dashboard Calc'!$S$36)</f>
        <v>60</v>
      </c>
      <c r="R36" s="142" t="str">
        <f>IF('Dashboard Calc'!$B$36="","",'Dashboard Calc'!$T$36)</f>
        <v>31-60 days</v>
      </c>
      <c r="S36" s="138">
        <f>IF('Dashboard Calc'!$B$36="","",'Dashboard Calc'!$AA$36)</f>
      </c>
      <c r="T36" s="143">
        <f>IF('Dashboard Calc'!$B$36="","",'Dashboard Calc'!$AD$36)</f>
        <v>0</v>
      </c>
      <c r="U36" s="138">
        <f>IF('Dashboard Calc'!$B$36="","",'Dashboard Calc'!$AB$36)</f>
      </c>
    </row>
    <row r="37" ht="16" customHeight="1" s="83">
      <c r="B37" s="129" t="str">
        <f>IF('Dashboard Calc'!$B$37="","",'Dashboard Calc'!$B$37)</f>
        <v>syed sharukh</v>
      </c>
      <c r="C37" s="131" t="str">
        <f>IF('Dashboard Calc'!$B$37="","",'Dashboard Calc'!$C$37)</f>
        <v>Ananthy</v>
      </c>
      <c r="D37" s="178">
        <f>IF('Dashboard Calc'!$B$37="","",'Dashboard Calc'!$D$37)</f>
        <v>46247</v>
      </c>
      <c r="E37" s="131" t="str">
        <f>IF('Dashboard Calc'!$B$37="","",'Dashboard Calc'!$F$37)</f>
        <v>Full Stack Developer</v>
      </c>
      <c r="F37" s="131" t="str">
        <f>IF('Dashboard Calc'!$B$37="","",'Dashboard Calc'!$H$37)</f>
        <v>Chennai</v>
      </c>
      <c r="G37" s="131" t="str">
        <f>IF('Dashboard Calc'!$B$37="","",'Dashboard Calc'!$I$37)</f>
        <v>ZN Interview</v>
      </c>
      <c r="H37" s="146">
        <f>IF('Dashboard Calc'!$B$37="","",'Dashboard Calc'!$J$37)</f>
        <v>3</v>
      </c>
      <c r="I37" s="131" t="str">
        <f>IF('Dashboard Calc'!$B$37="","",'Dashboard Calc'!$K$37)</f>
        <v>L1 - 25th Aug</v>
      </c>
      <c r="J37" s="147">
        <f>IF('Dashboard Calc'!$B$37="","",'Dashboard Calc'!$W$37)</f>
        <v>3</v>
      </c>
      <c r="K37" s="131" t="str">
        <f>IF('Dashboard Calc'!$B$37="","",'Dashboard Calc'!$Y$37)</f>
        <v>Avasoft</v>
      </c>
      <c r="L37" s="131" t="str">
        <f>IF('Dashboard Calc'!$B$37="","",'Dashboard Calc'!$Z$37)</f>
        <v>Fullstack Software Engineer</v>
      </c>
      <c r="M37" s="147">
        <f>IF('Dashboard Calc'!$B$37="","",'Dashboard Calc'!$M$37)</f>
        <v>11</v>
      </c>
      <c r="N37" s="147">
        <f>IF('Dashboard Calc'!$B$37="","",'Dashboard Calc'!$O$37)</f>
        <v>16</v>
      </c>
      <c r="O37" s="148">
        <f>IF('Dashboard Calc'!$B$37="","",'Dashboard Calc'!$P$37)</f>
        <v>0.4545454545454546</v>
      </c>
      <c r="P37" s="131" t="str">
        <f>IF('Dashboard Calc'!$B$37="","",'Dashboard Calc'!$Q$37)</f>
        <v>LWD - 3rd Sep</v>
      </c>
      <c r="Q37" s="146">
        <f>IF('Dashboard Calc'!$B$37="","",'Dashboard Calc'!$S$37)</f>
        <v>-1</v>
      </c>
      <c r="R37" s="135" t="str">
        <f>IF('Dashboard Calc'!$B$37="","",'Dashboard Calc'!$T$37)</f>
        <v>Not recorded</v>
      </c>
      <c r="S37" s="131" t="str">
        <f>IF('Dashboard Calc'!$B$37="","",'Dashboard Calc'!$AA$37)</f>
        <v>Chennai</v>
      </c>
      <c r="T37" s="146">
        <f>IF('Dashboard Calc'!$B$37="","",'Dashboard Calc'!$AD$37)</f>
        <v>1</v>
      </c>
      <c r="U37" s="131" t="str">
        <f>IF('Dashboard Calc'!$B$37="","",'Dashboard Calc'!$AB$37)</f>
        <v>Career Growth</v>
      </c>
    </row>
    <row r="38" ht="16" customHeight="1" s="83">
      <c r="B38" s="137" t="str">
        <f>IF('Dashboard Calc'!$B$38="","",'Dashboard Calc'!$B$38)</f>
        <v>Gnanamani</v>
      </c>
      <c r="C38" s="138" t="str">
        <f>IF('Dashboard Calc'!$B$38="","",'Dashboard Calc'!$C$38)</f>
        <v>Vandana</v>
      </c>
      <c r="D38" s="177">
        <f>IF('Dashboard Calc'!$B$38="","",'Dashboard Calc'!$D$38)</f>
        <v>46247</v>
      </c>
      <c r="E38" s="138" t="str">
        <f>IF('Dashboard Calc'!$B$38="","",'Dashboard Calc'!$F$38)</f>
        <v>Full Stack Lead</v>
      </c>
      <c r="F38" s="138" t="str">
        <f>IF('Dashboard Calc'!$B$38="","",'Dashboard Calc'!$H$38)</f>
        <v>Puducherry</v>
      </c>
      <c r="G38" s="138" t="str">
        <f>IF('Dashboard Calc'!$B$38="","",'Dashboard Calc'!$I$38)</f>
        <v>ZN Submission</v>
      </c>
      <c r="H38" s="143">
        <f>IF('Dashboard Calc'!$B$38="","",'Dashboard Calc'!$J$38)</f>
        <v>2</v>
      </c>
      <c r="I38" s="138" t="str">
        <f>IF('Dashboard Calc'!$B$38="","",'Dashboard Calc'!$K$38)</f>
        <v>Jd sent awaiting for response</v>
      </c>
      <c r="J38" s="144">
        <f>IF('Dashboard Calc'!$B$38="","",'Dashboard Calc'!$W$38)</f>
        <v>9.6</v>
      </c>
      <c r="K38" s="138" t="str">
        <f>IF('Dashboard Calc'!$B$38="","",'Dashboard Calc'!$Y$38)</f>
        <v>Integra Software Services</v>
      </c>
      <c r="L38" s="138" t="str">
        <f>IF('Dashboard Calc'!$B$38="","",'Dashboard Calc'!$Z$38)</f>
        <v>Technical Lead</v>
      </c>
      <c r="M38" s="144">
        <f>IF('Dashboard Calc'!$B$38="","",'Dashboard Calc'!$M$38)</f>
        <v>29.95</v>
      </c>
      <c r="N38" s="144">
        <f>IF('Dashboard Calc'!$B$38="","",'Dashboard Calc'!$O$38)</f>
        <v>32</v>
      </c>
      <c r="O38" s="145">
        <f>IF('Dashboard Calc'!$B$38="","",'Dashboard Calc'!$P$38)</f>
        <v>0.06844741235392315</v>
      </c>
      <c r="P38" s="138" t="str">
        <f>IF('Dashboard Calc'!$B$38="","",'Dashboard Calc'!$Q$38)</f>
        <v>60 days(nego to 35 days)</v>
      </c>
      <c r="Q38" s="143">
        <f>IF('Dashboard Calc'!$B$38="","",'Dashboard Calc'!$S$38)</f>
        <v>60</v>
      </c>
      <c r="R38" s="142" t="str">
        <f>IF('Dashboard Calc'!$B$38="","",'Dashboard Calc'!$T$38)</f>
        <v>31-60 days</v>
      </c>
      <c r="S38" s="138" t="str">
        <f>IF('Dashboard Calc'!$B$38="","",'Dashboard Calc'!$AA$38)</f>
        <v>Chennai</v>
      </c>
      <c r="T38" s="143">
        <f>IF('Dashboard Calc'!$B$38="","",'Dashboard Calc'!$AD$38)</f>
        <v>1</v>
      </c>
      <c r="U38" s="138" t="str">
        <f>IF('Dashboard Calc'!$B$38="","",'Dashboard Calc'!$AB$38)</f>
        <v>Career Growth</v>
      </c>
    </row>
    <row r="39" ht="16" customHeight="1" s="83">
      <c r="B39" s="129" t="str">
        <f>IF('Dashboard Calc'!$B$39="","",'Dashboard Calc'!$B$39)</f>
        <v>Pandiyan k</v>
      </c>
      <c r="C39" s="131" t="str">
        <f>IF('Dashboard Calc'!$B$39="","",'Dashboard Calc'!$C$39)</f>
        <v>Ananthy</v>
      </c>
      <c r="D39" s="178">
        <f>IF('Dashboard Calc'!$B$39="","",'Dashboard Calc'!$D$39)</f>
        <v>46247</v>
      </c>
      <c r="E39" s="131" t="str">
        <f>IF('Dashboard Calc'!$B$39="","",'Dashboard Calc'!$F$39)</f>
        <v>Full Stack Developer</v>
      </c>
      <c r="F39" s="131" t="str">
        <f>IF('Dashboard Calc'!$B$39="","",'Dashboard Calc'!$H$39)</f>
        <v>Chennai</v>
      </c>
      <c r="G39" s="131" t="str">
        <f>IF('Dashboard Calc'!$B$39="","",'Dashboard Calc'!$I$39)</f>
        <v>Telephonic Screening</v>
      </c>
      <c r="H39" s="146">
        <f>IF('Dashboard Calc'!$B$39="","",'Dashboard Calc'!$J$39)</f>
        <v>1</v>
      </c>
      <c r="I39" s="131" t="str">
        <f>IF('Dashboard Calc'!$B$39="","",'Dashboard Calc'!$K$39)</f>
        <v>JD sent awaiting response</v>
      </c>
      <c r="J39" s="147">
        <f>IF('Dashboard Calc'!$B$39="","",'Dashboard Calc'!$W$39)</f>
        <v>0</v>
      </c>
      <c r="K39" s="131">
        <f>IF('Dashboard Calc'!$B$39="","",'Dashboard Calc'!$Y$39)</f>
      </c>
      <c r="L39" s="131">
        <f>IF('Dashboard Calc'!$B$39="","",'Dashboard Calc'!$Z$39)</f>
      </c>
      <c r="M39" s="147">
        <f>IF('Dashboard Calc'!$B$39="","",'Dashboard Calc'!$M$39)</f>
        <v>7</v>
      </c>
      <c r="N39" s="147">
        <f>IF('Dashboard Calc'!$B$39="","",'Dashboard Calc'!$O$39)</f>
        <v>11</v>
      </c>
      <c r="O39" s="148">
        <f>IF('Dashboard Calc'!$B$39="","",'Dashboard Calc'!$P$39)</f>
        <v>0.5714285714285714</v>
      </c>
      <c r="P39" s="131" t="str">
        <f>IF('Dashboard Calc'!$B$39="","",'Dashboard Calc'!$Q$39)</f>
        <v>60 days (nego to 45 days)</v>
      </c>
      <c r="Q39" s="146">
        <f>IF('Dashboard Calc'!$B$39="","",'Dashboard Calc'!$S$39)</f>
        <v>60</v>
      </c>
      <c r="R39" s="135" t="str">
        <f>IF('Dashboard Calc'!$B$39="","",'Dashboard Calc'!$T$39)</f>
        <v>31-60 days</v>
      </c>
      <c r="S39" s="131">
        <f>IF('Dashboard Calc'!$B$39="","",'Dashboard Calc'!$AA$39)</f>
      </c>
      <c r="T39" s="146">
        <f>IF('Dashboard Calc'!$B$39="","",'Dashboard Calc'!$AD$39)</f>
        <v>1</v>
      </c>
      <c r="U39" s="131">
        <f>IF('Dashboard Calc'!$B$39="","",'Dashboard Calc'!$AB$39)</f>
      </c>
    </row>
    <row r="40" ht="16" customHeight="1" s="83">
      <c r="B40" s="137" t="str">
        <f>IF('Dashboard Calc'!$B$40="","",'Dashboard Calc'!$B$40)</f>
        <v>Aakash Chandra</v>
      </c>
      <c r="C40" s="138" t="str">
        <f>IF('Dashboard Calc'!$B$40="","",'Dashboard Calc'!$C$40)</f>
        <v>Ananthy</v>
      </c>
      <c r="D40" s="177">
        <f>IF('Dashboard Calc'!$B$40="","",'Dashboard Calc'!$D$40)</f>
        <v>46247</v>
      </c>
      <c r="E40" s="138" t="str">
        <f>IF('Dashboard Calc'!$B$40="","",'Dashboard Calc'!$F$40)</f>
        <v>Full Stack Developer</v>
      </c>
      <c r="F40" s="138" t="str">
        <f>IF('Dashboard Calc'!$B$40="","",'Dashboard Calc'!$H$40)</f>
        <v>Chennai</v>
      </c>
      <c r="G40" s="138" t="str">
        <f>IF('Dashboard Calc'!$B$40="","",'Dashboard Calc'!$I$40)</f>
        <v>ZN Submission</v>
      </c>
      <c r="H40" s="143">
        <f>IF('Dashboard Calc'!$B$40="","",'Dashboard Calc'!$J$40)</f>
        <v>2</v>
      </c>
      <c r="I40" s="138" t="str">
        <f>IF('Dashboard Calc'!$B$40="","",'Dashboard Calc'!$K$40)</f>
        <v>Client Review</v>
      </c>
      <c r="J40" s="144">
        <f>IF('Dashboard Calc'!$B$40="","",'Dashboard Calc'!$W$40)</f>
        <v>3.2</v>
      </c>
      <c r="K40" s="138" t="str">
        <f>IF('Dashboard Calc'!$B$40="","",'Dashboard Calc'!$Y$40)</f>
        <v>NXGEN Technology AG</v>
      </c>
      <c r="L40" s="138" t="str">
        <f>IF('Dashboard Calc'!$B$40="","",'Dashboard Calc'!$Z$40)</f>
        <v>Full Stack Engineer</v>
      </c>
      <c r="M40" s="144">
        <f>IF('Dashboard Calc'!$B$40="","",'Dashboard Calc'!$M$40)</f>
        <v>8</v>
      </c>
      <c r="N40" s="144">
        <f>IF('Dashboard Calc'!$B$40="","",'Dashboard Calc'!$O$40)</f>
        <v>0</v>
      </c>
      <c r="O40" s="145">
        <f>IF('Dashboard Calc'!$B$40="","",'Dashboard Calc'!$P$40)</f>
        <v>0</v>
      </c>
      <c r="P40" s="138" t="str">
        <f>IF('Dashboard Calc'!$B$40="","",'Dashboard Calc'!$Q$40)</f>
        <v>30 days (nego to 20 day)</v>
      </c>
      <c r="Q40" s="143">
        <f>IF('Dashboard Calc'!$B$40="","",'Dashboard Calc'!$S$40)</f>
        <v>30</v>
      </c>
      <c r="R40" s="142" t="str">
        <f>IF('Dashboard Calc'!$B$40="","",'Dashboard Calc'!$T$40)</f>
        <v>1-30 days</v>
      </c>
      <c r="S40" s="138" t="str">
        <f>IF('Dashboard Calc'!$B$40="","",'Dashboard Calc'!$AA$40)</f>
        <v>Chennai</v>
      </c>
      <c r="T40" s="143">
        <f>IF('Dashboard Calc'!$B$40="","",'Dashboard Calc'!$AD$40)</f>
        <v>1</v>
      </c>
      <c r="U40" s="138" t="str">
        <f>IF('Dashboard Calc'!$B$40="","",'Dashboard Calc'!$AB$40)</f>
        <v>Career Growth</v>
      </c>
    </row>
    <row r="41" ht="16" customHeight="1" s="83">
      <c r="B41" s="129" t="str">
        <f>IF('Dashboard Calc'!$B$41="","",'Dashboard Calc'!$B$41)</f>
        <v>Yuvarani A</v>
      </c>
      <c r="C41" s="131" t="str">
        <f>IF('Dashboard Calc'!$B$41="","",'Dashboard Calc'!$C$41)</f>
        <v>Ananthy</v>
      </c>
      <c r="D41" s="178">
        <f>IF('Dashboard Calc'!$B$41="","",'Dashboard Calc'!$D$41)</f>
        <v>46248</v>
      </c>
      <c r="E41" s="131" t="str">
        <f>IF('Dashboard Calc'!$B$41="","",'Dashboard Calc'!$F$41)</f>
        <v>Full Stack Developer</v>
      </c>
      <c r="F41" s="131" t="str">
        <f>IF('Dashboard Calc'!$B$41="","",'Dashboard Calc'!$H$41)</f>
        <v>Chennai</v>
      </c>
      <c r="G41" s="131" t="str">
        <f>IF('Dashboard Calc'!$B$41="","",'Dashboard Calc'!$I$41)</f>
        <v>Telephonic Screening</v>
      </c>
      <c r="H41" s="146">
        <f>IF('Dashboard Calc'!$B$41="","",'Dashboard Calc'!$J$41)</f>
        <v>1</v>
      </c>
      <c r="I41" s="131" t="str">
        <f>IF('Dashboard Calc'!$B$41="","",'Dashboard Calc'!$K$41)</f>
        <v>JD sent awaiting response</v>
      </c>
      <c r="J41" s="147">
        <f>IF('Dashboard Calc'!$B$41="","",'Dashboard Calc'!$W$41)</f>
        <v>0</v>
      </c>
      <c r="K41" s="131">
        <f>IF('Dashboard Calc'!$B$41="","",'Dashboard Calc'!$Y$41)</f>
      </c>
      <c r="L41" s="131">
        <f>IF('Dashboard Calc'!$B$41="","",'Dashboard Calc'!$Z$41)</f>
      </c>
      <c r="M41" s="147">
        <f>IF('Dashboard Calc'!$B$41="","",'Dashboard Calc'!$M$41)</f>
        <v>20.43</v>
      </c>
      <c r="N41" s="147">
        <f>IF('Dashboard Calc'!$B$41="","",'Dashboard Calc'!$O$41)</f>
        <v>26</v>
      </c>
      <c r="O41" s="148">
        <f>IF('Dashboard Calc'!$B$41="","",'Dashboard Calc'!$P$41)</f>
        <v>0.27263827704356336</v>
      </c>
      <c r="P41" s="131" t="str">
        <f>IF('Dashboard Calc'!$B$41="","",'Dashboard Calc'!$Q$41)</f>
        <v>60 days (nego to 45 days)</v>
      </c>
      <c r="Q41" s="146">
        <f>IF('Dashboard Calc'!$B$41="","",'Dashboard Calc'!$S$41)</f>
        <v>60</v>
      </c>
      <c r="R41" s="135" t="str">
        <f>IF('Dashboard Calc'!$B$41="","",'Dashboard Calc'!$T$41)</f>
        <v>31-60 days</v>
      </c>
      <c r="S41" s="131">
        <f>IF('Dashboard Calc'!$B$41="","",'Dashboard Calc'!$AA$41)</f>
      </c>
      <c r="T41" s="146">
        <f>IF('Dashboard Calc'!$B$41="","",'Dashboard Calc'!$AD$41)</f>
        <v>1</v>
      </c>
      <c r="U41" s="131">
        <f>IF('Dashboard Calc'!$B$41="","",'Dashboard Calc'!$AB$41)</f>
      </c>
    </row>
    <row r="42" ht="16" customHeight="1" s="83">
      <c r="B42" s="137" t="str">
        <f>IF('Dashboard Calc'!$B$42="","",'Dashboard Calc'!$B$42)</f>
        <v>Santhosh S</v>
      </c>
      <c r="C42" s="138" t="str">
        <f>IF('Dashboard Calc'!$B$42="","",'Dashboard Calc'!$C$42)</f>
        <v>Kirthi</v>
      </c>
      <c r="D42" s="177">
        <f>IF('Dashboard Calc'!$B$42="","",'Dashboard Calc'!$D$42)</f>
        <v>46248</v>
      </c>
      <c r="E42" s="138" t="str">
        <f>IF('Dashboard Calc'!$B$42="","",'Dashboard Calc'!$F$42)</f>
        <v>Full Stack Developer</v>
      </c>
      <c r="F42" s="138" t="str">
        <f>IF('Dashboard Calc'!$B$42="","",'Dashboard Calc'!$H$42)</f>
        <v>Chennai</v>
      </c>
      <c r="G42" s="138" t="str">
        <f>IF('Dashboard Calc'!$B$42="","",'Dashboard Calc'!$I$42)</f>
        <v>Telephonic Screening</v>
      </c>
      <c r="H42" s="143">
        <f>IF('Dashboard Calc'!$B$42="","",'Dashboard Calc'!$J$42)</f>
        <v>1</v>
      </c>
      <c r="I42" s="138" t="str">
        <f>IF('Dashboard Calc'!$B$42="","",'Dashboard Calc'!$K$42)</f>
        <v>JD sent awaiting response</v>
      </c>
      <c r="J42" s="144">
        <f>IF('Dashboard Calc'!$B$42="","",'Dashboard Calc'!$W$42)</f>
        <v>4.11</v>
      </c>
      <c r="K42" s="138" t="str">
        <f>IF('Dashboard Calc'!$B$42="","",'Dashboard Calc'!$Y$42)</f>
        <v>Ideas2IT Technologies</v>
      </c>
      <c r="L42" s="138" t="str">
        <f>IF('Dashboard Calc'!$B$42="","",'Dashboard Calc'!$Z$42)</f>
        <v>Senior Software Engineer</v>
      </c>
      <c r="M42" s="144">
        <f>IF('Dashboard Calc'!$B$42="","",'Dashboard Calc'!$M$42)</f>
        <v>17.5</v>
      </c>
      <c r="N42" s="144">
        <f>IF('Dashboard Calc'!$B$42="","",'Dashboard Calc'!$O$42)</f>
        <v>24</v>
      </c>
      <c r="O42" s="145">
        <f>IF('Dashboard Calc'!$B$42="","",'Dashboard Calc'!$P$42)</f>
        <v>0.37142857142857144</v>
      </c>
      <c r="P42" s="138" t="str">
        <f>IF('Dashboard Calc'!$B$42="","",'Dashboard Calc'!$Q$42)</f>
        <v>30 days (negotiable)</v>
      </c>
      <c r="Q42" s="143">
        <f>IF('Dashboard Calc'!$B$42="","",'Dashboard Calc'!$S$42)</f>
        <v>30</v>
      </c>
      <c r="R42" s="142" t="str">
        <f>IF('Dashboard Calc'!$B$42="","",'Dashboard Calc'!$T$42)</f>
        <v>1-30 days</v>
      </c>
      <c r="S42" s="138" t="str">
        <f>IF('Dashboard Calc'!$B$42="","",'Dashboard Calc'!$AA$42)</f>
        <v>Chennai</v>
      </c>
      <c r="T42" s="143">
        <f>IF('Dashboard Calc'!$B$42="","",'Dashboard Calc'!$AD$42)</f>
        <v>1</v>
      </c>
      <c r="U42" s="138" t="str">
        <f>IF('Dashboard Calc'!$B$42="","",'Dashboard Calc'!$AB$42)</f>
        <v>Career Growth</v>
      </c>
    </row>
    <row r="43" ht="16" customHeight="1" s="83">
      <c r="B43" s="129" t="str">
        <f>IF('Dashboard Calc'!$B$43="","",'Dashboard Calc'!$B$43)</f>
        <v>YOESWIN SELVARAJ E</v>
      </c>
      <c r="C43" s="131" t="str">
        <f>IF('Dashboard Calc'!$B$43="","",'Dashboard Calc'!$C$43)</f>
        <v>Kirthi</v>
      </c>
      <c r="D43" s="178">
        <f>IF('Dashboard Calc'!$B$43="","",'Dashboard Calc'!$D$43)</f>
        <v>46248</v>
      </c>
      <c r="E43" s="131">
        <f>IF('Dashboard Calc'!$B$43="","",'Dashboard Calc'!$F$43)</f>
      </c>
      <c r="F43" s="131" t="str">
        <f>IF('Dashboard Calc'!$B$43="","",'Dashboard Calc'!$H$43)</f>
        <v>Not recorded</v>
      </c>
      <c r="G43" s="131" t="str">
        <f>IF('Dashboard Calc'!$B$43="","",'Dashboard Calc'!$I$43)</f>
        <v>Telephonic Screening</v>
      </c>
      <c r="H43" s="146">
        <f>IF('Dashboard Calc'!$B$43="","",'Dashboard Calc'!$J$43)</f>
        <v>1</v>
      </c>
      <c r="I43" s="131">
        <f>IF('Dashboard Calc'!$B$43="","",'Dashboard Calc'!$K$43)</f>
      </c>
      <c r="J43" s="147">
        <f>IF('Dashboard Calc'!$B$43="","",'Dashboard Calc'!$W$43)</f>
        <v>0</v>
      </c>
      <c r="K43" s="131">
        <f>IF('Dashboard Calc'!$B$43="","",'Dashboard Calc'!$Y$43)</f>
      </c>
      <c r="L43" s="131">
        <f>IF('Dashboard Calc'!$B$43="","",'Dashboard Calc'!$Z$43)</f>
      </c>
      <c r="M43" s="147">
        <f>IF('Dashboard Calc'!$B$43="","",'Dashboard Calc'!$M$43)</f>
        <v>0</v>
      </c>
      <c r="N43" s="147">
        <f>IF('Dashboard Calc'!$B$43="","",'Dashboard Calc'!$O$43)</f>
        <v>0</v>
      </c>
      <c r="O43" s="148">
        <f>IF('Dashboard Calc'!$B$43="","",'Dashboard Calc'!$P$43)</f>
        <v>0</v>
      </c>
      <c r="P43" s="131">
        <f>IF('Dashboard Calc'!$B$43="","",'Dashboard Calc'!$Q$43)</f>
      </c>
      <c r="Q43" s="146">
        <f>IF('Dashboard Calc'!$B$43="","",'Dashboard Calc'!$S$43)</f>
        <v>-1</v>
      </c>
      <c r="R43" s="135" t="str">
        <f>IF('Dashboard Calc'!$B$43="","",'Dashboard Calc'!$T$43)</f>
        <v>Not recorded</v>
      </c>
      <c r="S43" s="131">
        <f>IF('Dashboard Calc'!$B$43="","",'Dashboard Calc'!$AA$43)</f>
      </c>
      <c r="T43" s="146">
        <f>IF('Dashboard Calc'!$B$43="","",'Dashboard Calc'!$AD$43)</f>
        <v>0</v>
      </c>
      <c r="U43" s="131">
        <f>IF('Dashboard Calc'!$B$43="","",'Dashboard Calc'!$AB$43)</f>
      </c>
    </row>
    <row r="44" ht="16" customHeight="1" s="83">
      <c r="B44" s="137" t="str">
        <f>IF('Dashboard Calc'!$B$44="","",'Dashboard Calc'!$B$44)</f>
        <v>Richard J</v>
      </c>
      <c r="C44" s="138" t="str">
        <f>IF('Dashboard Calc'!$B$44="","",'Dashboard Calc'!$C$44)</f>
        <v>Kirthi</v>
      </c>
      <c r="D44" s="177">
        <f>IF('Dashboard Calc'!$B$44="","",'Dashboard Calc'!$D$44)</f>
        <v>46248</v>
      </c>
      <c r="E44" s="138" t="str">
        <f>IF('Dashboard Calc'!$B$44="","",'Dashboard Calc'!$F$44)</f>
        <v>Full Stack Developer</v>
      </c>
      <c r="F44" s="138" t="str">
        <f>IF('Dashboard Calc'!$B$44="","",'Dashboard Calc'!$H$44)</f>
        <v>Chennai</v>
      </c>
      <c r="G44" s="138" t="str">
        <f>IF('Dashboard Calc'!$B$44="","",'Dashboard Calc'!$I$44)</f>
        <v>Telephonic Screening</v>
      </c>
      <c r="H44" s="143">
        <f>IF('Dashboard Calc'!$B$44="","",'Dashboard Calc'!$J$44)</f>
        <v>1</v>
      </c>
      <c r="I44" s="138" t="str">
        <f>IF('Dashboard Calc'!$B$44="","",'Dashboard Calc'!$K$44)</f>
        <v>JD sent awaiting response</v>
      </c>
      <c r="J44" s="144">
        <f>IF('Dashboard Calc'!$B$44="","",'Dashboard Calc'!$W$44)</f>
        <v>0</v>
      </c>
      <c r="K44" s="138">
        <f>IF('Dashboard Calc'!$B$44="","",'Dashboard Calc'!$Y$44)</f>
      </c>
      <c r="L44" s="138">
        <f>IF('Dashboard Calc'!$B$44="","",'Dashboard Calc'!$Z$44)</f>
      </c>
      <c r="M44" s="144">
        <f>IF('Dashboard Calc'!$B$44="","",'Dashboard Calc'!$M$44)</f>
        <v>15.72</v>
      </c>
      <c r="N44" s="144">
        <f>IF('Dashboard Calc'!$B$44="","",'Dashboard Calc'!$O$44)</f>
        <v>19</v>
      </c>
      <c r="O44" s="145">
        <f>IF('Dashboard Calc'!$B$44="","",'Dashboard Calc'!$P$44)</f>
        <v>0.20865139949109412</v>
      </c>
      <c r="P44" s="138" t="str">
        <f>IF('Dashboard Calc'!$B$44="","",'Dashboard Calc'!$Q$44)</f>
        <v>Immediate joiner</v>
      </c>
      <c r="Q44" s="143">
        <f>IF('Dashboard Calc'!$B$44="","",'Dashboard Calc'!$S$44)</f>
        <v>0</v>
      </c>
      <c r="R44" s="142" t="str">
        <f>IF('Dashboard Calc'!$B$44="","",'Dashboard Calc'!$T$44)</f>
        <v>Immediate</v>
      </c>
      <c r="S44" s="138">
        <f>IF('Dashboard Calc'!$B$44="","",'Dashboard Calc'!$AA$44)</f>
      </c>
      <c r="T44" s="143">
        <f>IF('Dashboard Calc'!$B$44="","",'Dashboard Calc'!$AD$44)</f>
        <v>1</v>
      </c>
      <c r="U44" s="138">
        <f>IF('Dashboard Calc'!$B$44="","",'Dashboard Calc'!$AB$44)</f>
      </c>
    </row>
    <row r="45" ht="16" customHeight="1" s="83">
      <c r="B45" s="129" t="str">
        <f>IF('Dashboard Calc'!$B$45="","",'Dashboard Calc'!$B$45)</f>
        <v>PRABURAJ P</v>
      </c>
      <c r="C45" s="131" t="str">
        <f>IF('Dashboard Calc'!$B$45="","",'Dashboard Calc'!$C$45)</f>
        <v>Kirthi</v>
      </c>
      <c r="D45" s="178">
        <f>IF('Dashboard Calc'!$B$45="","",'Dashboard Calc'!$D$45)</f>
        <v>46248</v>
      </c>
      <c r="E45" s="131">
        <f>IF('Dashboard Calc'!$B$45="","",'Dashboard Calc'!$F$45)</f>
      </c>
      <c r="F45" s="131" t="str">
        <f>IF('Dashboard Calc'!$B$45="","",'Dashboard Calc'!$H$45)</f>
        <v>Not recorded</v>
      </c>
      <c r="G45" s="131" t="str">
        <f>IF('Dashboard Calc'!$B$45="","",'Dashboard Calc'!$I$45)</f>
        <v>Telephonic Screening</v>
      </c>
      <c r="H45" s="146">
        <f>IF('Dashboard Calc'!$B$45="","",'Dashboard Calc'!$J$45)</f>
        <v>1</v>
      </c>
      <c r="I45" s="131">
        <f>IF('Dashboard Calc'!$B$45="","",'Dashboard Calc'!$K$45)</f>
      </c>
      <c r="J45" s="147">
        <f>IF('Dashboard Calc'!$B$45="","",'Dashboard Calc'!$W$45)</f>
        <v>0</v>
      </c>
      <c r="K45" s="131">
        <f>IF('Dashboard Calc'!$B$45="","",'Dashboard Calc'!$Y$45)</f>
      </c>
      <c r="L45" s="131">
        <f>IF('Dashboard Calc'!$B$45="","",'Dashboard Calc'!$Z$45)</f>
      </c>
      <c r="M45" s="147">
        <f>IF('Dashboard Calc'!$B$45="","",'Dashboard Calc'!$M$45)</f>
        <v>0</v>
      </c>
      <c r="N45" s="147">
        <f>IF('Dashboard Calc'!$B$45="","",'Dashboard Calc'!$O$45)</f>
        <v>0</v>
      </c>
      <c r="O45" s="148">
        <f>IF('Dashboard Calc'!$B$45="","",'Dashboard Calc'!$P$45)</f>
        <v>0</v>
      </c>
      <c r="P45" s="131">
        <f>IF('Dashboard Calc'!$B$45="","",'Dashboard Calc'!$Q$45)</f>
      </c>
      <c r="Q45" s="146">
        <f>IF('Dashboard Calc'!$B$45="","",'Dashboard Calc'!$S$45)</f>
        <v>-1</v>
      </c>
      <c r="R45" s="135" t="str">
        <f>IF('Dashboard Calc'!$B$45="","",'Dashboard Calc'!$T$45)</f>
        <v>Not recorded</v>
      </c>
      <c r="S45" s="131">
        <f>IF('Dashboard Calc'!$B$45="","",'Dashboard Calc'!$AA$45)</f>
      </c>
      <c r="T45" s="146">
        <f>IF('Dashboard Calc'!$B$45="","",'Dashboard Calc'!$AD$45)</f>
        <v>0</v>
      </c>
      <c r="U45" s="131">
        <f>IF('Dashboard Calc'!$B$45="","",'Dashboard Calc'!$AB$45)</f>
      </c>
    </row>
    <row r="46" ht="16" customHeight="1" s="83">
      <c r="B46" s="137" t="str">
        <f>IF('Dashboard Calc'!$B$46="","",'Dashboard Calc'!$B$46)</f>
        <v>VIDHYA K</v>
      </c>
      <c r="C46" s="138" t="str">
        <f>IF('Dashboard Calc'!$B$46="","",'Dashboard Calc'!$C$46)</f>
        <v>Kirthi</v>
      </c>
      <c r="D46" s="177">
        <f>IF('Dashboard Calc'!$B$46="","",'Dashboard Calc'!$D$46)</f>
        <v>46248</v>
      </c>
      <c r="E46" s="138" t="str">
        <f>IF('Dashboard Calc'!$B$46="","",'Dashboard Calc'!$F$46)</f>
        <v>Full Stack Lead</v>
      </c>
      <c r="F46" s="138" t="str">
        <f>IF('Dashboard Calc'!$B$46="","",'Dashboard Calc'!$H$46)</f>
        <v>Chennai</v>
      </c>
      <c r="G46" s="138" t="str">
        <f>IF('Dashboard Calc'!$B$46="","",'Dashboard Calc'!$I$46)</f>
        <v>Telephonic Screening</v>
      </c>
      <c r="H46" s="143">
        <f>IF('Dashboard Calc'!$B$46="","",'Dashboard Calc'!$J$46)</f>
        <v>1</v>
      </c>
      <c r="I46" s="138" t="str">
        <f>IF('Dashboard Calc'!$B$46="","",'Dashboard Calc'!$K$46)</f>
        <v>JD sent awaiting response</v>
      </c>
      <c r="J46" s="144">
        <f>IF('Dashboard Calc'!$B$46="","",'Dashboard Calc'!$W$46)</f>
        <v>0</v>
      </c>
      <c r="K46" s="138">
        <f>IF('Dashboard Calc'!$B$46="","",'Dashboard Calc'!$Y$46)</f>
      </c>
      <c r="L46" s="138">
        <f>IF('Dashboard Calc'!$B$46="","",'Dashboard Calc'!$Z$46)</f>
      </c>
      <c r="M46" s="144">
        <f>IF('Dashboard Calc'!$B$46="","",'Dashboard Calc'!$M$46)</f>
        <v>23</v>
      </c>
      <c r="N46" s="144">
        <f>IF('Dashboard Calc'!$B$46="","",'Dashboard Calc'!$O$46)</f>
        <v>32</v>
      </c>
      <c r="O46" s="145">
        <f>IF('Dashboard Calc'!$B$46="","",'Dashboard Calc'!$P$46)</f>
        <v>0.3913043478260869</v>
      </c>
      <c r="P46" s="138" t="str">
        <f>IF('Dashboard Calc'!$B$46="","",'Dashboard Calc'!$Q$46)</f>
        <v>Serving Notice (LWD-Oct 20)</v>
      </c>
      <c r="Q46" s="143">
        <f>IF('Dashboard Calc'!$B$46="","",'Dashboard Calc'!$S$46)</f>
        <v>-1</v>
      </c>
      <c r="R46" s="142" t="str">
        <f>IF('Dashboard Calc'!$B$46="","",'Dashboard Calc'!$T$46)</f>
        <v>Not recorded</v>
      </c>
      <c r="S46" s="138">
        <f>IF('Dashboard Calc'!$B$46="","",'Dashboard Calc'!$AA$46)</f>
      </c>
      <c r="T46" s="143">
        <f>IF('Dashboard Calc'!$B$46="","",'Dashboard Calc'!$AD$46)</f>
        <v>1</v>
      </c>
      <c r="U46" s="138">
        <f>IF('Dashboard Calc'!$B$46="","",'Dashboard Calc'!$AB$46)</f>
      </c>
    </row>
    <row r="47" ht="16" customHeight="1" s="83">
      <c r="B47" s="129" t="str">
        <f>IF('Dashboard Calc'!$B$47="","",'Dashboard Calc'!$B$47)</f>
        <v>Rohith</v>
      </c>
      <c r="C47" s="131" t="str">
        <f>IF('Dashboard Calc'!$B$47="","",'Dashboard Calc'!$C$47)</f>
        <v>Vandana</v>
      </c>
      <c r="D47" s="178">
        <f>IF('Dashboard Calc'!$B$47="","",'Dashboard Calc'!$D$47)</f>
        <v>46248</v>
      </c>
      <c r="E47" s="131" t="str">
        <f>IF('Dashboard Calc'!$B$47="","",'Dashboard Calc'!$F$47)</f>
        <v>Full Stack Developer</v>
      </c>
      <c r="F47" s="131" t="str">
        <f>IF('Dashboard Calc'!$B$47="","",'Dashboard Calc'!$H$47)</f>
        <v>Bangalore</v>
      </c>
      <c r="G47" s="131" t="str">
        <f>IF('Dashboard Calc'!$B$47="","",'Dashboard Calc'!$I$47)</f>
        <v>ZN Submission</v>
      </c>
      <c r="H47" s="146">
        <f>IF('Dashboard Calc'!$B$47="","",'Dashboard Calc'!$J$47)</f>
        <v>2</v>
      </c>
      <c r="I47" s="131" t="str">
        <f>IF('Dashboard Calc'!$B$47="","",'Dashboard Calc'!$K$47)</f>
        <v>JD sent awaiting for response</v>
      </c>
      <c r="J47" s="147">
        <f>IF('Dashboard Calc'!$B$47="","",'Dashboard Calc'!$W$47)</f>
        <v>4.3</v>
      </c>
      <c r="K47" s="131" t="str">
        <f>IF('Dashboard Calc'!$B$47="","",'Dashboard Calc'!$Y$47)</f>
        <v>NTT Data</v>
      </c>
      <c r="L47" s="131" t="str">
        <f>IF('Dashboard Calc'!$B$47="","",'Dashboard Calc'!$Z$47)</f>
        <v>MERN Stack Developer</v>
      </c>
      <c r="M47" s="147">
        <f>IF('Dashboard Calc'!$B$47="","",'Dashboard Calc'!$M$47)</f>
        <v>12</v>
      </c>
      <c r="N47" s="147">
        <f>IF('Dashboard Calc'!$B$47="","",'Dashboard Calc'!$O$47)</f>
        <v>16</v>
      </c>
      <c r="O47" s="148">
        <f>IF('Dashboard Calc'!$B$47="","",'Dashboard Calc'!$P$47)</f>
        <v>0.33333333333333326</v>
      </c>
      <c r="P47" s="131" t="str">
        <f>IF('Dashboard Calc'!$B$47="","",'Dashboard Calc'!$Q$47)</f>
        <v>60 days(nego to 30 days)</v>
      </c>
      <c r="Q47" s="146">
        <f>IF('Dashboard Calc'!$B$47="","",'Dashboard Calc'!$S$47)</f>
        <v>60</v>
      </c>
      <c r="R47" s="135" t="str">
        <f>IF('Dashboard Calc'!$B$47="","",'Dashboard Calc'!$T$47)</f>
        <v>31-60 days</v>
      </c>
      <c r="S47" s="131" t="str">
        <f>IF('Dashboard Calc'!$B$47="","",'Dashboard Calc'!$AA$47)</f>
        <v>Chennai</v>
      </c>
      <c r="T47" s="146">
        <f>IF('Dashboard Calc'!$B$47="","",'Dashboard Calc'!$AD$47)</f>
        <v>1</v>
      </c>
      <c r="U47" s="131" t="str">
        <f>IF('Dashboard Calc'!$B$47="","",'Dashboard Calc'!$AB$47)</f>
        <v>Career Growth</v>
      </c>
    </row>
    <row r="48" ht="16" customHeight="1" s="83">
      <c r="B48" s="137" t="str">
        <f>IF('Dashboard Calc'!$B$48="","",'Dashboard Calc'!$B$48)</f>
        <v>Rajesh</v>
      </c>
      <c r="C48" s="138" t="str">
        <f>IF('Dashboard Calc'!$B$48="","",'Dashboard Calc'!$C$48)</f>
        <v>Sarath</v>
      </c>
      <c r="D48" s="177">
        <f>IF('Dashboard Calc'!$B$48="","",'Dashboard Calc'!$D$48)</f>
        <v>46248</v>
      </c>
      <c r="E48" s="138" t="str">
        <f>IF('Dashboard Calc'!$B$48="","",'Dashboard Calc'!$F$48)</f>
        <v>Full Stack Developer</v>
      </c>
      <c r="F48" s="138" t="str">
        <f>IF('Dashboard Calc'!$B$48="","",'Dashboard Calc'!$H$48)</f>
        <v>Chennai</v>
      </c>
      <c r="G48" s="138" t="str">
        <f>IF('Dashboard Calc'!$B$48="","",'Dashboard Calc'!$I$48)</f>
        <v>ZN Submission</v>
      </c>
      <c r="H48" s="143">
        <f>IF('Dashboard Calc'!$B$48="","",'Dashboard Calc'!$J$48)</f>
        <v>2</v>
      </c>
      <c r="I48" s="138" t="str">
        <f>IF('Dashboard Calc'!$B$48="","",'Dashboard Calc'!$K$48)</f>
        <v>Client Review</v>
      </c>
      <c r="J48" s="144">
        <f>IF('Dashboard Calc'!$B$48="","",'Dashboard Calc'!$W$48)</f>
        <v>8</v>
      </c>
      <c r="K48" s="138" t="str">
        <f>IF('Dashboard Calc'!$B$48="","",'Dashboard Calc'!$Y$48)</f>
        <v>Cegeka</v>
      </c>
      <c r="L48" s="138" t="str">
        <f>IF('Dashboard Calc'!$B$48="","",'Dashboard Calc'!$Z$48)</f>
        <v>SSD</v>
      </c>
      <c r="M48" s="144">
        <f>IF('Dashboard Calc'!$B$48="","",'Dashboard Calc'!$M$48)</f>
        <v>0</v>
      </c>
      <c r="N48" s="144">
        <f>IF('Dashboard Calc'!$B$48="","",'Dashboard Calc'!$O$48)</f>
        <v>0</v>
      </c>
      <c r="O48" s="145">
        <f>IF('Dashboard Calc'!$B$48="","",'Dashboard Calc'!$P$48)</f>
        <v>0</v>
      </c>
      <c r="P48" s="138">
        <f>IF('Dashboard Calc'!$B$48="","",'Dashboard Calc'!$Q$48)</f>
      </c>
      <c r="Q48" s="143">
        <f>IF('Dashboard Calc'!$B$48="","",'Dashboard Calc'!$S$48)</f>
        <v>-1</v>
      </c>
      <c r="R48" s="142" t="str">
        <f>IF('Dashboard Calc'!$B$48="","",'Dashboard Calc'!$T$48)</f>
        <v>Not recorded</v>
      </c>
      <c r="S48" s="138" t="str">
        <f>IF('Dashboard Calc'!$B$48="","",'Dashboard Calc'!$AA$48)</f>
        <v>Chennai</v>
      </c>
      <c r="T48" s="143">
        <f>IF('Dashboard Calc'!$B$48="","",'Dashboard Calc'!$AD$48)</f>
        <v>1</v>
      </c>
      <c r="U48" s="138" t="str">
        <f>IF('Dashboard Calc'!$B$48="","",'Dashboard Calc'!$AB$48)</f>
        <v>Project Ended</v>
      </c>
    </row>
    <row r="49" ht="16" customHeight="1" s="83">
      <c r="B49" s="129" t="str">
        <f>IF('Dashboard Calc'!$B$49="","",'Dashboard Calc'!$B$49)</f>
        <v>Shabana</v>
      </c>
      <c r="C49" s="131" t="str">
        <f>IF('Dashboard Calc'!$B$49="","",'Dashboard Calc'!$C$49)</f>
        <v>Sarath</v>
      </c>
      <c r="D49" s="178">
        <f>IF('Dashboard Calc'!$B$49="","",'Dashboard Calc'!$D$49)</f>
        <v>46248</v>
      </c>
      <c r="E49" s="131" t="str">
        <f>IF('Dashboard Calc'!$B$49="","",'Dashboard Calc'!$F$49)</f>
        <v>Full Stack Developer</v>
      </c>
      <c r="F49" s="131" t="str">
        <f>IF('Dashboard Calc'!$B$49="","",'Dashboard Calc'!$H$49)</f>
        <v>Chennai</v>
      </c>
      <c r="G49" s="131" t="str">
        <f>IF('Dashboard Calc'!$B$49="","",'Dashboard Calc'!$I$49)</f>
        <v>ZN Submission</v>
      </c>
      <c r="H49" s="146">
        <f>IF('Dashboard Calc'!$B$49="","",'Dashboard Calc'!$J$49)</f>
        <v>2</v>
      </c>
      <c r="I49" s="131" t="str">
        <f>IF('Dashboard Calc'!$B$49="","",'Dashboard Calc'!$K$49)</f>
        <v>Client Review</v>
      </c>
      <c r="J49" s="147">
        <f>IF('Dashboard Calc'!$B$49="","",'Dashboard Calc'!$W$49)</f>
        <v>8</v>
      </c>
      <c r="K49" s="131" t="str">
        <f>IF('Dashboard Calc'!$B$49="","",'Dashboard Calc'!$Y$49)</f>
        <v>Synechron Technologies</v>
      </c>
      <c r="L49" s="131" t="str">
        <f>IF('Dashboard Calc'!$B$49="","",'Dashboard Calc'!$Z$49)</f>
        <v>Senior Associate</v>
      </c>
      <c r="M49" s="147">
        <f>IF('Dashboard Calc'!$B$49="","",'Dashboard Calc'!$M$49)</f>
        <v>0</v>
      </c>
      <c r="N49" s="147">
        <f>IF('Dashboard Calc'!$B$49="","",'Dashboard Calc'!$O$49)</f>
        <v>0</v>
      </c>
      <c r="O49" s="148">
        <f>IF('Dashboard Calc'!$B$49="","",'Dashboard Calc'!$P$49)</f>
        <v>0</v>
      </c>
      <c r="P49" s="131">
        <f>IF('Dashboard Calc'!$B$49="","",'Dashboard Calc'!$Q$49)</f>
      </c>
      <c r="Q49" s="146">
        <f>IF('Dashboard Calc'!$B$49="","",'Dashboard Calc'!$S$49)</f>
        <v>-1</v>
      </c>
      <c r="R49" s="135" t="str">
        <f>IF('Dashboard Calc'!$B$49="","",'Dashboard Calc'!$T$49)</f>
        <v>Not recorded</v>
      </c>
      <c r="S49" s="131" t="str">
        <f>IF('Dashboard Calc'!$B$49="","",'Dashboard Calc'!$AA$49)</f>
        <v>Chennai</v>
      </c>
      <c r="T49" s="146">
        <f>IF('Dashboard Calc'!$B$49="","",'Dashboard Calc'!$AD$49)</f>
        <v>1</v>
      </c>
      <c r="U49" s="131" t="str">
        <f>IF('Dashboard Calc'!$B$49="","",'Dashboard Calc'!$AB$49)</f>
        <v>Project Ended</v>
      </c>
    </row>
    <row r="50" ht="16" customHeight="1" s="83">
      <c r="B50" s="137" t="str">
        <f>IF('Dashboard Calc'!$B$50="","",'Dashboard Calc'!$B$50)</f>
        <v>Ganesh Babu</v>
      </c>
      <c r="C50" s="138" t="str">
        <f>IF('Dashboard Calc'!$B$50="","",'Dashboard Calc'!$C$50)</f>
        <v>Ananthy</v>
      </c>
      <c r="D50" s="177">
        <f>IF('Dashboard Calc'!$B$50="","",'Dashboard Calc'!$D$50)</f>
        <v>46248</v>
      </c>
      <c r="E50" s="138">
        <f>IF('Dashboard Calc'!$B$50="","",'Dashboard Calc'!$F$50)</f>
      </c>
      <c r="F50" s="138" t="str">
        <f>IF('Dashboard Calc'!$B$50="","",'Dashboard Calc'!$H$50)</f>
        <v>Not recorded</v>
      </c>
      <c r="G50" s="138" t="str">
        <f>IF('Dashboard Calc'!$B$50="","",'Dashboard Calc'!$I$50)</f>
        <v>Telephonic Screening</v>
      </c>
      <c r="H50" s="143">
        <f>IF('Dashboard Calc'!$B$50="","",'Dashboard Calc'!$J$50)</f>
        <v>1</v>
      </c>
      <c r="I50" s="138">
        <f>IF('Dashboard Calc'!$B$50="","",'Dashboard Calc'!$K$50)</f>
      </c>
      <c r="J50" s="144">
        <f>IF('Dashboard Calc'!$B$50="","",'Dashboard Calc'!$W$50)</f>
        <v>0</v>
      </c>
      <c r="K50" s="138">
        <f>IF('Dashboard Calc'!$B$50="","",'Dashboard Calc'!$Y$50)</f>
      </c>
      <c r="L50" s="138">
        <f>IF('Dashboard Calc'!$B$50="","",'Dashboard Calc'!$Z$50)</f>
      </c>
      <c r="M50" s="144">
        <f>IF('Dashboard Calc'!$B$50="","",'Dashboard Calc'!$M$50)</f>
        <v>0</v>
      </c>
      <c r="N50" s="144">
        <f>IF('Dashboard Calc'!$B$50="","",'Dashboard Calc'!$O$50)</f>
        <v>0</v>
      </c>
      <c r="O50" s="145">
        <f>IF('Dashboard Calc'!$B$50="","",'Dashboard Calc'!$P$50)</f>
        <v>0</v>
      </c>
      <c r="P50" s="138">
        <f>IF('Dashboard Calc'!$B$50="","",'Dashboard Calc'!$Q$50)</f>
      </c>
      <c r="Q50" s="143">
        <f>IF('Dashboard Calc'!$B$50="","",'Dashboard Calc'!$S$50)</f>
        <v>-1</v>
      </c>
      <c r="R50" s="142" t="str">
        <f>IF('Dashboard Calc'!$B$50="","",'Dashboard Calc'!$T$50)</f>
        <v>Not recorded</v>
      </c>
      <c r="S50" s="138">
        <f>IF('Dashboard Calc'!$B$50="","",'Dashboard Calc'!$AA$50)</f>
      </c>
      <c r="T50" s="143">
        <f>IF('Dashboard Calc'!$B$50="","",'Dashboard Calc'!$AD$50)</f>
        <v>0</v>
      </c>
      <c r="U50" s="138">
        <f>IF('Dashboard Calc'!$B$50="","",'Dashboard Calc'!$AB$50)</f>
      </c>
    </row>
    <row r="51" ht="16" customHeight="1" s="83">
      <c r="B51" s="129" t="str">
        <f>IF('Dashboard Calc'!$B$51="","",'Dashboard Calc'!$B$51)</f>
        <v>Mohan Kumar Nulu</v>
      </c>
      <c r="C51" s="131" t="str">
        <f>IF('Dashboard Calc'!$B$51="","",'Dashboard Calc'!$C$51)</f>
        <v>Vandana</v>
      </c>
      <c r="D51" s="178">
        <f>IF('Dashboard Calc'!$B$51="","",'Dashboard Calc'!$D$51)</f>
        <v>46248</v>
      </c>
      <c r="E51" s="131" t="str">
        <f>IF('Dashboard Calc'!$B$51="","",'Dashboard Calc'!$F$51)</f>
        <v>Full Stack Developer</v>
      </c>
      <c r="F51" s="131" t="str">
        <f>IF('Dashboard Calc'!$B$51="","",'Dashboard Calc'!$H$51)</f>
        <v>Not recorded</v>
      </c>
      <c r="G51" s="131" t="str">
        <f>IF('Dashboard Calc'!$B$51="","",'Dashboard Calc'!$I$51)</f>
        <v>Telephonic Screening</v>
      </c>
      <c r="H51" s="146">
        <f>IF('Dashboard Calc'!$B$51="","",'Dashboard Calc'!$J$51)</f>
        <v>1</v>
      </c>
      <c r="I51" s="131" t="str">
        <f>IF('Dashboard Calc'!$B$51="","",'Dashboard Calc'!$K$51)</f>
        <v>No response dropped a message</v>
      </c>
      <c r="J51" s="147">
        <f>IF('Dashboard Calc'!$B$51="","",'Dashboard Calc'!$W$51)</f>
        <v>0</v>
      </c>
      <c r="K51" s="131">
        <f>IF('Dashboard Calc'!$B$51="","",'Dashboard Calc'!$Y$51)</f>
      </c>
      <c r="L51" s="131">
        <f>IF('Dashboard Calc'!$B$51="","",'Dashboard Calc'!$Z$51)</f>
      </c>
      <c r="M51" s="147">
        <f>IF('Dashboard Calc'!$B$51="","",'Dashboard Calc'!$M$51)</f>
        <v>0</v>
      </c>
      <c r="N51" s="147">
        <f>IF('Dashboard Calc'!$B$51="","",'Dashboard Calc'!$O$51)</f>
        <v>0</v>
      </c>
      <c r="O51" s="148">
        <f>IF('Dashboard Calc'!$B$51="","",'Dashboard Calc'!$P$51)</f>
        <v>0</v>
      </c>
      <c r="P51" s="131">
        <f>IF('Dashboard Calc'!$B$51="","",'Dashboard Calc'!$Q$51)</f>
      </c>
      <c r="Q51" s="146">
        <f>IF('Dashboard Calc'!$B$51="","",'Dashboard Calc'!$S$51)</f>
        <v>-1</v>
      </c>
      <c r="R51" s="135" t="str">
        <f>IF('Dashboard Calc'!$B$51="","",'Dashboard Calc'!$T$51)</f>
        <v>Not recorded</v>
      </c>
      <c r="S51" s="131">
        <f>IF('Dashboard Calc'!$B$51="","",'Dashboard Calc'!$AA$51)</f>
      </c>
      <c r="T51" s="146">
        <f>IF('Dashboard Calc'!$B$51="","",'Dashboard Calc'!$AD$51)</f>
        <v>0</v>
      </c>
      <c r="U51" s="131">
        <f>IF('Dashboard Calc'!$B$51="","",'Dashboard Calc'!$AB$51)</f>
      </c>
    </row>
    <row r="52" ht="16" customHeight="1" s="83">
      <c r="B52" s="137" t="str">
        <f>IF('Dashboard Calc'!$B$52="","",'Dashboard Calc'!$B$52)</f>
        <v>Pasupathi</v>
      </c>
      <c r="C52" s="138" t="str">
        <f>IF('Dashboard Calc'!$B$52="","",'Dashboard Calc'!$C$52)</f>
        <v>Sarath</v>
      </c>
      <c r="D52" s="177">
        <f>IF('Dashboard Calc'!$B$52="","",'Dashboard Calc'!$D$52)</f>
        <v>46248</v>
      </c>
      <c r="E52" s="138" t="str">
        <f>IF('Dashboard Calc'!$B$52="","",'Dashboard Calc'!$F$52)</f>
        <v>Full Stack Developer</v>
      </c>
      <c r="F52" s="138" t="str">
        <f>IF('Dashboard Calc'!$B$52="","",'Dashboard Calc'!$H$52)</f>
        <v>Chennai</v>
      </c>
      <c r="G52" s="138" t="str">
        <f>IF('Dashboard Calc'!$B$52="","",'Dashboard Calc'!$I$52)</f>
        <v>ZN Submission</v>
      </c>
      <c r="H52" s="143">
        <f>IF('Dashboard Calc'!$B$52="","",'Dashboard Calc'!$J$52)</f>
        <v>2</v>
      </c>
      <c r="I52" s="138" t="str">
        <f>IF('Dashboard Calc'!$B$52="","",'Dashboard Calc'!$K$52)</f>
        <v>Client Review</v>
      </c>
      <c r="J52" s="144">
        <f>IF('Dashboard Calc'!$B$52="","",'Dashboard Calc'!$W$52)</f>
        <v>7</v>
      </c>
      <c r="K52" s="138" t="str">
        <f>IF('Dashboard Calc'!$B$52="","",'Dashboard Calc'!$Y$52)</f>
        <v>Incedo</v>
      </c>
      <c r="L52" s="138" t="str">
        <f>IF('Dashboard Calc'!$B$52="","",'Dashboard Calc'!$Z$52)</f>
        <v>Technical Lead</v>
      </c>
      <c r="M52" s="144">
        <f>IF('Dashboard Calc'!$B$52="","",'Dashboard Calc'!$M$52)</f>
        <v>0</v>
      </c>
      <c r="N52" s="144">
        <f>IF('Dashboard Calc'!$B$52="","",'Dashboard Calc'!$O$52)</f>
        <v>0</v>
      </c>
      <c r="O52" s="145">
        <f>IF('Dashboard Calc'!$B$52="","",'Dashboard Calc'!$P$52)</f>
        <v>0</v>
      </c>
      <c r="P52" s="138">
        <f>IF('Dashboard Calc'!$B$52="","",'Dashboard Calc'!$Q$52)</f>
      </c>
      <c r="Q52" s="143">
        <f>IF('Dashboard Calc'!$B$52="","",'Dashboard Calc'!$S$52)</f>
        <v>-1</v>
      </c>
      <c r="R52" s="142" t="str">
        <f>IF('Dashboard Calc'!$B$52="","",'Dashboard Calc'!$T$52)</f>
        <v>Not recorded</v>
      </c>
      <c r="S52" s="138" t="str">
        <f>IF('Dashboard Calc'!$B$52="","",'Dashboard Calc'!$AA$52)</f>
        <v>Chennai</v>
      </c>
      <c r="T52" s="143">
        <f>IF('Dashboard Calc'!$B$52="","",'Dashboard Calc'!$AD$52)</f>
        <v>1</v>
      </c>
      <c r="U52" s="138" t="str">
        <f>IF('Dashboard Calc'!$B$52="","",'Dashboard Calc'!$AB$52)</f>
        <v>Project contract ending</v>
      </c>
    </row>
    <row r="53" ht="16" customHeight="1" s="83">
      <c r="B53" s="129" t="str">
        <f>IF('Dashboard Calc'!$B$53="","",'Dashboard Calc'!$B$53)</f>
        <v>Sivakrishna</v>
      </c>
      <c r="C53" s="131" t="str">
        <f>IF('Dashboard Calc'!$B$53="","",'Dashboard Calc'!$C$53)</f>
        <v>Vandana</v>
      </c>
      <c r="D53" s="178">
        <f>IF('Dashboard Calc'!$B$53="","",'Dashboard Calc'!$D$53)</f>
        <v>46248</v>
      </c>
      <c r="E53" s="131" t="str">
        <f>IF('Dashboard Calc'!$B$53="","",'Dashboard Calc'!$F$53)</f>
        <v>Full Stack Developer</v>
      </c>
      <c r="F53" s="131" t="str">
        <f>IF('Dashboard Calc'!$B$53="","",'Dashboard Calc'!$H$53)</f>
        <v>Hyderabad</v>
      </c>
      <c r="G53" s="131" t="str">
        <f>IF('Dashboard Calc'!$B$53="","",'Dashboard Calc'!$I$53)</f>
        <v>Telephonic Screening</v>
      </c>
      <c r="H53" s="146">
        <f>IF('Dashboard Calc'!$B$53="","",'Dashboard Calc'!$J$53)</f>
        <v>1</v>
      </c>
      <c r="I53" s="131" t="str">
        <f>IF('Dashboard Calc'!$B$53="","",'Dashboard Calc'!$K$53)</f>
        <v>Looking for opportunities in hyd,and one offer in pipeline yet to attend hr discussion</v>
      </c>
      <c r="J53" s="147">
        <f>IF('Dashboard Calc'!$B$53="","",'Dashboard Calc'!$W$53)</f>
        <v>0</v>
      </c>
      <c r="K53" s="131">
        <f>IF('Dashboard Calc'!$B$53="","",'Dashboard Calc'!$Y$53)</f>
      </c>
      <c r="L53" s="131">
        <f>IF('Dashboard Calc'!$B$53="","",'Dashboard Calc'!$Z$53)</f>
      </c>
      <c r="M53" s="147">
        <f>IF('Dashboard Calc'!$B$53="","",'Dashboard Calc'!$M$53)</f>
        <v>0</v>
      </c>
      <c r="N53" s="147">
        <f>IF('Dashboard Calc'!$B$53="","",'Dashboard Calc'!$O$53)</f>
        <v>0</v>
      </c>
      <c r="O53" s="148">
        <f>IF('Dashboard Calc'!$B$53="","",'Dashboard Calc'!$P$53)</f>
        <v>0</v>
      </c>
      <c r="P53" s="131">
        <f>IF('Dashboard Calc'!$B$53="","",'Dashboard Calc'!$Q$53)</f>
      </c>
      <c r="Q53" s="146">
        <f>IF('Dashboard Calc'!$B$53="","",'Dashboard Calc'!$S$53)</f>
        <v>-1</v>
      </c>
      <c r="R53" s="135" t="str">
        <f>IF('Dashboard Calc'!$B$53="","",'Dashboard Calc'!$T$53)</f>
        <v>Not recorded</v>
      </c>
      <c r="S53" s="131">
        <f>IF('Dashboard Calc'!$B$53="","",'Dashboard Calc'!$AA$53)</f>
      </c>
      <c r="T53" s="146">
        <f>IF('Dashboard Calc'!$B$53="","",'Dashboard Calc'!$AD$53)</f>
        <v>0</v>
      </c>
      <c r="U53" s="131">
        <f>IF('Dashboard Calc'!$B$53="","",'Dashboard Calc'!$AB$53)</f>
      </c>
    </row>
    <row r="54" ht="16" customHeight="1" s="83">
      <c r="B54" s="137" t="str">
        <f>IF('Dashboard Calc'!$B$54="","",'Dashboard Calc'!$B$54)</f>
        <v>Girinath Selvendran</v>
      </c>
      <c r="C54" s="138" t="str">
        <f>IF('Dashboard Calc'!$B$54="","",'Dashboard Calc'!$C$54)</f>
        <v>Vandana</v>
      </c>
      <c r="D54" s="177">
        <f>IF('Dashboard Calc'!$B$54="","",'Dashboard Calc'!$D$54)</f>
        <v>46248</v>
      </c>
      <c r="E54" s="138" t="str">
        <f>IF('Dashboard Calc'!$B$54="","",'Dashboard Calc'!$F$54)</f>
        <v>Full Stack Developer</v>
      </c>
      <c r="F54" s="138" t="str">
        <f>IF('Dashboard Calc'!$B$54="","",'Dashboard Calc'!$H$54)</f>
        <v>Bangalore</v>
      </c>
      <c r="G54" s="138" t="str">
        <f>IF('Dashboard Calc'!$B$54="","",'Dashboard Calc'!$I$54)</f>
        <v>Telephonic Screening</v>
      </c>
      <c r="H54" s="143">
        <f>IF('Dashboard Calc'!$B$54="","",'Dashboard Calc'!$J$54)</f>
        <v>1</v>
      </c>
      <c r="I54" s="138" t="str">
        <f>IF('Dashboard Calc'!$B$54="","",'Dashboard Calc'!$K$54)</f>
        <v>Jd sent awaiting for response</v>
      </c>
      <c r="J54" s="144">
        <f>IF('Dashboard Calc'!$B$54="","",'Dashboard Calc'!$W$54)</f>
        <v>0</v>
      </c>
      <c r="K54" s="138">
        <f>IF('Dashboard Calc'!$B$54="","",'Dashboard Calc'!$Y$54)</f>
      </c>
      <c r="L54" s="138">
        <f>IF('Dashboard Calc'!$B$54="","",'Dashboard Calc'!$Z$54)</f>
      </c>
      <c r="M54" s="144">
        <f>IF('Dashboard Calc'!$B$54="","",'Dashboard Calc'!$M$54)</f>
        <v>12.6</v>
      </c>
      <c r="N54" s="144">
        <f>IF('Dashboard Calc'!$B$54="","",'Dashboard Calc'!$O$54)</f>
        <v>20</v>
      </c>
      <c r="O54" s="145">
        <f>IF('Dashboard Calc'!$B$54="","",'Dashboard Calc'!$P$54)</f>
        <v>0.5873015873015874</v>
      </c>
      <c r="P54" s="138" t="str">
        <f>IF('Dashboard Calc'!$B$54="","",'Dashboard Calc'!$Q$54)</f>
        <v>13 sep (nego)</v>
      </c>
      <c r="Q54" s="143">
        <f>IF('Dashboard Calc'!$B$54="","",'Dashboard Calc'!$S$54)</f>
        <v>-1</v>
      </c>
      <c r="R54" s="142" t="str">
        <f>IF('Dashboard Calc'!$B$54="","",'Dashboard Calc'!$T$54)</f>
        <v>Not recorded</v>
      </c>
      <c r="S54" s="138">
        <f>IF('Dashboard Calc'!$B$54="","",'Dashboard Calc'!$AA$54)</f>
      </c>
      <c r="T54" s="143">
        <f>IF('Dashboard Calc'!$B$54="","",'Dashboard Calc'!$AD$54)</f>
        <v>0</v>
      </c>
      <c r="U54" s="138">
        <f>IF('Dashboard Calc'!$B$54="","",'Dashboard Calc'!$AB$54)</f>
      </c>
    </row>
    <row r="55" ht="16" customHeight="1" s="83">
      <c r="B55" s="129" t="str">
        <f>IF('Dashboard Calc'!$B$55="","",'Dashboard Calc'!$B$55)</f>
        <v>Antany Tom Felix</v>
      </c>
      <c r="C55" s="131" t="str">
        <f>IF('Dashboard Calc'!$B$55="","",'Dashboard Calc'!$C$55)</f>
        <v>Ananthy</v>
      </c>
      <c r="D55" s="178">
        <f>IF('Dashboard Calc'!$B$55="","",'Dashboard Calc'!$D$55)</f>
        <v>46248</v>
      </c>
      <c r="E55" s="131" t="str">
        <f>IF('Dashboard Calc'!$B$55="","",'Dashboard Calc'!$F$55)</f>
        <v>Full Stack Developer</v>
      </c>
      <c r="F55" s="131" t="str">
        <f>IF('Dashboard Calc'!$B$55="","",'Dashboard Calc'!$H$55)</f>
        <v>Madurai</v>
      </c>
      <c r="G55" s="131" t="str">
        <f>IF('Dashboard Calc'!$B$55="","",'Dashboard Calc'!$I$55)</f>
        <v>Telephonic Screening</v>
      </c>
      <c r="H55" s="146">
        <f>IF('Dashboard Calc'!$B$55="","",'Dashboard Calc'!$J$55)</f>
        <v>1</v>
      </c>
      <c r="I55" s="131">
        <f>IF('Dashboard Calc'!$B$55="","",'Dashboard Calc'!$K$55)</f>
      </c>
      <c r="J55" s="147">
        <f>IF('Dashboard Calc'!$B$55="","",'Dashboard Calc'!$W$55)</f>
        <v>0</v>
      </c>
      <c r="K55" s="131">
        <f>IF('Dashboard Calc'!$B$55="","",'Dashboard Calc'!$Y$55)</f>
      </c>
      <c r="L55" s="131">
        <f>IF('Dashboard Calc'!$B$55="","",'Dashboard Calc'!$Z$55)</f>
      </c>
      <c r="M55" s="147">
        <f>IF('Dashboard Calc'!$B$55="","",'Dashboard Calc'!$M$55)</f>
        <v>0</v>
      </c>
      <c r="N55" s="147">
        <f>IF('Dashboard Calc'!$B$55="","",'Dashboard Calc'!$O$55)</f>
        <v>0</v>
      </c>
      <c r="O55" s="148">
        <f>IF('Dashboard Calc'!$B$55="","",'Dashboard Calc'!$P$55)</f>
        <v>0</v>
      </c>
      <c r="P55" s="131">
        <f>IF('Dashboard Calc'!$B$55="","",'Dashboard Calc'!$Q$55)</f>
      </c>
      <c r="Q55" s="146">
        <f>IF('Dashboard Calc'!$B$55="","",'Dashboard Calc'!$S$55)</f>
        <v>-1</v>
      </c>
      <c r="R55" s="135" t="str">
        <f>IF('Dashboard Calc'!$B$55="","",'Dashboard Calc'!$T$55)</f>
        <v>Not recorded</v>
      </c>
      <c r="S55" s="131">
        <f>IF('Dashboard Calc'!$B$55="","",'Dashboard Calc'!$AA$55)</f>
      </c>
      <c r="T55" s="146">
        <f>IF('Dashboard Calc'!$B$55="","",'Dashboard Calc'!$AD$55)</f>
        <v>0</v>
      </c>
      <c r="U55" s="131">
        <f>IF('Dashboard Calc'!$B$55="","",'Dashboard Calc'!$AB$55)</f>
      </c>
    </row>
    <row r="56" ht="16" customHeight="1" s="83">
      <c r="B56" s="137" t="str">
        <f>IF('Dashboard Calc'!$B$56="","",'Dashboard Calc'!$B$56)</f>
        <v>Arun K</v>
      </c>
      <c r="C56" s="138" t="str">
        <f>IF('Dashboard Calc'!$B$56="","",'Dashboard Calc'!$C$56)</f>
        <v>Kirthi</v>
      </c>
      <c r="D56" s="177">
        <f>IF('Dashboard Calc'!$B$56="","",'Dashboard Calc'!$D$56)</f>
        <v>46248</v>
      </c>
      <c r="E56" s="138" t="str">
        <f>IF('Dashboard Calc'!$B$56="","",'Dashboard Calc'!$F$56)</f>
        <v>Full Stack Developer</v>
      </c>
      <c r="F56" s="138" t="str">
        <f>IF('Dashboard Calc'!$B$56="","",'Dashboard Calc'!$H$56)</f>
        <v>Chennai</v>
      </c>
      <c r="G56" s="138" t="str">
        <f>IF('Dashboard Calc'!$B$56="","",'Dashboard Calc'!$I$56)</f>
        <v>Telephonic Screening</v>
      </c>
      <c r="H56" s="143">
        <f>IF('Dashboard Calc'!$B$56="","",'Dashboard Calc'!$J$56)</f>
        <v>1</v>
      </c>
      <c r="I56" s="138">
        <f>IF('Dashboard Calc'!$B$56="","",'Dashboard Calc'!$K$56)</f>
      </c>
      <c r="J56" s="144">
        <f>IF('Dashboard Calc'!$B$56="","",'Dashboard Calc'!$W$56)</f>
        <v>0</v>
      </c>
      <c r="K56" s="138">
        <f>IF('Dashboard Calc'!$B$56="","",'Dashboard Calc'!$Y$56)</f>
      </c>
      <c r="L56" s="138">
        <f>IF('Dashboard Calc'!$B$56="","",'Dashboard Calc'!$Z$56)</f>
      </c>
      <c r="M56" s="144">
        <f>IF('Dashboard Calc'!$B$56="","",'Dashboard Calc'!$M$56)</f>
        <v>5</v>
      </c>
      <c r="N56" s="144">
        <f>IF('Dashboard Calc'!$B$56="","",'Dashboard Calc'!$O$56)</f>
        <v>10</v>
      </c>
      <c r="O56" s="145">
        <f>IF('Dashboard Calc'!$B$56="","",'Dashboard Calc'!$P$56)</f>
        <v>1</v>
      </c>
      <c r="P56" s="138" t="str">
        <f>IF('Dashboard Calc'!$B$56="","",'Dashboard Calc'!$Q$56)</f>
        <v>60 days (nego)</v>
      </c>
      <c r="Q56" s="143">
        <f>IF('Dashboard Calc'!$B$56="","",'Dashboard Calc'!$S$56)</f>
        <v>60</v>
      </c>
      <c r="R56" s="142" t="str">
        <f>IF('Dashboard Calc'!$B$56="","",'Dashboard Calc'!$T$56)</f>
        <v>31-60 days</v>
      </c>
      <c r="S56" s="138">
        <f>IF('Dashboard Calc'!$B$56="","",'Dashboard Calc'!$AA$56)</f>
      </c>
      <c r="T56" s="143">
        <f>IF('Dashboard Calc'!$B$56="","",'Dashboard Calc'!$AD$56)</f>
        <v>1</v>
      </c>
      <c r="U56" s="138">
        <f>IF('Dashboard Calc'!$B$56="","",'Dashboard Calc'!$AB$56)</f>
      </c>
    </row>
    <row r="57" ht="16" customHeight="1" s="83">
      <c r="B57" s="129" t="str">
        <f>IF('Dashboard Calc'!$B$57="","",'Dashboard Calc'!$B$57)</f>
        <v>Ankit Mahajan</v>
      </c>
      <c r="C57" s="131" t="str">
        <f>IF('Dashboard Calc'!$B$57="","",'Dashboard Calc'!$C$57)</f>
        <v>Sarath</v>
      </c>
      <c r="D57" s="178">
        <f>IF('Dashboard Calc'!$B$57="","",'Dashboard Calc'!$D$57)</f>
        <v>46256</v>
      </c>
      <c r="E57" s="131" t="str">
        <f>IF('Dashboard Calc'!$B$57="","",'Dashboard Calc'!$F$57)</f>
        <v>Voyage Optimization Specialist</v>
      </c>
      <c r="F57" s="131" t="str">
        <f>IF('Dashboard Calc'!$B$57="","",'Dashboard Calc'!$H$57)</f>
        <v>Mumbai</v>
      </c>
      <c r="G57" s="131" t="str">
        <f>IF('Dashboard Calc'!$B$57="","",'Dashboard Calc'!$I$57)</f>
        <v>ZN Interview</v>
      </c>
      <c r="H57" s="146">
        <f>IF('Dashboard Calc'!$B$57="","",'Dashboard Calc'!$J$57)</f>
        <v>3</v>
      </c>
      <c r="I57" s="131" t="str">
        <f>IF('Dashboard Calc'!$B$57="","",'Dashboard Calc'!$K$57)</f>
        <v>L1 Scheduled on 25th Aug</v>
      </c>
      <c r="J57" s="147">
        <f>IF('Dashboard Calc'!$B$57="","",'Dashboard Calc'!$W$57)</f>
        <v>8</v>
      </c>
      <c r="K57" s="131" t="str">
        <f>IF('Dashboard Calc'!$B$57="","",'Dashboard Calc'!$Y$57)</f>
        <v>Samsara Group</v>
      </c>
      <c r="L57" s="131" t="str">
        <f>IF('Dashboard Calc'!$B$57="","",'Dashboard Calc'!$Z$57)</f>
        <v>Manager-Shop Broking</v>
      </c>
      <c r="M57" s="147">
        <f>IF('Dashboard Calc'!$B$57="","",'Dashboard Calc'!$M$57)</f>
        <v>17</v>
      </c>
      <c r="N57" s="147">
        <f>IF('Dashboard Calc'!$B$57="","",'Dashboard Calc'!$O$57)</f>
        <v>25</v>
      </c>
      <c r="O57" s="148">
        <f>IF('Dashboard Calc'!$B$57="","",'Dashboard Calc'!$P$57)</f>
        <v>0.47058823529411775</v>
      </c>
      <c r="P57" s="131" t="str">
        <f>IF('Dashboard Calc'!$B$57="","",'Dashboard Calc'!$Q$57)</f>
        <v>2 Months(Negotiable)</v>
      </c>
      <c r="Q57" s="146">
        <f>IF('Dashboard Calc'!$B$57="","",'Dashboard Calc'!$S$57)</f>
        <v>60</v>
      </c>
      <c r="R57" s="135" t="str">
        <f>IF('Dashboard Calc'!$B$57="","",'Dashboard Calc'!$T$57)</f>
        <v>31-60 days</v>
      </c>
      <c r="S57" s="131" t="str">
        <f>IF('Dashboard Calc'!$B$57="","",'Dashboard Calc'!$AA$57)</f>
        <v>Mumbai</v>
      </c>
      <c r="T57" s="146">
        <f>IF('Dashboard Calc'!$B$57="","",'Dashboard Calc'!$AD$57)</f>
        <v>0</v>
      </c>
      <c r="U57" s="131" t="str">
        <f>IF('Dashboard Calc'!$B$57="","",'Dashboard Calc'!$AB$57)</f>
        <v>Career Growth</v>
      </c>
    </row>
    <row r="58" ht="16" customHeight="1" s="83">
      <c r="B58" s="137">
        <f>IF('Dashboard Calc'!$B$58="","",'Dashboard Calc'!$B$58)</f>
      </c>
      <c r="C58" s="138">
        <f>IF('Dashboard Calc'!$B$58="","",'Dashboard Calc'!$C$58)</f>
      </c>
      <c r="D58" s="177">
        <f>IF('Dashboard Calc'!$B$58="","",'Dashboard Calc'!$D$58)</f>
      </c>
      <c r="E58" s="138">
        <f>IF('Dashboard Calc'!$B$58="","",'Dashboard Calc'!$F$58)</f>
      </c>
      <c r="F58" s="138">
        <f>IF('Dashboard Calc'!$B$58="","",'Dashboard Calc'!$H$58)</f>
      </c>
      <c r="G58" s="138">
        <f>IF('Dashboard Calc'!$B$58="","",'Dashboard Calc'!$I$58)</f>
      </c>
      <c r="H58" s="143">
        <f>IF('Dashboard Calc'!$B$58="","",'Dashboard Calc'!$J$58)</f>
      </c>
      <c r="I58" s="138">
        <f>IF('Dashboard Calc'!$B$58="","",'Dashboard Calc'!$K$58)</f>
      </c>
      <c r="J58" s="144">
        <f>IF('Dashboard Calc'!$B$58="","",'Dashboard Calc'!$W$58)</f>
      </c>
      <c r="K58" s="138">
        <f>IF('Dashboard Calc'!$B$58="","",'Dashboard Calc'!$Y$58)</f>
      </c>
      <c r="L58" s="138">
        <f>IF('Dashboard Calc'!$B$58="","",'Dashboard Calc'!$Z$58)</f>
      </c>
      <c r="M58" s="144">
        <f>IF('Dashboard Calc'!$B$58="","",'Dashboard Calc'!$M$58)</f>
      </c>
      <c r="N58" s="144">
        <f>IF('Dashboard Calc'!$B$58="","",'Dashboard Calc'!$O$58)</f>
      </c>
      <c r="O58" s="145">
        <f>IF('Dashboard Calc'!$B$58="","",'Dashboard Calc'!$P$58)</f>
      </c>
      <c r="P58" s="138">
        <f>IF('Dashboard Calc'!$B$58="","",'Dashboard Calc'!$Q$58)</f>
      </c>
      <c r="Q58" s="143">
        <f>IF('Dashboard Calc'!$B$58="","",'Dashboard Calc'!$S$58)</f>
      </c>
      <c r="R58" s="142">
        <f>IF('Dashboard Calc'!$B$58="","",'Dashboard Calc'!$T$58)</f>
      </c>
      <c r="S58" s="138">
        <f>IF('Dashboard Calc'!$B$58="","",'Dashboard Calc'!$AA$58)</f>
      </c>
      <c r="T58" s="143">
        <f>IF('Dashboard Calc'!$B$58="","",'Dashboard Calc'!$AD$58)</f>
      </c>
      <c r="U58" s="138">
        <f>IF('Dashboard Calc'!$B$58="","",'Dashboard Calc'!$AB$58)</f>
      </c>
    </row>
    <row r="59" ht="16" customHeight="1" s="83">
      <c r="B59" s="129">
        <f>IF('Dashboard Calc'!$B$59="","",'Dashboard Calc'!$B$59)</f>
      </c>
      <c r="C59" s="131">
        <f>IF('Dashboard Calc'!$B$59="","",'Dashboard Calc'!$C$59)</f>
      </c>
      <c r="D59" s="178">
        <f>IF('Dashboard Calc'!$B$59="","",'Dashboard Calc'!$D$59)</f>
      </c>
      <c r="E59" s="131">
        <f>IF('Dashboard Calc'!$B$59="","",'Dashboard Calc'!$F$59)</f>
      </c>
      <c r="F59" s="131">
        <f>IF('Dashboard Calc'!$B$59="","",'Dashboard Calc'!$H$59)</f>
      </c>
      <c r="G59" s="131">
        <f>IF('Dashboard Calc'!$B$59="","",'Dashboard Calc'!$I$59)</f>
      </c>
      <c r="H59" s="146">
        <f>IF('Dashboard Calc'!$B$59="","",'Dashboard Calc'!$J$59)</f>
      </c>
      <c r="I59" s="131">
        <f>IF('Dashboard Calc'!$B$59="","",'Dashboard Calc'!$K$59)</f>
      </c>
      <c r="J59" s="147">
        <f>IF('Dashboard Calc'!$B$59="","",'Dashboard Calc'!$W$59)</f>
      </c>
      <c r="K59" s="131">
        <f>IF('Dashboard Calc'!$B$59="","",'Dashboard Calc'!$Y$59)</f>
      </c>
      <c r="L59" s="131">
        <f>IF('Dashboard Calc'!$B$59="","",'Dashboard Calc'!$Z$59)</f>
      </c>
      <c r="M59" s="147">
        <f>IF('Dashboard Calc'!$B$59="","",'Dashboard Calc'!$M$59)</f>
      </c>
      <c r="N59" s="147">
        <f>IF('Dashboard Calc'!$B$59="","",'Dashboard Calc'!$O$59)</f>
      </c>
      <c r="O59" s="148">
        <f>IF('Dashboard Calc'!$B$59="","",'Dashboard Calc'!$P$59)</f>
      </c>
      <c r="P59" s="131">
        <f>IF('Dashboard Calc'!$B$59="","",'Dashboard Calc'!$Q$59)</f>
      </c>
      <c r="Q59" s="146">
        <f>IF('Dashboard Calc'!$B$59="","",'Dashboard Calc'!$S$59)</f>
      </c>
      <c r="R59" s="135">
        <f>IF('Dashboard Calc'!$B$59="","",'Dashboard Calc'!$T$59)</f>
      </c>
      <c r="S59" s="131">
        <f>IF('Dashboard Calc'!$B$59="","",'Dashboard Calc'!$AA$59)</f>
      </c>
      <c r="T59" s="146">
        <f>IF('Dashboard Calc'!$B$59="","",'Dashboard Calc'!$AD$59)</f>
      </c>
      <c r="U59" s="131">
        <f>IF('Dashboard Calc'!$B$59="","",'Dashboard Calc'!$AB$59)</f>
      </c>
    </row>
    <row r="60" ht="16" customHeight="1" s="83">
      <c r="B60" s="137">
        <f>IF('Dashboard Calc'!$B$60="","",'Dashboard Calc'!$B$60)</f>
      </c>
      <c r="C60" s="138">
        <f>IF('Dashboard Calc'!$B$60="","",'Dashboard Calc'!$C$60)</f>
      </c>
      <c r="D60" s="177">
        <f>IF('Dashboard Calc'!$B$60="","",'Dashboard Calc'!$D$60)</f>
      </c>
      <c r="E60" s="138">
        <f>IF('Dashboard Calc'!$B$60="","",'Dashboard Calc'!$F$60)</f>
      </c>
      <c r="F60" s="138">
        <f>IF('Dashboard Calc'!$B$60="","",'Dashboard Calc'!$H$60)</f>
      </c>
      <c r="G60" s="138">
        <f>IF('Dashboard Calc'!$B$60="","",'Dashboard Calc'!$I$60)</f>
      </c>
      <c r="H60" s="143">
        <f>IF('Dashboard Calc'!$B$60="","",'Dashboard Calc'!$J$60)</f>
      </c>
      <c r="I60" s="138">
        <f>IF('Dashboard Calc'!$B$60="","",'Dashboard Calc'!$K$60)</f>
      </c>
      <c r="J60" s="144">
        <f>IF('Dashboard Calc'!$B$60="","",'Dashboard Calc'!$W$60)</f>
      </c>
      <c r="K60" s="138">
        <f>IF('Dashboard Calc'!$B$60="","",'Dashboard Calc'!$Y$60)</f>
      </c>
      <c r="L60" s="138">
        <f>IF('Dashboard Calc'!$B$60="","",'Dashboard Calc'!$Z$60)</f>
      </c>
      <c r="M60" s="144">
        <f>IF('Dashboard Calc'!$B$60="","",'Dashboard Calc'!$M$60)</f>
      </c>
      <c r="N60" s="144">
        <f>IF('Dashboard Calc'!$B$60="","",'Dashboard Calc'!$O$60)</f>
      </c>
      <c r="O60" s="145">
        <f>IF('Dashboard Calc'!$B$60="","",'Dashboard Calc'!$P$60)</f>
      </c>
      <c r="P60" s="138">
        <f>IF('Dashboard Calc'!$B$60="","",'Dashboard Calc'!$Q$60)</f>
      </c>
      <c r="Q60" s="143">
        <f>IF('Dashboard Calc'!$B$60="","",'Dashboard Calc'!$S$60)</f>
      </c>
      <c r="R60" s="142">
        <f>IF('Dashboard Calc'!$B$60="","",'Dashboard Calc'!$T$60)</f>
      </c>
      <c r="S60" s="138">
        <f>IF('Dashboard Calc'!$B$60="","",'Dashboard Calc'!$AA$60)</f>
      </c>
      <c r="T60" s="143">
        <f>IF('Dashboard Calc'!$B$60="","",'Dashboard Calc'!$AD$60)</f>
      </c>
      <c r="U60" s="138">
        <f>IF('Dashboard Calc'!$B$60="","",'Dashboard Calc'!$AB$60)</f>
      </c>
    </row>
    <row r="61" ht="16" customHeight="1" s="83">
      <c r="B61" s="129">
        <f>IF('Dashboard Calc'!$B$61="","",'Dashboard Calc'!$B$61)</f>
      </c>
      <c r="C61" s="131">
        <f>IF('Dashboard Calc'!$B$61="","",'Dashboard Calc'!$C$61)</f>
      </c>
      <c r="D61" s="178">
        <f>IF('Dashboard Calc'!$B$61="","",'Dashboard Calc'!$D$61)</f>
      </c>
      <c r="E61" s="131">
        <f>IF('Dashboard Calc'!$B$61="","",'Dashboard Calc'!$F$61)</f>
      </c>
      <c r="F61" s="131">
        <f>IF('Dashboard Calc'!$B$61="","",'Dashboard Calc'!$H$61)</f>
      </c>
      <c r="G61" s="131">
        <f>IF('Dashboard Calc'!$B$61="","",'Dashboard Calc'!$I$61)</f>
      </c>
      <c r="H61" s="146">
        <f>IF('Dashboard Calc'!$B$61="","",'Dashboard Calc'!$J$61)</f>
      </c>
      <c r="I61" s="131">
        <f>IF('Dashboard Calc'!$B$61="","",'Dashboard Calc'!$K$61)</f>
      </c>
      <c r="J61" s="147">
        <f>IF('Dashboard Calc'!$B$61="","",'Dashboard Calc'!$W$61)</f>
      </c>
      <c r="K61" s="131">
        <f>IF('Dashboard Calc'!$B$61="","",'Dashboard Calc'!$Y$61)</f>
      </c>
      <c r="L61" s="131">
        <f>IF('Dashboard Calc'!$B$61="","",'Dashboard Calc'!$Z$61)</f>
      </c>
      <c r="M61" s="147">
        <f>IF('Dashboard Calc'!$B$61="","",'Dashboard Calc'!$M$61)</f>
      </c>
      <c r="N61" s="147">
        <f>IF('Dashboard Calc'!$B$61="","",'Dashboard Calc'!$O$61)</f>
      </c>
      <c r="O61" s="148">
        <f>IF('Dashboard Calc'!$B$61="","",'Dashboard Calc'!$P$61)</f>
      </c>
      <c r="P61" s="131">
        <f>IF('Dashboard Calc'!$B$61="","",'Dashboard Calc'!$Q$61)</f>
      </c>
      <c r="Q61" s="146">
        <f>IF('Dashboard Calc'!$B$61="","",'Dashboard Calc'!$S$61)</f>
      </c>
      <c r="R61" s="135">
        <f>IF('Dashboard Calc'!$B$61="","",'Dashboard Calc'!$T$61)</f>
      </c>
      <c r="S61" s="131">
        <f>IF('Dashboard Calc'!$B$61="","",'Dashboard Calc'!$AA$61)</f>
      </c>
      <c r="T61" s="146">
        <f>IF('Dashboard Calc'!$B$61="","",'Dashboard Calc'!$AD$61)</f>
      </c>
      <c r="U61" s="131">
        <f>IF('Dashboard Calc'!$B$61="","",'Dashboard Calc'!$AB$61)</f>
      </c>
    </row>
    <row r="62" ht="16" customHeight="1" s="83">
      <c r="B62" s="137">
        <f>IF('Dashboard Calc'!$B$62="","",'Dashboard Calc'!$B$62)</f>
      </c>
      <c r="C62" s="138">
        <f>IF('Dashboard Calc'!$B$62="","",'Dashboard Calc'!$C$62)</f>
      </c>
      <c r="D62" s="177">
        <f>IF('Dashboard Calc'!$B$62="","",'Dashboard Calc'!$D$62)</f>
      </c>
      <c r="E62" s="138">
        <f>IF('Dashboard Calc'!$B$62="","",'Dashboard Calc'!$F$62)</f>
      </c>
      <c r="F62" s="138">
        <f>IF('Dashboard Calc'!$B$62="","",'Dashboard Calc'!$H$62)</f>
      </c>
      <c r="G62" s="138">
        <f>IF('Dashboard Calc'!$B$62="","",'Dashboard Calc'!$I$62)</f>
      </c>
      <c r="H62" s="143">
        <f>IF('Dashboard Calc'!$B$62="","",'Dashboard Calc'!$J$62)</f>
      </c>
      <c r="I62" s="138">
        <f>IF('Dashboard Calc'!$B$62="","",'Dashboard Calc'!$K$62)</f>
      </c>
      <c r="J62" s="144">
        <f>IF('Dashboard Calc'!$B$62="","",'Dashboard Calc'!$W$62)</f>
      </c>
      <c r="K62" s="138">
        <f>IF('Dashboard Calc'!$B$62="","",'Dashboard Calc'!$Y$62)</f>
      </c>
      <c r="L62" s="138">
        <f>IF('Dashboard Calc'!$B$62="","",'Dashboard Calc'!$Z$62)</f>
      </c>
      <c r="M62" s="144">
        <f>IF('Dashboard Calc'!$B$62="","",'Dashboard Calc'!$M$62)</f>
      </c>
      <c r="N62" s="144">
        <f>IF('Dashboard Calc'!$B$62="","",'Dashboard Calc'!$O$62)</f>
      </c>
      <c r="O62" s="145">
        <f>IF('Dashboard Calc'!$B$62="","",'Dashboard Calc'!$P$62)</f>
      </c>
      <c r="P62" s="138">
        <f>IF('Dashboard Calc'!$B$62="","",'Dashboard Calc'!$Q$62)</f>
      </c>
      <c r="Q62" s="143">
        <f>IF('Dashboard Calc'!$B$62="","",'Dashboard Calc'!$S$62)</f>
      </c>
      <c r="R62" s="142">
        <f>IF('Dashboard Calc'!$B$62="","",'Dashboard Calc'!$T$62)</f>
      </c>
      <c r="S62" s="138">
        <f>IF('Dashboard Calc'!$B$62="","",'Dashboard Calc'!$AA$62)</f>
      </c>
      <c r="T62" s="143">
        <f>IF('Dashboard Calc'!$B$62="","",'Dashboard Calc'!$AD$62)</f>
      </c>
      <c r="U62" s="138">
        <f>IF('Dashboard Calc'!$B$62="","",'Dashboard Calc'!$AB$62)</f>
      </c>
    </row>
    <row r="63" ht="16" customHeight="1" s="83">
      <c r="B63" s="129">
        <f>IF('Dashboard Calc'!$B$63="","",'Dashboard Calc'!$B$63)</f>
      </c>
      <c r="C63" s="131">
        <f>IF('Dashboard Calc'!$B$63="","",'Dashboard Calc'!$C$63)</f>
      </c>
      <c r="D63" s="178">
        <f>IF('Dashboard Calc'!$B$63="","",'Dashboard Calc'!$D$63)</f>
      </c>
      <c r="E63" s="131">
        <f>IF('Dashboard Calc'!$B$63="","",'Dashboard Calc'!$F$63)</f>
      </c>
      <c r="F63" s="131">
        <f>IF('Dashboard Calc'!$B$63="","",'Dashboard Calc'!$H$63)</f>
      </c>
      <c r="G63" s="131">
        <f>IF('Dashboard Calc'!$B$63="","",'Dashboard Calc'!$I$63)</f>
      </c>
      <c r="H63" s="146">
        <f>IF('Dashboard Calc'!$B$63="","",'Dashboard Calc'!$J$63)</f>
      </c>
      <c r="I63" s="131">
        <f>IF('Dashboard Calc'!$B$63="","",'Dashboard Calc'!$K$63)</f>
      </c>
      <c r="J63" s="147">
        <f>IF('Dashboard Calc'!$B$63="","",'Dashboard Calc'!$W$63)</f>
      </c>
      <c r="K63" s="131">
        <f>IF('Dashboard Calc'!$B$63="","",'Dashboard Calc'!$Y$63)</f>
      </c>
      <c r="L63" s="131">
        <f>IF('Dashboard Calc'!$B$63="","",'Dashboard Calc'!$Z$63)</f>
      </c>
      <c r="M63" s="147">
        <f>IF('Dashboard Calc'!$B$63="","",'Dashboard Calc'!$M$63)</f>
      </c>
      <c r="N63" s="147">
        <f>IF('Dashboard Calc'!$B$63="","",'Dashboard Calc'!$O$63)</f>
      </c>
      <c r="O63" s="148">
        <f>IF('Dashboard Calc'!$B$63="","",'Dashboard Calc'!$P$63)</f>
      </c>
      <c r="P63" s="131">
        <f>IF('Dashboard Calc'!$B$63="","",'Dashboard Calc'!$Q$63)</f>
      </c>
      <c r="Q63" s="146">
        <f>IF('Dashboard Calc'!$B$63="","",'Dashboard Calc'!$S$63)</f>
      </c>
      <c r="R63" s="135">
        <f>IF('Dashboard Calc'!$B$63="","",'Dashboard Calc'!$T$63)</f>
      </c>
      <c r="S63" s="131">
        <f>IF('Dashboard Calc'!$B$63="","",'Dashboard Calc'!$AA$63)</f>
      </c>
      <c r="T63" s="146">
        <f>IF('Dashboard Calc'!$B$63="","",'Dashboard Calc'!$AD$63)</f>
      </c>
      <c r="U63" s="131">
        <f>IF('Dashboard Calc'!$B$63="","",'Dashboard Calc'!$AB$63)</f>
      </c>
    </row>
    <row r="64" ht="16" customHeight="1" s="83">
      <c r="B64" s="137">
        <f>IF('Dashboard Calc'!$B$64="","",'Dashboard Calc'!$B$64)</f>
      </c>
      <c r="C64" s="138">
        <f>IF('Dashboard Calc'!$B$64="","",'Dashboard Calc'!$C$64)</f>
      </c>
      <c r="D64" s="177">
        <f>IF('Dashboard Calc'!$B$64="","",'Dashboard Calc'!$D$64)</f>
      </c>
      <c r="E64" s="138">
        <f>IF('Dashboard Calc'!$B$64="","",'Dashboard Calc'!$F$64)</f>
      </c>
      <c r="F64" s="138">
        <f>IF('Dashboard Calc'!$B$64="","",'Dashboard Calc'!$H$64)</f>
      </c>
      <c r="G64" s="138">
        <f>IF('Dashboard Calc'!$B$64="","",'Dashboard Calc'!$I$64)</f>
      </c>
      <c r="H64" s="143">
        <f>IF('Dashboard Calc'!$B$64="","",'Dashboard Calc'!$J$64)</f>
      </c>
      <c r="I64" s="138">
        <f>IF('Dashboard Calc'!$B$64="","",'Dashboard Calc'!$K$64)</f>
      </c>
      <c r="J64" s="144">
        <f>IF('Dashboard Calc'!$B$64="","",'Dashboard Calc'!$W$64)</f>
      </c>
      <c r="K64" s="138">
        <f>IF('Dashboard Calc'!$B$64="","",'Dashboard Calc'!$Y$64)</f>
      </c>
      <c r="L64" s="138">
        <f>IF('Dashboard Calc'!$B$64="","",'Dashboard Calc'!$Z$64)</f>
      </c>
      <c r="M64" s="144">
        <f>IF('Dashboard Calc'!$B$64="","",'Dashboard Calc'!$M$64)</f>
      </c>
      <c r="N64" s="144">
        <f>IF('Dashboard Calc'!$B$64="","",'Dashboard Calc'!$O$64)</f>
      </c>
      <c r="O64" s="145">
        <f>IF('Dashboard Calc'!$B$64="","",'Dashboard Calc'!$P$64)</f>
      </c>
      <c r="P64" s="138">
        <f>IF('Dashboard Calc'!$B$64="","",'Dashboard Calc'!$Q$64)</f>
      </c>
      <c r="Q64" s="143">
        <f>IF('Dashboard Calc'!$B$64="","",'Dashboard Calc'!$S$64)</f>
      </c>
      <c r="R64" s="142">
        <f>IF('Dashboard Calc'!$B$64="","",'Dashboard Calc'!$T$64)</f>
      </c>
      <c r="S64" s="138">
        <f>IF('Dashboard Calc'!$B$64="","",'Dashboard Calc'!$AA$64)</f>
      </c>
      <c r="T64" s="143">
        <f>IF('Dashboard Calc'!$B$64="","",'Dashboard Calc'!$AD$64)</f>
      </c>
      <c r="U64" s="138">
        <f>IF('Dashboard Calc'!$B$64="","",'Dashboard Calc'!$AB$64)</f>
      </c>
    </row>
    <row r="65" ht="16" customHeight="1" s="83">
      <c r="B65" s="129">
        <f>IF('Dashboard Calc'!$B$65="","",'Dashboard Calc'!$B$65)</f>
      </c>
      <c r="C65" s="131">
        <f>IF('Dashboard Calc'!$B$65="","",'Dashboard Calc'!$C$65)</f>
      </c>
      <c r="D65" s="178">
        <f>IF('Dashboard Calc'!$B$65="","",'Dashboard Calc'!$D$65)</f>
      </c>
      <c r="E65" s="131">
        <f>IF('Dashboard Calc'!$B$65="","",'Dashboard Calc'!$F$65)</f>
      </c>
      <c r="F65" s="131">
        <f>IF('Dashboard Calc'!$B$65="","",'Dashboard Calc'!$H$65)</f>
      </c>
      <c r="G65" s="131">
        <f>IF('Dashboard Calc'!$B$65="","",'Dashboard Calc'!$I$65)</f>
      </c>
      <c r="H65" s="146">
        <f>IF('Dashboard Calc'!$B$65="","",'Dashboard Calc'!$J$65)</f>
      </c>
      <c r="I65" s="131">
        <f>IF('Dashboard Calc'!$B$65="","",'Dashboard Calc'!$K$65)</f>
      </c>
      <c r="J65" s="147">
        <f>IF('Dashboard Calc'!$B$65="","",'Dashboard Calc'!$W$65)</f>
      </c>
      <c r="K65" s="131">
        <f>IF('Dashboard Calc'!$B$65="","",'Dashboard Calc'!$Y$65)</f>
      </c>
      <c r="L65" s="131">
        <f>IF('Dashboard Calc'!$B$65="","",'Dashboard Calc'!$Z$65)</f>
      </c>
      <c r="M65" s="147">
        <f>IF('Dashboard Calc'!$B$65="","",'Dashboard Calc'!$M$65)</f>
      </c>
      <c r="N65" s="147">
        <f>IF('Dashboard Calc'!$B$65="","",'Dashboard Calc'!$O$65)</f>
      </c>
      <c r="O65" s="148">
        <f>IF('Dashboard Calc'!$B$65="","",'Dashboard Calc'!$P$65)</f>
      </c>
      <c r="P65" s="131">
        <f>IF('Dashboard Calc'!$B$65="","",'Dashboard Calc'!$Q$65)</f>
      </c>
      <c r="Q65" s="146">
        <f>IF('Dashboard Calc'!$B$65="","",'Dashboard Calc'!$S$65)</f>
      </c>
      <c r="R65" s="135">
        <f>IF('Dashboard Calc'!$B$65="","",'Dashboard Calc'!$T$65)</f>
      </c>
      <c r="S65" s="131">
        <f>IF('Dashboard Calc'!$B$65="","",'Dashboard Calc'!$AA$65)</f>
      </c>
      <c r="T65" s="146">
        <f>IF('Dashboard Calc'!$B$65="","",'Dashboard Calc'!$AD$65)</f>
      </c>
      <c r="U65" s="131">
        <f>IF('Dashboard Calc'!$B$65="","",'Dashboard Calc'!$AB$65)</f>
      </c>
    </row>
    <row r="66" ht="16" customHeight="1" s="83">
      <c r="B66" s="137">
        <f>IF('Dashboard Calc'!$B$66="","",'Dashboard Calc'!$B$66)</f>
      </c>
      <c r="C66" s="138">
        <f>IF('Dashboard Calc'!$B$66="","",'Dashboard Calc'!$C$66)</f>
      </c>
      <c r="D66" s="177">
        <f>IF('Dashboard Calc'!$B$66="","",'Dashboard Calc'!$D$66)</f>
      </c>
      <c r="E66" s="138">
        <f>IF('Dashboard Calc'!$B$66="","",'Dashboard Calc'!$F$66)</f>
      </c>
      <c r="F66" s="138">
        <f>IF('Dashboard Calc'!$B$66="","",'Dashboard Calc'!$H$66)</f>
      </c>
      <c r="G66" s="138">
        <f>IF('Dashboard Calc'!$B$66="","",'Dashboard Calc'!$I$66)</f>
      </c>
      <c r="H66" s="143">
        <f>IF('Dashboard Calc'!$B$66="","",'Dashboard Calc'!$J$66)</f>
      </c>
      <c r="I66" s="138">
        <f>IF('Dashboard Calc'!$B$66="","",'Dashboard Calc'!$K$66)</f>
      </c>
      <c r="J66" s="144">
        <f>IF('Dashboard Calc'!$B$66="","",'Dashboard Calc'!$W$66)</f>
      </c>
      <c r="K66" s="138">
        <f>IF('Dashboard Calc'!$B$66="","",'Dashboard Calc'!$Y$66)</f>
      </c>
      <c r="L66" s="138">
        <f>IF('Dashboard Calc'!$B$66="","",'Dashboard Calc'!$Z$66)</f>
      </c>
      <c r="M66" s="144">
        <f>IF('Dashboard Calc'!$B$66="","",'Dashboard Calc'!$M$66)</f>
      </c>
      <c r="N66" s="144">
        <f>IF('Dashboard Calc'!$B$66="","",'Dashboard Calc'!$O$66)</f>
      </c>
      <c r="O66" s="145">
        <f>IF('Dashboard Calc'!$B$66="","",'Dashboard Calc'!$P$66)</f>
      </c>
      <c r="P66" s="138">
        <f>IF('Dashboard Calc'!$B$66="","",'Dashboard Calc'!$Q$66)</f>
      </c>
      <c r="Q66" s="143">
        <f>IF('Dashboard Calc'!$B$66="","",'Dashboard Calc'!$S$66)</f>
      </c>
      <c r="R66" s="142">
        <f>IF('Dashboard Calc'!$B$66="","",'Dashboard Calc'!$T$66)</f>
      </c>
      <c r="S66" s="138">
        <f>IF('Dashboard Calc'!$B$66="","",'Dashboard Calc'!$AA$66)</f>
      </c>
      <c r="T66" s="143">
        <f>IF('Dashboard Calc'!$B$66="","",'Dashboard Calc'!$AD$66)</f>
      </c>
      <c r="U66" s="138">
        <f>IF('Dashboard Calc'!$B$66="","",'Dashboard Calc'!$AB$66)</f>
      </c>
    </row>
    <row r="67" ht="16" customHeight="1" s="83">
      <c r="B67" s="129">
        <f>IF('Dashboard Calc'!$B$67="","",'Dashboard Calc'!$B$67)</f>
      </c>
      <c r="C67" s="131">
        <f>IF('Dashboard Calc'!$B$67="","",'Dashboard Calc'!$C$67)</f>
      </c>
      <c r="D67" s="178">
        <f>IF('Dashboard Calc'!$B$67="","",'Dashboard Calc'!$D$67)</f>
      </c>
      <c r="E67" s="131">
        <f>IF('Dashboard Calc'!$B$67="","",'Dashboard Calc'!$F$67)</f>
      </c>
      <c r="F67" s="131">
        <f>IF('Dashboard Calc'!$B$67="","",'Dashboard Calc'!$H$67)</f>
      </c>
      <c r="G67" s="131">
        <f>IF('Dashboard Calc'!$B$67="","",'Dashboard Calc'!$I$67)</f>
      </c>
      <c r="H67" s="146">
        <f>IF('Dashboard Calc'!$B$67="","",'Dashboard Calc'!$J$67)</f>
      </c>
      <c r="I67" s="131">
        <f>IF('Dashboard Calc'!$B$67="","",'Dashboard Calc'!$K$67)</f>
      </c>
      <c r="J67" s="147">
        <f>IF('Dashboard Calc'!$B$67="","",'Dashboard Calc'!$W$67)</f>
      </c>
      <c r="K67" s="131">
        <f>IF('Dashboard Calc'!$B$67="","",'Dashboard Calc'!$Y$67)</f>
      </c>
      <c r="L67" s="131">
        <f>IF('Dashboard Calc'!$B$67="","",'Dashboard Calc'!$Z$67)</f>
      </c>
      <c r="M67" s="147">
        <f>IF('Dashboard Calc'!$B$67="","",'Dashboard Calc'!$M$67)</f>
      </c>
      <c r="N67" s="147">
        <f>IF('Dashboard Calc'!$B$67="","",'Dashboard Calc'!$O$67)</f>
      </c>
      <c r="O67" s="148">
        <f>IF('Dashboard Calc'!$B$67="","",'Dashboard Calc'!$P$67)</f>
      </c>
      <c r="P67" s="131">
        <f>IF('Dashboard Calc'!$B$67="","",'Dashboard Calc'!$Q$67)</f>
      </c>
      <c r="Q67" s="146">
        <f>IF('Dashboard Calc'!$B$67="","",'Dashboard Calc'!$S$67)</f>
      </c>
      <c r="R67" s="135">
        <f>IF('Dashboard Calc'!$B$67="","",'Dashboard Calc'!$T$67)</f>
      </c>
      <c r="S67" s="131">
        <f>IF('Dashboard Calc'!$B$67="","",'Dashboard Calc'!$AA$67)</f>
      </c>
      <c r="T67" s="146">
        <f>IF('Dashboard Calc'!$B$67="","",'Dashboard Calc'!$AD$67)</f>
      </c>
      <c r="U67" s="131">
        <f>IF('Dashboard Calc'!$B$67="","",'Dashboard Calc'!$AB$67)</f>
      </c>
    </row>
    <row r="68" ht="16" customHeight="1" s="83">
      <c r="B68" s="137">
        <f>IF('Dashboard Calc'!$B$68="","",'Dashboard Calc'!$B$68)</f>
      </c>
      <c r="C68" s="138">
        <f>IF('Dashboard Calc'!$B$68="","",'Dashboard Calc'!$C$68)</f>
      </c>
      <c r="D68" s="177">
        <f>IF('Dashboard Calc'!$B$68="","",'Dashboard Calc'!$D$68)</f>
      </c>
      <c r="E68" s="138">
        <f>IF('Dashboard Calc'!$B$68="","",'Dashboard Calc'!$F$68)</f>
      </c>
      <c r="F68" s="138">
        <f>IF('Dashboard Calc'!$B$68="","",'Dashboard Calc'!$H$68)</f>
      </c>
      <c r="G68" s="138">
        <f>IF('Dashboard Calc'!$B$68="","",'Dashboard Calc'!$I$68)</f>
      </c>
      <c r="H68" s="143">
        <f>IF('Dashboard Calc'!$B$68="","",'Dashboard Calc'!$J$68)</f>
      </c>
      <c r="I68" s="138">
        <f>IF('Dashboard Calc'!$B$68="","",'Dashboard Calc'!$K$68)</f>
      </c>
      <c r="J68" s="144">
        <f>IF('Dashboard Calc'!$B$68="","",'Dashboard Calc'!$W$68)</f>
      </c>
      <c r="K68" s="138">
        <f>IF('Dashboard Calc'!$B$68="","",'Dashboard Calc'!$Y$68)</f>
      </c>
      <c r="L68" s="138">
        <f>IF('Dashboard Calc'!$B$68="","",'Dashboard Calc'!$Z$68)</f>
      </c>
      <c r="M68" s="144">
        <f>IF('Dashboard Calc'!$B$68="","",'Dashboard Calc'!$M$68)</f>
      </c>
      <c r="N68" s="144">
        <f>IF('Dashboard Calc'!$B$68="","",'Dashboard Calc'!$O$68)</f>
      </c>
      <c r="O68" s="145">
        <f>IF('Dashboard Calc'!$B$68="","",'Dashboard Calc'!$P$68)</f>
      </c>
      <c r="P68" s="138">
        <f>IF('Dashboard Calc'!$B$68="","",'Dashboard Calc'!$Q$68)</f>
      </c>
      <c r="Q68" s="143">
        <f>IF('Dashboard Calc'!$B$68="","",'Dashboard Calc'!$S$68)</f>
      </c>
      <c r="R68" s="142">
        <f>IF('Dashboard Calc'!$B$68="","",'Dashboard Calc'!$T$68)</f>
      </c>
      <c r="S68" s="138">
        <f>IF('Dashboard Calc'!$B$68="","",'Dashboard Calc'!$AA$68)</f>
      </c>
      <c r="T68" s="143">
        <f>IF('Dashboard Calc'!$B$68="","",'Dashboard Calc'!$AD$68)</f>
      </c>
      <c r="U68" s="138">
        <f>IF('Dashboard Calc'!$B$68="","",'Dashboard Calc'!$AB$68)</f>
      </c>
    </row>
    <row r="69" ht="16" customHeight="1" s="83">
      <c r="B69" s="129">
        <f>IF('Dashboard Calc'!$B$69="","",'Dashboard Calc'!$B$69)</f>
      </c>
      <c r="C69" s="131">
        <f>IF('Dashboard Calc'!$B$69="","",'Dashboard Calc'!$C$69)</f>
      </c>
      <c r="D69" s="178">
        <f>IF('Dashboard Calc'!$B$69="","",'Dashboard Calc'!$D$69)</f>
      </c>
      <c r="E69" s="131">
        <f>IF('Dashboard Calc'!$B$69="","",'Dashboard Calc'!$F$69)</f>
      </c>
      <c r="F69" s="131">
        <f>IF('Dashboard Calc'!$B$69="","",'Dashboard Calc'!$H$69)</f>
      </c>
      <c r="G69" s="131">
        <f>IF('Dashboard Calc'!$B$69="","",'Dashboard Calc'!$I$69)</f>
      </c>
      <c r="H69" s="146">
        <f>IF('Dashboard Calc'!$B$69="","",'Dashboard Calc'!$J$69)</f>
      </c>
      <c r="I69" s="131">
        <f>IF('Dashboard Calc'!$B$69="","",'Dashboard Calc'!$K$69)</f>
      </c>
      <c r="J69" s="147">
        <f>IF('Dashboard Calc'!$B$69="","",'Dashboard Calc'!$W$69)</f>
      </c>
      <c r="K69" s="131">
        <f>IF('Dashboard Calc'!$B$69="","",'Dashboard Calc'!$Y$69)</f>
      </c>
      <c r="L69" s="131">
        <f>IF('Dashboard Calc'!$B$69="","",'Dashboard Calc'!$Z$69)</f>
      </c>
      <c r="M69" s="147">
        <f>IF('Dashboard Calc'!$B$69="","",'Dashboard Calc'!$M$69)</f>
      </c>
      <c r="N69" s="147">
        <f>IF('Dashboard Calc'!$B$69="","",'Dashboard Calc'!$O$69)</f>
      </c>
      <c r="O69" s="148">
        <f>IF('Dashboard Calc'!$B$69="","",'Dashboard Calc'!$P$69)</f>
      </c>
      <c r="P69" s="131">
        <f>IF('Dashboard Calc'!$B$69="","",'Dashboard Calc'!$Q$69)</f>
      </c>
      <c r="Q69" s="146">
        <f>IF('Dashboard Calc'!$B$69="","",'Dashboard Calc'!$S$69)</f>
      </c>
      <c r="R69" s="135">
        <f>IF('Dashboard Calc'!$B$69="","",'Dashboard Calc'!$T$69)</f>
      </c>
      <c r="S69" s="131">
        <f>IF('Dashboard Calc'!$B$69="","",'Dashboard Calc'!$AA$69)</f>
      </c>
      <c r="T69" s="146">
        <f>IF('Dashboard Calc'!$B$69="","",'Dashboard Calc'!$AD$69)</f>
      </c>
      <c r="U69" s="131">
        <f>IF('Dashboard Calc'!$B$69="","",'Dashboard Calc'!$AB$69)</f>
      </c>
    </row>
    <row r="70" ht="16" customHeight="1" s="83">
      <c r="B70" s="137">
        <f>IF('Dashboard Calc'!$B$70="","",'Dashboard Calc'!$B$70)</f>
      </c>
      <c r="C70" s="138">
        <f>IF('Dashboard Calc'!$B$70="","",'Dashboard Calc'!$C$70)</f>
      </c>
      <c r="D70" s="177">
        <f>IF('Dashboard Calc'!$B$70="","",'Dashboard Calc'!$D$70)</f>
      </c>
      <c r="E70" s="138">
        <f>IF('Dashboard Calc'!$B$70="","",'Dashboard Calc'!$F$70)</f>
      </c>
      <c r="F70" s="138">
        <f>IF('Dashboard Calc'!$B$70="","",'Dashboard Calc'!$H$70)</f>
      </c>
      <c r="G70" s="138">
        <f>IF('Dashboard Calc'!$B$70="","",'Dashboard Calc'!$I$70)</f>
      </c>
      <c r="H70" s="143">
        <f>IF('Dashboard Calc'!$B$70="","",'Dashboard Calc'!$J$70)</f>
      </c>
      <c r="I70" s="138">
        <f>IF('Dashboard Calc'!$B$70="","",'Dashboard Calc'!$K$70)</f>
      </c>
      <c r="J70" s="144">
        <f>IF('Dashboard Calc'!$B$70="","",'Dashboard Calc'!$W$70)</f>
      </c>
      <c r="K70" s="138">
        <f>IF('Dashboard Calc'!$B$70="","",'Dashboard Calc'!$Y$70)</f>
      </c>
      <c r="L70" s="138">
        <f>IF('Dashboard Calc'!$B$70="","",'Dashboard Calc'!$Z$70)</f>
      </c>
      <c r="M70" s="144">
        <f>IF('Dashboard Calc'!$B$70="","",'Dashboard Calc'!$M$70)</f>
      </c>
      <c r="N70" s="144">
        <f>IF('Dashboard Calc'!$B$70="","",'Dashboard Calc'!$O$70)</f>
      </c>
      <c r="O70" s="145">
        <f>IF('Dashboard Calc'!$B$70="","",'Dashboard Calc'!$P$70)</f>
      </c>
      <c r="P70" s="138">
        <f>IF('Dashboard Calc'!$B$70="","",'Dashboard Calc'!$Q$70)</f>
      </c>
      <c r="Q70" s="143">
        <f>IF('Dashboard Calc'!$B$70="","",'Dashboard Calc'!$S$70)</f>
      </c>
      <c r="R70" s="142">
        <f>IF('Dashboard Calc'!$B$70="","",'Dashboard Calc'!$T$70)</f>
      </c>
      <c r="S70" s="138">
        <f>IF('Dashboard Calc'!$B$70="","",'Dashboard Calc'!$AA$70)</f>
      </c>
      <c r="T70" s="143">
        <f>IF('Dashboard Calc'!$B$70="","",'Dashboard Calc'!$AD$70)</f>
      </c>
      <c r="U70" s="138">
        <f>IF('Dashboard Calc'!$B$70="","",'Dashboard Calc'!$AB$70)</f>
      </c>
    </row>
    <row r="71" ht="16" customHeight="1" s="83">
      <c r="B71" s="129">
        <f>IF('Dashboard Calc'!$B$71="","",'Dashboard Calc'!$B$71)</f>
      </c>
      <c r="C71" s="131">
        <f>IF('Dashboard Calc'!$B$71="","",'Dashboard Calc'!$C$71)</f>
      </c>
      <c r="D71" s="178">
        <f>IF('Dashboard Calc'!$B$71="","",'Dashboard Calc'!$D$71)</f>
      </c>
      <c r="E71" s="131">
        <f>IF('Dashboard Calc'!$B$71="","",'Dashboard Calc'!$F$71)</f>
      </c>
      <c r="F71" s="131">
        <f>IF('Dashboard Calc'!$B$71="","",'Dashboard Calc'!$H$71)</f>
      </c>
      <c r="G71" s="131">
        <f>IF('Dashboard Calc'!$B$71="","",'Dashboard Calc'!$I$71)</f>
      </c>
      <c r="H71" s="146">
        <f>IF('Dashboard Calc'!$B$71="","",'Dashboard Calc'!$J$71)</f>
      </c>
      <c r="I71" s="131">
        <f>IF('Dashboard Calc'!$B$71="","",'Dashboard Calc'!$K$71)</f>
      </c>
      <c r="J71" s="147">
        <f>IF('Dashboard Calc'!$B$71="","",'Dashboard Calc'!$W$71)</f>
      </c>
      <c r="K71" s="131">
        <f>IF('Dashboard Calc'!$B$71="","",'Dashboard Calc'!$Y$71)</f>
      </c>
      <c r="L71" s="131">
        <f>IF('Dashboard Calc'!$B$71="","",'Dashboard Calc'!$Z$71)</f>
      </c>
      <c r="M71" s="147">
        <f>IF('Dashboard Calc'!$B$71="","",'Dashboard Calc'!$M$71)</f>
      </c>
      <c r="N71" s="147">
        <f>IF('Dashboard Calc'!$B$71="","",'Dashboard Calc'!$O$71)</f>
      </c>
      <c r="O71" s="148">
        <f>IF('Dashboard Calc'!$B$71="","",'Dashboard Calc'!$P$71)</f>
      </c>
      <c r="P71" s="131">
        <f>IF('Dashboard Calc'!$B$71="","",'Dashboard Calc'!$Q$71)</f>
      </c>
      <c r="Q71" s="146">
        <f>IF('Dashboard Calc'!$B$71="","",'Dashboard Calc'!$S$71)</f>
      </c>
      <c r="R71" s="135">
        <f>IF('Dashboard Calc'!$B$71="","",'Dashboard Calc'!$T$71)</f>
      </c>
      <c r="S71" s="131">
        <f>IF('Dashboard Calc'!$B$71="","",'Dashboard Calc'!$AA$71)</f>
      </c>
      <c r="T71" s="146">
        <f>IF('Dashboard Calc'!$B$71="","",'Dashboard Calc'!$AD$71)</f>
      </c>
      <c r="U71" s="131">
        <f>IF('Dashboard Calc'!$B$71="","",'Dashboard Calc'!$AB$71)</f>
      </c>
    </row>
    <row r="72" ht="16" customHeight="1" s="83">
      <c r="B72" s="137">
        <f>IF('Dashboard Calc'!$B$72="","",'Dashboard Calc'!$B$72)</f>
      </c>
      <c r="C72" s="138">
        <f>IF('Dashboard Calc'!$B$72="","",'Dashboard Calc'!$C$72)</f>
      </c>
      <c r="D72" s="177">
        <f>IF('Dashboard Calc'!$B$72="","",'Dashboard Calc'!$D$72)</f>
      </c>
      <c r="E72" s="138">
        <f>IF('Dashboard Calc'!$B$72="","",'Dashboard Calc'!$F$72)</f>
      </c>
      <c r="F72" s="138">
        <f>IF('Dashboard Calc'!$B$72="","",'Dashboard Calc'!$H$72)</f>
      </c>
      <c r="G72" s="138">
        <f>IF('Dashboard Calc'!$B$72="","",'Dashboard Calc'!$I$72)</f>
      </c>
      <c r="H72" s="143">
        <f>IF('Dashboard Calc'!$B$72="","",'Dashboard Calc'!$J$72)</f>
      </c>
      <c r="I72" s="138">
        <f>IF('Dashboard Calc'!$B$72="","",'Dashboard Calc'!$K$72)</f>
      </c>
      <c r="J72" s="144">
        <f>IF('Dashboard Calc'!$B$72="","",'Dashboard Calc'!$W$72)</f>
      </c>
      <c r="K72" s="138">
        <f>IF('Dashboard Calc'!$B$72="","",'Dashboard Calc'!$Y$72)</f>
      </c>
      <c r="L72" s="138">
        <f>IF('Dashboard Calc'!$B$72="","",'Dashboard Calc'!$Z$72)</f>
      </c>
      <c r="M72" s="144">
        <f>IF('Dashboard Calc'!$B$72="","",'Dashboard Calc'!$M$72)</f>
      </c>
      <c r="N72" s="144">
        <f>IF('Dashboard Calc'!$B$72="","",'Dashboard Calc'!$O$72)</f>
      </c>
      <c r="O72" s="145">
        <f>IF('Dashboard Calc'!$B$72="","",'Dashboard Calc'!$P$72)</f>
      </c>
      <c r="P72" s="138">
        <f>IF('Dashboard Calc'!$B$72="","",'Dashboard Calc'!$Q$72)</f>
      </c>
      <c r="Q72" s="143">
        <f>IF('Dashboard Calc'!$B$72="","",'Dashboard Calc'!$S$72)</f>
      </c>
      <c r="R72" s="142">
        <f>IF('Dashboard Calc'!$B$72="","",'Dashboard Calc'!$T$72)</f>
      </c>
      <c r="S72" s="138">
        <f>IF('Dashboard Calc'!$B$72="","",'Dashboard Calc'!$AA$72)</f>
      </c>
      <c r="T72" s="143">
        <f>IF('Dashboard Calc'!$B$72="","",'Dashboard Calc'!$AD$72)</f>
      </c>
      <c r="U72" s="138">
        <f>IF('Dashboard Calc'!$B$72="","",'Dashboard Calc'!$AB$72)</f>
      </c>
    </row>
    <row r="73" ht="16" customHeight="1" s="83">
      <c r="B73" s="129">
        <f>IF('Dashboard Calc'!$B$73="","",'Dashboard Calc'!$B$73)</f>
      </c>
      <c r="C73" s="131">
        <f>IF('Dashboard Calc'!$B$73="","",'Dashboard Calc'!$C$73)</f>
      </c>
      <c r="D73" s="178">
        <f>IF('Dashboard Calc'!$B$73="","",'Dashboard Calc'!$D$73)</f>
      </c>
      <c r="E73" s="131">
        <f>IF('Dashboard Calc'!$B$73="","",'Dashboard Calc'!$F$73)</f>
      </c>
      <c r="F73" s="131">
        <f>IF('Dashboard Calc'!$B$73="","",'Dashboard Calc'!$H$73)</f>
      </c>
      <c r="G73" s="131">
        <f>IF('Dashboard Calc'!$B$73="","",'Dashboard Calc'!$I$73)</f>
      </c>
      <c r="H73" s="146">
        <f>IF('Dashboard Calc'!$B$73="","",'Dashboard Calc'!$J$73)</f>
      </c>
      <c r="I73" s="131">
        <f>IF('Dashboard Calc'!$B$73="","",'Dashboard Calc'!$K$73)</f>
      </c>
      <c r="J73" s="147">
        <f>IF('Dashboard Calc'!$B$73="","",'Dashboard Calc'!$W$73)</f>
      </c>
      <c r="K73" s="131">
        <f>IF('Dashboard Calc'!$B$73="","",'Dashboard Calc'!$Y$73)</f>
      </c>
      <c r="L73" s="131">
        <f>IF('Dashboard Calc'!$B$73="","",'Dashboard Calc'!$Z$73)</f>
      </c>
      <c r="M73" s="147">
        <f>IF('Dashboard Calc'!$B$73="","",'Dashboard Calc'!$M$73)</f>
      </c>
      <c r="N73" s="147">
        <f>IF('Dashboard Calc'!$B$73="","",'Dashboard Calc'!$O$73)</f>
      </c>
      <c r="O73" s="148">
        <f>IF('Dashboard Calc'!$B$73="","",'Dashboard Calc'!$P$73)</f>
      </c>
      <c r="P73" s="131">
        <f>IF('Dashboard Calc'!$B$73="","",'Dashboard Calc'!$Q$73)</f>
      </c>
      <c r="Q73" s="146">
        <f>IF('Dashboard Calc'!$B$73="","",'Dashboard Calc'!$S$73)</f>
      </c>
      <c r="R73" s="135">
        <f>IF('Dashboard Calc'!$B$73="","",'Dashboard Calc'!$T$73)</f>
      </c>
      <c r="S73" s="131">
        <f>IF('Dashboard Calc'!$B$73="","",'Dashboard Calc'!$AA$73)</f>
      </c>
      <c r="T73" s="146">
        <f>IF('Dashboard Calc'!$B$73="","",'Dashboard Calc'!$AD$73)</f>
      </c>
      <c r="U73" s="131">
        <f>IF('Dashboard Calc'!$B$73="","",'Dashboard Calc'!$AB$73)</f>
      </c>
    </row>
    <row r="74" ht="16" customHeight="1" s="83">
      <c r="B74" s="137">
        <f>IF('Dashboard Calc'!$B$74="","",'Dashboard Calc'!$B$74)</f>
      </c>
      <c r="C74" s="138">
        <f>IF('Dashboard Calc'!$B$74="","",'Dashboard Calc'!$C$74)</f>
      </c>
      <c r="D74" s="177">
        <f>IF('Dashboard Calc'!$B$74="","",'Dashboard Calc'!$D$74)</f>
      </c>
      <c r="E74" s="138">
        <f>IF('Dashboard Calc'!$B$74="","",'Dashboard Calc'!$F$74)</f>
      </c>
      <c r="F74" s="138">
        <f>IF('Dashboard Calc'!$B$74="","",'Dashboard Calc'!$H$74)</f>
      </c>
      <c r="G74" s="138">
        <f>IF('Dashboard Calc'!$B$74="","",'Dashboard Calc'!$I$74)</f>
      </c>
      <c r="H74" s="143">
        <f>IF('Dashboard Calc'!$B$74="","",'Dashboard Calc'!$J$74)</f>
      </c>
      <c r="I74" s="138">
        <f>IF('Dashboard Calc'!$B$74="","",'Dashboard Calc'!$K$74)</f>
      </c>
      <c r="J74" s="144">
        <f>IF('Dashboard Calc'!$B$74="","",'Dashboard Calc'!$W$74)</f>
      </c>
      <c r="K74" s="138">
        <f>IF('Dashboard Calc'!$B$74="","",'Dashboard Calc'!$Y$74)</f>
      </c>
      <c r="L74" s="138">
        <f>IF('Dashboard Calc'!$B$74="","",'Dashboard Calc'!$Z$74)</f>
      </c>
      <c r="M74" s="144">
        <f>IF('Dashboard Calc'!$B$74="","",'Dashboard Calc'!$M$74)</f>
      </c>
      <c r="N74" s="144">
        <f>IF('Dashboard Calc'!$B$74="","",'Dashboard Calc'!$O$74)</f>
      </c>
      <c r="O74" s="145">
        <f>IF('Dashboard Calc'!$B$74="","",'Dashboard Calc'!$P$74)</f>
      </c>
      <c r="P74" s="138">
        <f>IF('Dashboard Calc'!$B$74="","",'Dashboard Calc'!$Q$74)</f>
      </c>
      <c r="Q74" s="143">
        <f>IF('Dashboard Calc'!$B$74="","",'Dashboard Calc'!$S$74)</f>
      </c>
      <c r="R74" s="142">
        <f>IF('Dashboard Calc'!$B$74="","",'Dashboard Calc'!$T$74)</f>
      </c>
      <c r="S74" s="138">
        <f>IF('Dashboard Calc'!$B$74="","",'Dashboard Calc'!$AA$74)</f>
      </c>
      <c r="T74" s="143">
        <f>IF('Dashboard Calc'!$B$74="","",'Dashboard Calc'!$AD$74)</f>
      </c>
      <c r="U74" s="138">
        <f>IF('Dashboard Calc'!$B$74="","",'Dashboard Calc'!$AB$74)</f>
      </c>
    </row>
    <row r="75" ht="16" customHeight="1" s="83">
      <c r="B75" s="129">
        <f>IF('Dashboard Calc'!$B$75="","",'Dashboard Calc'!$B$75)</f>
      </c>
      <c r="C75" s="131">
        <f>IF('Dashboard Calc'!$B$75="","",'Dashboard Calc'!$C$75)</f>
      </c>
      <c r="D75" s="178">
        <f>IF('Dashboard Calc'!$B$75="","",'Dashboard Calc'!$D$75)</f>
      </c>
      <c r="E75" s="131">
        <f>IF('Dashboard Calc'!$B$75="","",'Dashboard Calc'!$F$75)</f>
      </c>
      <c r="F75" s="131">
        <f>IF('Dashboard Calc'!$B$75="","",'Dashboard Calc'!$H$75)</f>
      </c>
      <c r="G75" s="131">
        <f>IF('Dashboard Calc'!$B$75="","",'Dashboard Calc'!$I$75)</f>
      </c>
      <c r="H75" s="146">
        <f>IF('Dashboard Calc'!$B$75="","",'Dashboard Calc'!$J$75)</f>
      </c>
      <c r="I75" s="131">
        <f>IF('Dashboard Calc'!$B$75="","",'Dashboard Calc'!$K$75)</f>
      </c>
      <c r="J75" s="147">
        <f>IF('Dashboard Calc'!$B$75="","",'Dashboard Calc'!$W$75)</f>
      </c>
      <c r="K75" s="131">
        <f>IF('Dashboard Calc'!$B$75="","",'Dashboard Calc'!$Y$75)</f>
      </c>
      <c r="L75" s="131">
        <f>IF('Dashboard Calc'!$B$75="","",'Dashboard Calc'!$Z$75)</f>
      </c>
      <c r="M75" s="147">
        <f>IF('Dashboard Calc'!$B$75="","",'Dashboard Calc'!$M$75)</f>
      </c>
      <c r="N75" s="147">
        <f>IF('Dashboard Calc'!$B$75="","",'Dashboard Calc'!$O$75)</f>
      </c>
      <c r="O75" s="148">
        <f>IF('Dashboard Calc'!$B$75="","",'Dashboard Calc'!$P$75)</f>
      </c>
      <c r="P75" s="131">
        <f>IF('Dashboard Calc'!$B$75="","",'Dashboard Calc'!$Q$75)</f>
      </c>
      <c r="Q75" s="146">
        <f>IF('Dashboard Calc'!$B$75="","",'Dashboard Calc'!$S$75)</f>
      </c>
      <c r="R75" s="135">
        <f>IF('Dashboard Calc'!$B$75="","",'Dashboard Calc'!$T$75)</f>
      </c>
      <c r="S75" s="131">
        <f>IF('Dashboard Calc'!$B$75="","",'Dashboard Calc'!$AA$75)</f>
      </c>
      <c r="T75" s="146">
        <f>IF('Dashboard Calc'!$B$75="","",'Dashboard Calc'!$AD$75)</f>
      </c>
      <c r="U75" s="131">
        <f>IF('Dashboard Calc'!$B$75="","",'Dashboard Calc'!$AB$75)</f>
      </c>
    </row>
    <row r="76" ht="16" customHeight="1" s="83">
      <c r="B76" s="137">
        <f>IF('Dashboard Calc'!$B$76="","",'Dashboard Calc'!$B$76)</f>
      </c>
      <c r="C76" s="138">
        <f>IF('Dashboard Calc'!$B$76="","",'Dashboard Calc'!$C$76)</f>
      </c>
      <c r="D76" s="177">
        <f>IF('Dashboard Calc'!$B$76="","",'Dashboard Calc'!$D$76)</f>
      </c>
      <c r="E76" s="138">
        <f>IF('Dashboard Calc'!$B$76="","",'Dashboard Calc'!$F$76)</f>
      </c>
      <c r="F76" s="138">
        <f>IF('Dashboard Calc'!$B$76="","",'Dashboard Calc'!$H$76)</f>
      </c>
      <c r="G76" s="138">
        <f>IF('Dashboard Calc'!$B$76="","",'Dashboard Calc'!$I$76)</f>
      </c>
      <c r="H76" s="143">
        <f>IF('Dashboard Calc'!$B$76="","",'Dashboard Calc'!$J$76)</f>
      </c>
      <c r="I76" s="138">
        <f>IF('Dashboard Calc'!$B$76="","",'Dashboard Calc'!$K$76)</f>
      </c>
      <c r="J76" s="144">
        <f>IF('Dashboard Calc'!$B$76="","",'Dashboard Calc'!$W$76)</f>
      </c>
      <c r="K76" s="138">
        <f>IF('Dashboard Calc'!$B$76="","",'Dashboard Calc'!$Y$76)</f>
      </c>
      <c r="L76" s="138">
        <f>IF('Dashboard Calc'!$B$76="","",'Dashboard Calc'!$Z$76)</f>
      </c>
      <c r="M76" s="144">
        <f>IF('Dashboard Calc'!$B$76="","",'Dashboard Calc'!$M$76)</f>
      </c>
      <c r="N76" s="144">
        <f>IF('Dashboard Calc'!$B$76="","",'Dashboard Calc'!$O$76)</f>
      </c>
      <c r="O76" s="145">
        <f>IF('Dashboard Calc'!$B$76="","",'Dashboard Calc'!$P$76)</f>
      </c>
      <c r="P76" s="138">
        <f>IF('Dashboard Calc'!$B$76="","",'Dashboard Calc'!$Q$76)</f>
      </c>
      <c r="Q76" s="143">
        <f>IF('Dashboard Calc'!$B$76="","",'Dashboard Calc'!$S$76)</f>
      </c>
      <c r="R76" s="142">
        <f>IF('Dashboard Calc'!$B$76="","",'Dashboard Calc'!$T$76)</f>
      </c>
      <c r="S76" s="138">
        <f>IF('Dashboard Calc'!$B$76="","",'Dashboard Calc'!$AA$76)</f>
      </c>
      <c r="T76" s="143">
        <f>IF('Dashboard Calc'!$B$76="","",'Dashboard Calc'!$AD$76)</f>
      </c>
      <c r="U76" s="138">
        <f>IF('Dashboard Calc'!$B$76="","",'Dashboard Calc'!$AB$76)</f>
      </c>
    </row>
    <row r="77" ht="16" customHeight="1" s="83">
      <c r="B77" s="129">
        <f>IF('Dashboard Calc'!$B$77="","",'Dashboard Calc'!$B$77)</f>
      </c>
      <c r="C77" s="131">
        <f>IF('Dashboard Calc'!$B$77="","",'Dashboard Calc'!$C$77)</f>
      </c>
      <c r="D77" s="178">
        <f>IF('Dashboard Calc'!$B$77="","",'Dashboard Calc'!$D$77)</f>
      </c>
      <c r="E77" s="131">
        <f>IF('Dashboard Calc'!$B$77="","",'Dashboard Calc'!$F$77)</f>
      </c>
      <c r="F77" s="131">
        <f>IF('Dashboard Calc'!$B$77="","",'Dashboard Calc'!$H$77)</f>
      </c>
      <c r="G77" s="131">
        <f>IF('Dashboard Calc'!$B$77="","",'Dashboard Calc'!$I$77)</f>
      </c>
      <c r="H77" s="146">
        <f>IF('Dashboard Calc'!$B$77="","",'Dashboard Calc'!$J$77)</f>
      </c>
      <c r="I77" s="131">
        <f>IF('Dashboard Calc'!$B$77="","",'Dashboard Calc'!$K$77)</f>
      </c>
      <c r="J77" s="147">
        <f>IF('Dashboard Calc'!$B$77="","",'Dashboard Calc'!$W$77)</f>
      </c>
      <c r="K77" s="131">
        <f>IF('Dashboard Calc'!$B$77="","",'Dashboard Calc'!$Y$77)</f>
      </c>
      <c r="L77" s="131">
        <f>IF('Dashboard Calc'!$B$77="","",'Dashboard Calc'!$Z$77)</f>
      </c>
      <c r="M77" s="147">
        <f>IF('Dashboard Calc'!$B$77="","",'Dashboard Calc'!$M$77)</f>
      </c>
      <c r="N77" s="147">
        <f>IF('Dashboard Calc'!$B$77="","",'Dashboard Calc'!$O$77)</f>
      </c>
      <c r="O77" s="148">
        <f>IF('Dashboard Calc'!$B$77="","",'Dashboard Calc'!$P$77)</f>
      </c>
      <c r="P77" s="131">
        <f>IF('Dashboard Calc'!$B$77="","",'Dashboard Calc'!$Q$77)</f>
      </c>
      <c r="Q77" s="146">
        <f>IF('Dashboard Calc'!$B$77="","",'Dashboard Calc'!$S$77)</f>
      </c>
      <c r="R77" s="135">
        <f>IF('Dashboard Calc'!$B$77="","",'Dashboard Calc'!$T$77)</f>
      </c>
      <c r="S77" s="131">
        <f>IF('Dashboard Calc'!$B$77="","",'Dashboard Calc'!$AA$77)</f>
      </c>
      <c r="T77" s="146">
        <f>IF('Dashboard Calc'!$B$77="","",'Dashboard Calc'!$AD$77)</f>
      </c>
      <c r="U77" s="131">
        <f>IF('Dashboard Calc'!$B$77="","",'Dashboard Calc'!$AB$77)</f>
      </c>
    </row>
    <row r="78" ht="16" customHeight="1" s="83">
      <c r="B78" s="137">
        <f>IF('Dashboard Calc'!$B$78="","",'Dashboard Calc'!$B$78)</f>
      </c>
      <c r="C78" s="138">
        <f>IF('Dashboard Calc'!$B$78="","",'Dashboard Calc'!$C$78)</f>
      </c>
      <c r="D78" s="177">
        <f>IF('Dashboard Calc'!$B$78="","",'Dashboard Calc'!$D$78)</f>
      </c>
      <c r="E78" s="138">
        <f>IF('Dashboard Calc'!$B$78="","",'Dashboard Calc'!$F$78)</f>
      </c>
      <c r="F78" s="138">
        <f>IF('Dashboard Calc'!$B$78="","",'Dashboard Calc'!$H$78)</f>
      </c>
      <c r="G78" s="138">
        <f>IF('Dashboard Calc'!$B$78="","",'Dashboard Calc'!$I$78)</f>
      </c>
      <c r="H78" s="143">
        <f>IF('Dashboard Calc'!$B$78="","",'Dashboard Calc'!$J$78)</f>
      </c>
      <c r="I78" s="138">
        <f>IF('Dashboard Calc'!$B$78="","",'Dashboard Calc'!$K$78)</f>
      </c>
      <c r="J78" s="144">
        <f>IF('Dashboard Calc'!$B$78="","",'Dashboard Calc'!$W$78)</f>
      </c>
      <c r="K78" s="138">
        <f>IF('Dashboard Calc'!$B$78="","",'Dashboard Calc'!$Y$78)</f>
      </c>
      <c r="L78" s="138">
        <f>IF('Dashboard Calc'!$B$78="","",'Dashboard Calc'!$Z$78)</f>
      </c>
      <c r="M78" s="144">
        <f>IF('Dashboard Calc'!$B$78="","",'Dashboard Calc'!$M$78)</f>
      </c>
      <c r="N78" s="144">
        <f>IF('Dashboard Calc'!$B$78="","",'Dashboard Calc'!$O$78)</f>
      </c>
      <c r="O78" s="145">
        <f>IF('Dashboard Calc'!$B$78="","",'Dashboard Calc'!$P$78)</f>
      </c>
      <c r="P78" s="138">
        <f>IF('Dashboard Calc'!$B$78="","",'Dashboard Calc'!$Q$78)</f>
      </c>
      <c r="Q78" s="143">
        <f>IF('Dashboard Calc'!$B$78="","",'Dashboard Calc'!$S$78)</f>
      </c>
      <c r="R78" s="142">
        <f>IF('Dashboard Calc'!$B$78="","",'Dashboard Calc'!$T$78)</f>
      </c>
      <c r="S78" s="138">
        <f>IF('Dashboard Calc'!$B$78="","",'Dashboard Calc'!$AA$78)</f>
      </c>
      <c r="T78" s="143">
        <f>IF('Dashboard Calc'!$B$78="","",'Dashboard Calc'!$AD$78)</f>
      </c>
      <c r="U78" s="138">
        <f>IF('Dashboard Calc'!$B$78="","",'Dashboard Calc'!$AB$78)</f>
      </c>
    </row>
    <row r="79" ht="16" customHeight="1" s="83">
      <c r="B79" s="129">
        <f>IF('Dashboard Calc'!$B$79="","",'Dashboard Calc'!$B$79)</f>
      </c>
      <c r="C79" s="131">
        <f>IF('Dashboard Calc'!$B$79="","",'Dashboard Calc'!$C$79)</f>
      </c>
      <c r="D79" s="178">
        <f>IF('Dashboard Calc'!$B$79="","",'Dashboard Calc'!$D$79)</f>
      </c>
      <c r="E79" s="131">
        <f>IF('Dashboard Calc'!$B$79="","",'Dashboard Calc'!$F$79)</f>
      </c>
      <c r="F79" s="131">
        <f>IF('Dashboard Calc'!$B$79="","",'Dashboard Calc'!$H$79)</f>
      </c>
      <c r="G79" s="131">
        <f>IF('Dashboard Calc'!$B$79="","",'Dashboard Calc'!$I$79)</f>
      </c>
      <c r="H79" s="146">
        <f>IF('Dashboard Calc'!$B$79="","",'Dashboard Calc'!$J$79)</f>
      </c>
      <c r="I79" s="131">
        <f>IF('Dashboard Calc'!$B$79="","",'Dashboard Calc'!$K$79)</f>
      </c>
      <c r="J79" s="147">
        <f>IF('Dashboard Calc'!$B$79="","",'Dashboard Calc'!$W$79)</f>
      </c>
      <c r="K79" s="131">
        <f>IF('Dashboard Calc'!$B$79="","",'Dashboard Calc'!$Y$79)</f>
      </c>
      <c r="L79" s="131">
        <f>IF('Dashboard Calc'!$B$79="","",'Dashboard Calc'!$Z$79)</f>
      </c>
      <c r="M79" s="147">
        <f>IF('Dashboard Calc'!$B$79="","",'Dashboard Calc'!$M$79)</f>
      </c>
      <c r="N79" s="147">
        <f>IF('Dashboard Calc'!$B$79="","",'Dashboard Calc'!$O$79)</f>
      </c>
      <c r="O79" s="148">
        <f>IF('Dashboard Calc'!$B$79="","",'Dashboard Calc'!$P$79)</f>
      </c>
      <c r="P79" s="131">
        <f>IF('Dashboard Calc'!$B$79="","",'Dashboard Calc'!$Q$79)</f>
      </c>
      <c r="Q79" s="146">
        <f>IF('Dashboard Calc'!$B$79="","",'Dashboard Calc'!$S$79)</f>
      </c>
      <c r="R79" s="135">
        <f>IF('Dashboard Calc'!$B$79="","",'Dashboard Calc'!$T$79)</f>
      </c>
      <c r="S79" s="131">
        <f>IF('Dashboard Calc'!$B$79="","",'Dashboard Calc'!$AA$79)</f>
      </c>
      <c r="T79" s="146">
        <f>IF('Dashboard Calc'!$B$79="","",'Dashboard Calc'!$AD$79)</f>
      </c>
      <c r="U79" s="131">
        <f>IF('Dashboard Calc'!$B$79="","",'Dashboard Calc'!$AB$79)</f>
      </c>
    </row>
    <row r="80" ht="16" customHeight="1" s="83">
      <c r="B80" s="137">
        <f>IF('Dashboard Calc'!$B$80="","",'Dashboard Calc'!$B$80)</f>
      </c>
      <c r="C80" s="138">
        <f>IF('Dashboard Calc'!$B$80="","",'Dashboard Calc'!$C$80)</f>
      </c>
      <c r="D80" s="177">
        <f>IF('Dashboard Calc'!$B$80="","",'Dashboard Calc'!$D$80)</f>
      </c>
      <c r="E80" s="138">
        <f>IF('Dashboard Calc'!$B$80="","",'Dashboard Calc'!$F$80)</f>
      </c>
      <c r="F80" s="138">
        <f>IF('Dashboard Calc'!$B$80="","",'Dashboard Calc'!$H$80)</f>
      </c>
      <c r="G80" s="138">
        <f>IF('Dashboard Calc'!$B$80="","",'Dashboard Calc'!$I$80)</f>
      </c>
      <c r="H80" s="143">
        <f>IF('Dashboard Calc'!$B$80="","",'Dashboard Calc'!$J$80)</f>
      </c>
      <c r="I80" s="138">
        <f>IF('Dashboard Calc'!$B$80="","",'Dashboard Calc'!$K$80)</f>
      </c>
      <c r="J80" s="144">
        <f>IF('Dashboard Calc'!$B$80="","",'Dashboard Calc'!$W$80)</f>
      </c>
      <c r="K80" s="138">
        <f>IF('Dashboard Calc'!$B$80="","",'Dashboard Calc'!$Y$80)</f>
      </c>
      <c r="L80" s="138">
        <f>IF('Dashboard Calc'!$B$80="","",'Dashboard Calc'!$Z$80)</f>
      </c>
      <c r="M80" s="144">
        <f>IF('Dashboard Calc'!$B$80="","",'Dashboard Calc'!$M$80)</f>
      </c>
      <c r="N80" s="144">
        <f>IF('Dashboard Calc'!$B$80="","",'Dashboard Calc'!$O$80)</f>
      </c>
      <c r="O80" s="145">
        <f>IF('Dashboard Calc'!$B$80="","",'Dashboard Calc'!$P$80)</f>
      </c>
      <c r="P80" s="138">
        <f>IF('Dashboard Calc'!$B$80="","",'Dashboard Calc'!$Q$80)</f>
      </c>
      <c r="Q80" s="143">
        <f>IF('Dashboard Calc'!$B$80="","",'Dashboard Calc'!$S$80)</f>
      </c>
      <c r="R80" s="142">
        <f>IF('Dashboard Calc'!$B$80="","",'Dashboard Calc'!$T$80)</f>
      </c>
      <c r="S80" s="138">
        <f>IF('Dashboard Calc'!$B$80="","",'Dashboard Calc'!$AA$80)</f>
      </c>
      <c r="T80" s="143">
        <f>IF('Dashboard Calc'!$B$80="","",'Dashboard Calc'!$AD$80)</f>
      </c>
      <c r="U80" s="138">
        <f>IF('Dashboard Calc'!$B$80="","",'Dashboard Calc'!$AB$80)</f>
      </c>
    </row>
    <row r="81" ht="16" customHeight="1" s="83">
      <c r="B81" s="129">
        <f>IF('Dashboard Calc'!$B$81="","",'Dashboard Calc'!$B$81)</f>
      </c>
      <c r="C81" s="131">
        <f>IF('Dashboard Calc'!$B$81="","",'Dashboard Calc'!$C$81)</f>
      </c>
      <c r="D81" s="178">
        <f>IF('Dashboard Calc'!$B$81="","",'Dashboard Calc'!$D$81)</f>
      </c>
      <c r="E81" s="131">
        <f>IF('Dashboard Calc'!$B$81="","",'Dashboard Calc'!$F$81)</f>
      </c>
      <c r="F81" s="131">
        <f>IF('Dashboard Calc'!$B$81="","",'Dashboard Calc'!$H$81)</f>
      </c>
      <c r="G81" s="131">
        <f>IF('Dashboard Calc'!$B$81="","",'Dashboard Calc'!$I$81)</f>
      </c>
      <c r="H81" s="146">
        <f>IF('Dashboard Calc'!$B$81="","",'Dashboard Calc'!$J$81)</f>
      </c>
      <c r="I81" s="131">
        <f>IF('Dashboard Calc'!$B$81="","",'Dashboard Calc'!$K$81)</f>
      </c>
      <c r="J81" s="147">
        <f>IF('Dashboard Calc'!$B$81="","",'Dashboard Calc'!$W$81)</f>
      </c>
      <c r="K81" s="131">
        <f>IF('Dashboard Calc'!$B$81="","",'Dashboard Calc'!$Y$81)</f>
      </c>
      <c r="L81" s="131">
        <f>IF('Dashboard Calc'!$B$81="","",'Dashboard Calc'!$Z$81)</f>
      </c>
      <c r="M81" s="147">
        <f>IF('Dashboard Calc'!$B$81="","",'Dashboard Calc'!$M$81)</f>
      </c>
      <c r="N81" s="147">
        <f>IF('Dashboard Calc'!$B$81="","",'Dashboard Calc'!$O$81)</f>
      </c>
      <c r="O81" s="148">
        <f>IF('Dashboard Calc'!$B$81="","",'Dashboard Calc'!$P$81)</f>
      </c>
      <c r="P81" s="131">
        <f>IF('Dashboard Calc'!$B$81="","",'Dashboard Calc'!$Q$81)</f>
      </c>
      <c r="Q81" s="146">
        <f>IF('Dashboard Calc'!$B$81="","",'Dashboard Calc'!$S$81)</f>
      </c>
      <c r="R81" s="135">
        <f>IF('Dashboard Calc'!$B$81="","",'Dashboard Calc'!$T$81)</f>
      </c>
      <c r="S81" s="131">
        <f>IF('Dashboard Calc'!$B$81="","",'Dashboard Calc'!$AA$81)</f>
      </c>
      <c r="T81" s="146">
        <f>IF('Dashboard Calc'!$B$81="","",'Dashboard Calc'!$AD$81)</f>
      </c>
      <c r="U81" s="131">
        <f>IF('Dashboard Calc'!$B$81="","",'Dashboard Calc'!$AB$81)</f>
      </c>
    </row>
    <row r="82" ht="16" customHeight="1" s="83">
      <c r="B82" s="137">
        <f>IF('Dashboard Calc'!$B$82="","",'Dashboard Calc'!$B$82)</f>
      </c>
      <c r="C82" s="138">
        <f>IF('Dashboard Calc'!$B$82="","",'Dashboard Calc'!$C$82)</f>
      </c>
      <c r="D82" s="177">
        <f>IF('Dashboard Calc'!$B$82="","",'Dashboard Calc'!$D$82)</f>
      </c>
      <c r="E82" s="138">
        <f>IF('Dashboard Calc'!$B$82="","",'Dashboard Calc'!$F$82)</f>
      </c>
      <c r="F82" s="138">
        <f>IF('Dashboard Calc'!$B$82="","",'Dashboard Calc'!$H$82)</f>
      </c>
      <c r="G82" s="138">
        <f>IF('Dashboard Calc'!$B$82="","",'Dashboard Calc'!$I$82)</f>
      </c>
      <c r="H82" s="143">
        <f>IF('Dashboard Calc'!$B$82="","",'Dashboard Calc'!$J$82)</f>
      </c>
      <c r="I82" s="138">
        <f>IF('Dashboard Calc'!$B$82="","",'Dashboard Calc'!$K$82)</f>
      </c>
      <c r="J82" s="144">
        <f>IF('Dashboard Calc'!$B$82="","",'Dashboard Calc'!$W$82)</f>
      </c>
      <c r="K82" s="138">
        <f>IF('Dashboard Calc'!$B$82="","",'Dashboard Calc'!$Y$82)</f>
      </c>
      <c r="L82" s="138">
        <f>IF('Dashboard Calc'!$B$82="","",'Dashboard Calc'!$Z$82)</f>
      </c>
      <c r="M82" s="144">
        <f>IF('Dashboard Calc'!$B$82="","",'Dashboard Calc'!$M$82)</f>
      </c>
      <c r="N82" s="144">
        <f>IF('Dashboard Calc'!$B$82="","",'Dashboard Calc'!$O$82)</f>
      </c>
      <c r="O82" s="145">
        <f>IF('Dashboard Calc'!$B$82="","",'Dashboard Calc'!$P$82)</f>
      </c>
      <c r="P82" s="138">
        <f>IF('Dashboard Calc'!$B$82="","",'Dashboard Calc'!$Q$82)</f>
      </c>
      <c r="Q82" s="143">
        <f>IF('Dashboard Calc'!$B$82="","",'Dashboard Calc'!$S$82)</f>
      </c>
      <c r="R82" s="142">
        <f>IF('Dashboard Calc'!$B$82="","",'Dashboard Calc'!$T$82)</f>
      </c>
      <c r="S82" s="138">
        <f>IF('Dashboard Calc'!$B$82="","",'Dashboard Calc'!$AA$82)</f>
      </c>
      <c r="T82" s="143">
        <f>IF('Dashboard Calc'!$B$82="","",'Dashboard Calc'!$AD$82)</f>
      </c>
      <c r="U82" s="138">
        <f>IF('Dashboard Calc'!$B$82="","",'Dashboard Calc'!$AB$82)</f>
      </c>
    </row>
    <row r="83" ht="16" customHeight="1" s="83">
      <c r="B83" s="129">
        <f>IF('Dashboard Calc'!$B$83="","",'Dashboard Calc'!$B$83)</f>
      </c>
      <c r="C83" s="131">
        <f>IF('Dashboard Calc'!$B$83="","",'Dashboard Calc'!$C$83)</f>
      </c>
      <c r="D83" s="178">
        <f>IF('Dashboard Calc'!$B$83="","",'Dashboard Calc'!$D$83)</f>
      </c>
      <c r="E83" s="131">
        <f>IF('Dashboard Calc'!$B$83="","",'Dashboard Calc'!$F$83)</f>
      </c>
      <c r="F83" s="131">
        <f>IF('Dashboard Calc'!$B$83="","",'Dashboard Calc'!$H$83)</f>
      </c>
      <c r="G83" s="131">
        <f>IF('Dashboard Calc'!$B$83="","",'Dashboard Calc'!$I$83)</f>
      </c>
      <c r="H83" s="146">
        <f>IF('Dashboard Calc'!$B$83="","",'Dashboard Calc'!$J$83)</f>
      </c>
      <c r="I83" s="131">
        <f>IF('Dashboard Calc'!$B$83="","",'Dashboard Calc'!$K$83)</f>
      </c>
      <c r="J83" s="147">
        <f>IF('Dashboard Calc'!$B$83="","",'Dashboard Calc'!$W$83)</f>
      </c>
      <c r="K83" s="131">
        <f>IF('Dashboard Calc'!$B$83="","",'Dashboard Calc'!$Y$83)</f>
      </c>
      <c r="L83" s="131">
        <f>IF('Dashboard Calc'!$B$83="","",'Dashboard Calc'!$Z$83)</f>
      </c>
      <c r="M83" s="147">
        <f>IF('Dashboard Calc'!$B$83="","",'Dashboard Calc'!$M$83)</f>
      </c>
      <c r="N83" s="147">
        <f>IF('Dashboard Calc'!$B$83="","",'Dashboard Calc'!$O$83)</f>
      </c>
      <c r="O83" s="148">
        <f>IF('Dashboard Calc'!$B$83="","",'Dashboard Calc'!$P$83)</f>
      </c>
      <c r="P83" s="131">
        <f>IF('Dashboard Calc'!$B$83="","",'Dashboard Calc'!$Q$83)</f>
      </c>
      <c r="Q83" s="146">
        <f>IF('Dashboard Calc'!$B$83="","",'Dashboard Calc'!$S$83)</f>
      </c>
      <c r="R83" s="135">
        <f>IF('Dashboard Calc'!$B$83="","",'Dashboard Calc'!$T$83)</f>
      </c>
      <c r="S83" s="131">
        <f>IF('Dashboard Calc'!$B$83="","",'Dashboard Calc'!$AA$83)</f>
      </c>
      <c r="T83" s="146">
        <f>IF('Dashboard Calc'!$B$83="","",'Dashboard Calc'!$AD$83)</f>
      </c>
      <c r="U83" s="131">
        <f>IF('Dashboard Calc'!$B$83="","",'Dashboard Calc'!$AB$83)</f>
      </c>
    </row>
    <row r="84" ht="16" customHeight="1" s="83">
      <c r="B84" s="137">
        <f>IF('Dashboard Calc'!$B$84="","",'Dashboard Calc'!$B$84)</f>
      </c>
      <c r="C84" s="138">
        <f>IF('Dashboard Calc'!$B$84="","",'Dashboard Calc'!$C$84)</f>
      </c>
      <c r="D84" s="177">
        <f>IF('Dashboard Calc'!$B$84="","",'Dashboard Calc'!$D$84)</f>
      </c>
      <c r="E84" s="138">
        <f>IF('Dashboard Calc'!$B$84="","",'Dashboard Calc'!$F$84)</f>
      </c>
      <c r="F84" s="138">
        <f>IF('Dashboard Calc'!$B$84="","",'Dashboard Calc'!$H$84)</f>
      </c>
      <c r="G84" s="138">
        <f>IF('Dashboard Calc'!$B$84="","",'Dashboard Calc'!$I$84)</f>
      </c>
      <c r="H84" s="143">
        <f>IF('Dashboard Calc'!$B$84="","",'Dashboard Calc'!$J$84)</f>
      </c>
      <c r="I84" s="138">
        <f>IF('Dashboard Calc'!$B$84="","",'Dashboard Calc'!$K$84)</f>
      </c>
      <c r="J84" s="144">
        <f>IF('Dashboard Calc'!$B$84="","",'Dashboard Calc'!$W$84)</f>
      </c>
      <c r="K84" s="138">
        <f>IF('Dashboard Calc'!$B$84="","",'Dashboard Calc'!$Y$84)</f>
      </c>
      <c r="L84" s="138">
        <f>IF('Dashboard Calc'!$B$84="","",'Dashboard Calc'!$Z$84)</f>
      </c>
      <c r="M84" s="144">
        <f>IF('Dashboard Calc'!$B$84="","",'Dashboard Calc'!$M$84)</f>
      </c>
      <c r="N84" s="144">
        <f>IF('Dashboard Calc'!$B$84="","",'Dashboard Calc'!$O$84)</f>
      </c>
      <c r="O84" s="145">
        <f>IF('Dashboard Calc'!$B$84="","",'Dashboard Calc'!$P$84)</f>
      </c>
      <c r="P84" s="138">
        <f>IF('Dashboard Calc'!$B$84="","",'Dashboard Calc'!$Q$84)</f>
      </c>
      <c r="Q84" s="143">
        <f>IF('Dashboard Calc'!$B$84="","",'Dashboard Calc'!$S$84)</f>
      </c>
      <c r="R84" s="142">
        <f>IF('Dashboard Calc'!$B$84="","",'Dashboard Calc'!$T$84)</f>
      </c>
      <c r="S84" s="138">
        <f>IF('Dashboard Calc'!$B$84="","",'Dashboard Calc'!$AA$84)</f>
      </c>
      <c r="T84" s="143">
        <f>IF('Dashboard Calc'!$B$84="","",'Dashboard Calc'!$AD$84)</f>
      </c>
      <c r="U84" s="138">
        <f>IF('Dashboard Calc'!$B$84="","",'Dashboard Calc'!$AB$84)</f>
      </c>
    </row>
    <row r="85" ht="16" customHeight="1" s="83">
      <c r="B85" s="129">
        <f>IF('Dashboard Calc'!$B$85="","",'Dashboard Calc'!$B$85)</f>
      </c>
      <c r="C85" s="131">
        <f>IF('Dashboard Calc'!$B$85="","",'Dashboard Calc'!$C$85)</f>
      </c>
      <c r="D85" s="178">
        <f>IF('Dashboard Calc'!$B$85="","",'Dashboard Calc'!$D$85)</f>
      </c>
      <c r="E85" s="131">
        <f>IF('Dashboard Calc'!$B$85="","",'Dashboard Calc'!$F$85)</f>
      </c>
      <c r="F85" s="131">
        <f>IF('Dashboard Calc'!$B$85="","",'Dashboard Calc'!$H$85)</f>
      </c>
      <c r="G85" s="131">
        <f>IF('Dashboard Calc'!$B$85="","",'Dashboard Calc'!$I$85)</f>
      </c>
      <c r="H85" s="146">
        <f>IF('Dashboard Calc'!$B$85="","",'Dashboard Calc'!$J$85)</f>
      </c>
      <c r="I85" s="131">
        <f>IF('Dashboard Calc'!$B$85="","",'Dashboard Calc'!$K$85)</f>
      </c>
      <c r="J85" s="147">
        <f>IF('Dashboard Calc'!$B$85="","",'Dashboard Calc'!$W$85)</f>
      </c>
      <c r="K85" s="131">
        <f>IF('Dashboard Calc'!$B$85="","",'Dashboard Calc'!$Y$85)</f>
      </c>
      <c r="L85" s="131">
        <f>IF('Dashboard Calc'!$B$85="","",'Dashboard Calc'!$Z$85)</f>
      </c>
      <c r="M85" s="147">
        <f>IF('Dashboard Calc'!$B$85="","",'Dashboard Calc'!$M$85)</f>
      </c>
      <c r="N85" s="147">
        <f>IF('Dashboard Calc'!$B$85="","",'Dashboard Calc'!$O$85)</f>
      </c>
      <c r="O85" s="148">
        <f>IF('Dashboard Calc'!$B$85="","",'Dashboard Calc'!$P$85)</f>
      </c>
      <c r="P85" s="131">
        <f>IF('Dashboard Calc'!$B$85="","",'Dashboard Calc'!$Q$85)</f>
      </c>
      <c r="Q85" s="146">
        <f>IF('Dashboard Calc'!$B$85="","",'Dashboard Calc'!$S$85)</f>
      </c>
      <c r="R85" s="135">
        <f>IF('Dashboard Calc'!$B$85="","",'Dashboard Calc'!$T$85)</f>
      </c>
      <c r="S85" s="131">
        <f>IF('Dashboard Calc'!$B$85="","",'Dashboard Calc'!$AA$85)</f>
      </c>
      <c r="T85" s="146">
        <f>IF('Dashboard Calc'!$B$85="","",'Dashboard Calc'!$AD$85)</f>
      </c>
      <c r="U85" s="131">
        <f>IF('Dashboard Calc'!$B$85="","",'Dashboard Calc'!$AB$85)</f>
      </c>
    </row>
    <row r="86" ht="16" customHeight="1" s="83">
      <c r="B86" s="137">
        <f>IF('Dashboard Calc'!$B$86="","",'Dashboard Calc'!$B$86)</f>
      </c>
      <c r="C86" s="138">
        <f>IF('Dashboard Calc'!$B$86="","",'Dashboard Calc'!$C$86)</f>
      </c>
      <c r="D86" s="177">
        <f>IF('Dashboard Calc'!$B$86="","",'Dashboard Calc'!$D$86)</f>
      </c>
      <c r="E86" s="138">
        <f>IF('Dashboard Calc'!$B$86="","",'Dashboard Calc'!$F$86)</f>
      </c>
      <c r="F86" s="138">
        <f>IF('Dashboard Calc'!$B$86="","",'Dashboard Calc'!$H$86)</f>
      </c>
      <c r="G86" s="138">
        <f>IF('Dashboard Calc'!$B$86="","",'Dashboard Calc'!$I$86)</f>
      </c>
      <c r="H86" s="143">
        <f>IF('Dashboard Calc'!$B$86="","",'Dashboard Calc'!$J$86)</f>
      </c>
      <c r="I86" s="138">
        <f>IF('Dashboard Calc'!$B$86="","",'Dashboard Calc'!$K$86)</f>
      </c>
      <c r="J86" s="144">
        <f>IF('Dashboard Calc'!$B$86="","",'Dashboard Calc'!$W$86)</f>
      </c>
      <c r="K86" s="138">
        <f>IF('Dashboard Calc'!$B$86="","",'Dashboard Calc'!$Y$86)</f>
      </c>
      <c r="L86" s="138">
        <f>IF('Dashboard Calc'!$B$86="","",'Dashboard Calc'!$Z$86)</f>
      </c>
      <c r="M86" s="144">
        <f>IF('Dashboard Calc'!$B$86="","",'Dashboard Calc'!$M$86)</f>
      </c>
      <c r="N86" s="144">
        <f>IF('Dashboard Calc'!$B$86="","",'Dashboard Calc'!$O$86)</f>
      </c>
      <c r="O86" s="145">
        <f>IF('Dashboard Calc'!$B$86="","",'Dashboard Calc'!$P$86)</f>
      </c>
      <c r="P86" s="138">
        <f>IF('Dashboard Calc'!$B$86="","",'Dashboard Calc'!$Q$86)</f>
      </c>
      <c r="Q86" s="143">
        <f>IF('Dashboard Calc'!$B$86="","",'Dashboard Calc'!$S$86)</f>
      </c>
      <c r="R86" s="142">
        <f>IF('Dashboard Calc'!$B$86="","",'Dashboard Calc'!$T$86)</f>
      </c>
      <c r="S86" s="138">
        <f>IF('Dashboard Calc'!$B$86="","",'Dashboard Calc'!$AA$86)</f>
      </c>
      <c r="T86" s="143">
        <f>IF('Dashboard Calc'!$B$86="","",'Dashboard Calc'!$AD$86)</f>
      </c>
      <c r="U86" s="138">
        <f>IF('Dashboard Calc'!$B$86="","",'Dashboard Calc'!$AB$86)</f>
      </c>
    </row>
    <row r="87" ht="16" customHeight="1" s="83">
      <c r="B87" s="129">
        <f>IF('Dashboard Calc'!$B$87="","",'Dashboard Calc'!$B$87)</f>
      </c>
      <c r="C87" s="131">
        <f>IF('Dashboard Calc'!$B$87="","",'Dashboard Calc'!$C$87)</f>
      </c>
      <c r="D87" s="178">
        <f>IF('Dashboard Calc'!$B$87="","",'Dashboard Calc'!$D$87)</f>
      </c>
      <c r="E87" s="131">
        <f>IF('Dashboard Calc'!$B$87="","",'Dashboard Calc'!$F$87)</f>
      </c>
      <c r="F87" s="131">
        <f>IF('Dashboard Calc'!$B$87="","",'Dashboard Calc'!$H$87)</f>
      </c>
      <c r="G87" s="131">
        <f>IF('Dashboard Calc'!$B$87="","",'Dashboard Calc'!$I$87)</f>
      </c>
      <c r="H87" s="146">
        <f>IF('Dashboard Calc'!$B$87="","",'Dashboard Calc'!$J$87)</f>
      </c>
      <c r="I87" s="131">
        <f>IF('Dashboard Calc'!$B$87="","",'Dashboard Calc'!$K$87)</f>
      </c>
      <c r="J87" s="147">
        <f>IF('Dashboard Calc'!$B$87="","",'Dashboard Calc'!$W$87)</f>
      </c>
      <c r="K87" s="131">
        <f>IF('Dashboard Calc'!$B$87="","",'Dashboard Calc'!$Y$87)</f>
      </c>
      <c r="L87" s="131">
        <f>IF('Dashboard Calc'!$B$87="","",'Dashboard Calc'!$Z$87)</f>
      </c>
      <c r="M87" s="147">
        <f>IF('Dashboard Calc'!$B$87="","",'Dashboard Calc'!$M$87)</f>
      </c>
      <c r="N87" s="147">
        <f>IF('Dashboard Calc'!$B$87="","",'Dashboard Calc'!$O$87)</f>
      </c>
      <c r="O87" s="148">
        <f>IF('Dashboard Calc'!$B$87="","",'Dashboard Calc'!$P$87)</f>
      </c>
      <c r="P87" s="131">
        <f>IF('Dashboard Calc'!$B$87="","",'Dashboard Calc'!$Q$87)</f>
      </c>
      <c r="Q87" s="146">
        <f>IF('Dashboard Calc'!$B$87="","",'Dashboard Calc'!$S$87)</f>
      </c>
      <c r="R87" s="135">
        <f>IF('Dashboard Calc'!$B$87="","",'Dashboard Calc'!$T$87)</f>
      </c>
      <c r="S87" s="131">
        <f>IF('Dashboard Calc'!$B$87="","",'Dashboard Calc'!$AA$87)</f>
      </c>
      <c r="T87" s="146">
        <f>IF('Dashboard Calc'!$B$87="","",'Dashboard Calc'!$AD$87)</f>
      </c>
      <c r="U87" s="131">
        <f>IF('Dashboard Calc'!$B$87="","",'Dashboard Calc'!$AB$87)</f>
      </c>
    </row>
    <row r="88" ht="16" customHeight="1" s="83">
      <c r="B88" s="137">
        <f>IF('Dashboard Calc'!$B$88="","",'Dashboard Calc'!$B$88)</f>
      </c>
      <c r="C88" s="138">
        <f>IF('Dashboard Calc'!$B$88="","",'Dashboard Calc'!$C$88)</f>
      </c>
      <c r="D88" s="177">
        <f>IF('Dashboard Calc'!$B$88="","",'Dashboard Calc'!$D$88)</f>
      </c>
      <c r="E88" s="138">
        <f>IF('Dashboard Calc'!$B$88="","",'Dashboard Calc'!$F$88)</f>
      </c>
      <c r="F88" s="138">
        <f>IF('Dashboard Calc'!$B$88="","",'Dashboard Calc'!$H$88)</f>
      </c>
      <c r="G88" s="138">
        <f>IF('Dashboard Calc'!$B$88="","",'Dashboard Calc'!$I$88)</f>
      </c>
      <c r="H88" s="143">
        <f>IF('Dashboard Calc'!$B$88="","",'Dashboard Calc'!$J$88)</f>
      </c>
      <c r="I88" s="138">
        <f>IF('Dashboard Calc'!$B$88="","",'Dashboard Calc'!$K$88)</f>
      </c>
      <c r="J88" s="144">
        <f>IF('Dashboard Calc'!$B$88="","",'Dashboard Calc'!$W$88)</f>
      </c>
      <c r="K88" s="138">
        <f>IF('Dashboard Calc'!$B$88="","",'Dashboard Calc'!$Y$88)</f>
      </c>
      <c r="L88" s="138">
        <f>IF('Dashboard Calc'!$B$88="","",'Dashboard Calc'!$Z$88)</f>
      </c>
      <c r="M88" s="144">
        <f>IF('Dashboard Calc'!$B$88="","",'Dashboard Calc'!$M$88)</f>
      </c>
      <c r="N88" s="144">
        <f>IF('Dashboard Calc'!$B$88="","",'Dashboard Calc'!$O$88)</f>
      </c>
      <c r="O88" s="145">
        <f>IF('Dashboard Calc'!$B$88="","",'Dashboard Calc'!$P$88)</f>
      </c>
      <c r="P88" s="138">
        <f>IF('Dashboard Calc'!$B$88="","",'Dashboard Calc'!$Q$88)</f>
      </c>
      <c r="Q88" s="143">
        <f>IF('Dashboard Calc'!$B$88="","",'Dashboard Calc'!$S$88)</f>
      </c>
      <c r="R88" s="142">
        <f>IF('Dashboard Calc'!$B$88="","",'Dashboard Calc'!$T$88)</f>
      </c>
      <c r="S88" s="138">
        <f>IF('Dashboard Calc'!$B$88="","",'Dashboard Calc'!$AA$88)</f>
      </c>
      <c r="T88" s="143">
        <f>IF('Dashboard Calc'!$B$88="","",'Dashboard Calc'!$AD$88)</f>
      </c>
      <c r="U88" s="138">
        <f>IF('Dashboard Calc'!$B$88="","",'Dashboard Calc'!$AB$88)</f>
      </c>
    </row>
    <row r="89" ht="16" customHeight="1" s="83">
      <c r="B89" s="129">
        <f>IF('Dashboard Calc'!$B$89="","",'Dashboard Calc'!$B$89)</f>
      </c>
      <c r="C89" s="131">
        <f>IF('Dashboard Calc'!$B$89="","",'Dashboard Calc'!$C$89)</f>
      </c>
      <c r="D89" s="178">
        <f>IF('Dashboard Calc'!$B$89="","",'Dashboard Calc'!$D$89)</f>
      </c>
      <c r="E89" s="131">
        <f>IF('Dashboard Calc'!$B$89="","",'Dashboard Calc'!$F$89)</f>
      </c>
      <c r="F89" s="131">
        <f>IF('Dashboard Calc'!$B$89="","",'Dashboard Calc'!$H$89)</f>
      </c>
      <c r="G89" s="131">
        <f>IF('Dashboard Calc'!$B$89="","",'Dashboard Calc'!$I$89)</f>
      </c>
      <c r="H89" s="146">
        <f>IF('Dashboard Calc'!$B$89="","",'Dashboard Calc'!$J$89)</f>
      </c>
      <c r="I89" s="131">
        <f>IF('Dashboard Calc'!$B$89="","",'Dashboard Calc'!$K$89)</f>
      </c>
      <c r="J89" s="147">
        <f>IF('Dashboard Calc'!$B$89="","",'Dashboard Calc'!$W$89)</f>
      </c>
      <c r="K89" s="131">
        <f>IF('Dashboard Calc'!$B$89="","",'Dashboard Calc'!$Y$89)</f>
      </c>
      <c r="L89" s="131">
        <f>IF('Dashboard Calc'!$B$89="","",'Dashboard Calc'!$Z$89)</f>
      </c>
      <c r="M89" s="147">
        <f>IF('Dashboard Calc'!$B$89="","",'Dashboard Calc'!$M$89)</f>
      </c>
      <c r="N89" s="147">
        <f>IF('Dashboard Calc'!$B$89="","",'Dashboard Calc'!$O$89)</f>
      </c>
      <c r="O89" s="148">
        <f>IF('Dashboard Calc'!$B$89="","",'Dashboard Calc'!$P$89)</f>
      </c>
      <c r="P89" s="131">
        <f>IF('Dashboard Calc'!$B$89="","",'Dashboard Calc'!$Q$89)</f>
      </c>
      <c r="Q89" s="146">
        <f>IF('Dashboard Calc'!$B$89="","",'Dashboard Calc'!$S$89)</f>
      </c>
      <c r="R89" s="135">
        <f>IF('Dashboard Calc'!$B$89="","",'Dashboard Calc'!$T$89)</f>
      </c>
      <c r="S89" s="131">
        <f>IF('Dashboard Calc'!$B$89="","",'Dashboard Calc'!$AA$89)</f>
      </c>
      <c r="T89" s="146">
        <f>IF('Dashboard Calc'!$B$89="","",'Dashboard Calc'!$AD$89)</f>
      </c>
      <c r="U89" s="131">
        <f>IF('Dashboard Calc'!$B$89="","",'Dashboard Calc'!$AB$89)</f>
      </c>
    </row>
    <row r="90" ht="16" customHeight="1" s="83">
      <c r="B90" s="137">
        <f>IF('Dashboard Calc'!$B$90="","",'Dashboard Calc'!$B$90)</f>
      </c>
      <c r="C90" s="138">
        <f>IF('Dashboard Calc'!$B$90="","",'Dashboard Calc'!$C$90)</f>
      </c>
      <c r="D90" s="177">
        <f>IF('Dashboard Calc'!$B$90="","",'Dashboard Calc'!$D$90)</f>
      </c>
      <c r="E90" s="138">
        <f>IF('Dashboard Calc'!$B$90="","",'Dashboard Calc'!$F$90)</f>
      </c>
      <c r="F90" s="138">
        <f>IF('Dashboard Calc'!$B$90="","",'Dashboard Calc'!$H$90)</f>
      </c>
      <c r="G90" s="138">
        <f>IF('Dashboard Calc'!$B$90="","",'Dashboard Calc'!$I$90)</f>
      </c>
      <c r="H90" s="143">
        <f>IF('Dashboard Calc'!$B$90="","",'Dashboard Calc'!$J$90)</f>
      </c>
      <c r="I90" s="138">
        <f>IF('Dashboard Calc'!$B$90="","",'Dashboard Calc'!$K$90)</f>
      </c>
      <c r="J90" s="144">
        <f>IF('Dashboard Calc'!$B$90="","",'Dashboard Calc'!$W$90)</f>
      </c>
      <c r="K90" s="138">
        <f>IF('Dashboard Calc'!$B$90="","",'Dashboard Calc'!$Y$90)</f>
      </c>
      <c r="L90" s="138">
        <f>IF('Dashboard Calc'!$B$90="","",'Dashboard Calc'!$Z$90)</f>
      </c>
      <c r="M90" s="144">
        <f>IF('Dashboard Calc'!$B$90="","",'Dashboard Calc'!$M$90)</f>
      </c>
      <c r="N90" s="144">
        <f>IF('Dashboard Calc'!$B$90="","",'Dashboard Calc'!$O$90)</f>
      </c>
      <c r="O90" s="145">
        <f>IF('Dashboard Calc'!$B$90="","",'Dashboard Calc'!$P$90)</f>
      </c>
      <c r="P90" s="138">
        <f>IF('Dashboard Calc'!$B$90="","",'Dashboard Calc'!$Q$90)</f>
      </c>
      <c r="Q90" s="143">
        <f>IF('Dashboard Calc'!$B$90="","",'Dashboard Calc'!$S$90)</f>
      </c>
      <c r="R90" s="142">
        <f>IF('Dashboard Calc'!$B$90="","",'Dashboard Calc'!$T$90)</f>
      </c>
      <c r="S90" s="138">
        <f>IF('Dashboard Calc'!$B$90="","",'Dashboard Calc'!$AA$90)</f>
      </c>
      <c r="T90" s="143">
        <f>IF('Dashboard Calc'!$B$90="","",'Dashboard Calc'!$AD$90)</f>
      </c>
      <c r="U90" s="138">
        <f>IF('Dashboard Calc'!$B$90="","",'Dashboard Calc'!$AB$90)</f>
      </c>
    </row>
    <row r="91" ht="16" customHeight="1" s="83">
      <c r="B91" s="129">
        <f>IF('Dashboard Calc'!$B$91="","",'Dashboard Calc'!$B$91)</f>
      </c>
      <c r="C91" s="131">
        <f>IF('Dashboard Calc'!$B$91="","",'Dashboard Calc'!$C$91)</f>
      </c>
      <c r="D91" s="178">
        <f>IF('Dashboard Calc'!$B$91="","",'Dashboard Calc'!$D$91)</f>
      </c>
      <c r="E91" s="131">
        <f>IF('Dashboard Calc'!$B$91="","",'Dashboard Calc'!$F$91)</f>
      </c>
      <c r="F91" s="131">
        <f>IF('Dashboard Calc'!$B$91="","",'Dashboard Calc'!$H$91)</f>
      </c>
      <c r="G91" s="131">
        <f>IF('Dashboard Calc'!$B$91="","",'Dashboard Calc'!$I$91)</f>
      </c>
      <c r="H91" s="146">
        <f>IF('Dashboard Calc'!$B$91="","",'Dashboard Calc'!$J$91)</f>
      </c>
      <c r="I91" s="131">
        <f>IF('Dashboard Calc'!$B$91="","",'Dashboard Calc'!$K$91)</f>
      </c>
      <c r="J91" s="147">
        <f>IF('Dashboard Calc'!$B$91="","",'Dashboard Calc'!$W$91)</f>
      </c>
      <c r="K91" s="131">
        <f>IF('Dashboard Calc'!$B$91="","",'Dashboard Calc'!$Y$91)</f>
      </c>
      <c r="L91" s="131">
        <f>IF('Dashboard Calc'!$B$91="","",'Dashboard Calc'!$Z$91)</f>
      </c>
      <c r="M91" s="147">
        <f>IF('Dashboard Calc'!$B$91="","",'Dashboard Calc'!$M$91)</f>
      </c>
      <c r="N91" s="147">
        <f>IF('Dashboard Calc'!$B$91="","",'Dashboard Calc'!$O$91)</f>
      </c>
      <c r="O91" s="148">
        <f>IF('Dashboard Calc'!$B$91="","",'Dashboard Calc'!$P$91)</f>
      </c>
      <c r="P91" s="131">
        <f>IF('Dashboard Calc'!$B$91="","",'Dashboard Calc'!$Q$91)</f>
      </c>
      <c r="Q91" s="146">
        <f>IF('Dashboard Calc'!$B$91="","",'Dashboard Calc'!$S$91)</f>
      </c>
      <c r="R91" s="135">
        <f>IF('Dashboard Calc'!$B$91="","",'Dashboard Calc'!$T$91)</f>
      </c>
      <c r="S91" s="131">
        <f>IF('Dashboard Calc'!$B$91="","",'Dashboard Calc'!$AA$91)</f>
      </c>
      <c r="T91" s="146">
        <f>IF('Dashboard Calc'!$B$91="","",'Dashboard Calc'!$AD$91)</f>
      </c>
      <c r="U91" s="131">
        <f>IF('Dashboard Calc'!$B$91="","",'Dashboard Calc'!$AB$91)</f>
      </c>
    </row>
    <row r="92" ht="16" customHeight="1" s="83">
      <c r="B92" s="137">
        <f>IF('Dashboard Calc'!$B$92="","",'Dashboard Calc'!$B$92)</f>
      </c>
      <c r="C92" s="138">
        <f>IF('Dashboard Calc'!$B$92="","",'Dashboard Calc'!$C$92)</f>
      </c>
      <c r="D92" s="177">
        <f>IF('Dashboard Calc'!$B$92="","",'Dashboard Calc'!$D$92)</f>
      </c>
      <c r="E92" s="138">
        <f>IF('Dashboard Calc'!$B$92="","",'Dashboard Calc'!$F$92)</f>
      </c>
      <c r="F92" s="138">
        <f>IF('Dashboard Calc'!$B$92="","",'Dashboard Calc'!$H$92)</f>
      </c>
      <c r="G92" s="138">
        <f>IF('Dashboard Calc'!$B$92="","",'Dashboard Calc'!$I$92)</f>
      </c>
      <c r="H92" s="143">
        <f>IF('Dashboard Calc'!$B$92="","",'Dashboard Calc'!$J$92)</f>
      </c>
      <c r="I92" s="138">
        <f>IF('Dashboard Calc'!$B$92="","",'Dashboard Calc'!$K$92)</f>
      </c>
      <c r="J92" s="144">
        <f>IF('Dashboard Calc'!$B$92="","",'Dashboard Calc'!$W$92)</f>
      </c>
      <c r="K92" s="138">
        <f>IF('Dashboard Calc'!$B$92="","",'Dashboard Calc'!$Y$92)</f>
      </c>
      <c r="L92" s="138">
        <f>IF('Dashboard Calc'!$B$92="","",'Dashboard Calc'!$Z$92)</f>
      </c>
      <c r="M92" s="144">
        <f>IF('Dashboard Calc'!$B$92="","",'Dashboard Calc'!$M$92)</f>
      </c>
      <c r="N92" s="144">
        <f>IF('Dashboard Calc'!$B$92="","",'Dashboard Calc'!$O$92)</f>
      </c>
      <c r="O92" s="145">
        <f>IF('Dashboard Calc'!$B$92="","",'Dashboard Calc'!$P$92)</f>
      </c>
      <c r="P92" s="138">
        <f>IF('Dashboard Calc'!$B$92="","",'Dashboard Calc'!$Q$92)</f>
      </c>
      <c r="Q92" s="143">
        <f>IF('Dashboard Calc'!$B$92="","",'Dashboard Calc'!$S$92)</f>
      </c>
      <c r="R92" s="142">
        <f>IF('Dashboard Calc'!$B$92="","",'Dashboard Calc'!$T$92)</f>
      </c>
      <c r="S92" s="138">
        <f>IF('Dashboard Calc'!$B$92="","",'Dashboard Calc'!$AA$92)</f>
      </c>
      <c r="T92" s="143">
        <f>IF('Dashboard Calc'!$B$92="","",'Dashboard Calc'!$AD$92)</f>
      </c>
      <c r="U92" s="138">
        <f>IF('Dashboard Calc'!$B$92="","",'Dashboard Calc'!$AB$92)</f>
      </c>
    </row>
    <row r="93" ht="16" customHeight="1" s="83">
      <c r="B93" s="129">
        <f>IF('Dashboard Calc'!$B$93="","",'Dashboard Calc'!$B$93)</f>
      </c>
      <c r="C93" s="131">
        <f>IF('Dashboard Calc'!$B$93="","",'Dashboard Calc'!$C$93)</f>
      </c>
      <c r="D93" s="178">
        <f>IF('Dashboard Calc'!$B$93="","",'Dashboard Calc'!$D$93)</f>
      </c>
      <c r="E93" s="131">
        <f>IF('Dashboard Calc'!$B$93="","",'Dashboard Calc'!$F$93)</f>
      </c>
      <c r="F93" s="131">
        <f>IF('Dashboard Calc'!$B$93="","",'Dashboard Calc'!$H$93)</f>
      </c>
      <c r="G93" s="131">
        <f>IF('Dashboard Calc'!$B$93="","",'Dashboard Calc'!$I$93)</f>
      </c>
      <c r="H93" s="146">
        <f>IF('Dashboard Calc'!$B$93="","",'Dashboard Calc'!$J$93)</f>
      </c>
      <c r="I93" s="131">
        <f>IF('Dashboard Calc'!$B$93="","",'Dashboard Calc'!$K$93)</f>
      </c>
      <c r="J93" s="147">
        <f>IF('Dashboard Calc'!$B$93="","",'Dashboard Calc'!$W$93)</f>
      </c>
      <c r="K93" s="131">
        <f>IF('Dashboard Calc'!$B$93="","",'Dashboard Calc'!$Y$93)</f>
      </c>
      <c r="L93" s="131">
        <f>IF('Dashboard Calc'!$B$93="","",'Dashboard Calc'!$Z$93)</f>
      </c>
      <c r="M93" s="147">
        <f>IF('Dashboard Calc'!$B$93="","",'Dashboard Calc'!$M$93)</f>
      </c>
      <c r="N93" s="147">
        <f>IF('Dashboard Calc'!$B$93="","",'Dashboard Calc'!$O$93)</f>
      </c>
      <c r="O93" s="148">
        <f>IF('Dashboard Calc'!$B$93="","",'Dashboard Calc'!$P$93)</f>
      </c>
      <c r="P93" s="131">
        <f>IF('Dashboard Calc'!$B$93="","",'Dashboard Calc'!$Q$93)</f>
      </c>
      <c r="Q93" s="146">
        <f>IF('Dashboard Calc'!$B$93="","",'Dashboard Calc'!$S$93)</f>
      </c>
      <c r="R93" s="135">
        <f>IF('Dashboard Calc'!$B$93="","",'Dashboard Calc'!$T$93)</f>
      </c>
      <c r="S93" s="131">
        <f>IF('Dashboard Calc'!$B$93="","",'Dashboard Calc'!$AA$93)</f>
      </c>
      <c r="T93" s="146">
        <f>IF('Dashboard Calc'!$B$93="","",'Dashboard Calc'!$AD$93)</f>
      </c>
      <c r="U93" s="131">
        <f>IF('Dashboard Calc'!$B$93="","",'Dashboard Calc'!$AB$93)</f>
      </c>
    </row>
    <row r="94" ht="16" customHeight="1" s="83">
      <c r="B94" s="137">
        <f>IF('Dashboard Calc'!$B$94="","",'Dashboard Calc'!$B$94)</f>
      </c>
      <c r="C94" s="138">
        <f>IF('Dashboard Calc'!$B$94="","",'Dashboard Calc'!$C$94)</f>
      </c>
      <c r="D94" s="177">
        <f>IF('Dashboard Calc'!$B$94="","",'Dashboard Calc'!$D$94)</f>
      </c>
      <c r="E94" s="138">
        <f>IF('Dashboard Calc'!$B$94="","",'Dashboard Calc'!$F$94)</f>
      </c>
      <c r="F94" s="138">
        <f>IF('Dashboard Calc'!$B$94="","",'Dashboard Calc'!$H$94)</f>
      </c>
      <c r="G94" s="138">
        <f>IF('Dashboard Calc'!$B$94="","",'Dashboard Calc'!$I$94)</f>
      </c>
      <c r="H94" s="143">
        <f>IF('Dashboard Calc'!$B$94="","",'Dashboard Calc'!$J$94)</f>
      </c>
      <c r="I94" s="138">
        <f>IF('Dashboard Calc'!$B$94="","",'Dashboard Calc'!$K$94)</f>
      </c>
      <c r="J94" s="144">
        <f>IF('Dashboard Calc'!$B$94="","",'Dashboard Calc'!$W$94)</f>
      </c>
      <c r="K94" s="138">
        <f>IF('Dashboard Calc'!$B$94="","",'Dashboard Calc'!$Y$94)</f>
      </c>
      <c r="L94" s="138">
        <f>IF('Dashboard Calc'!$B$94="","",'Dashboard Calc'!$Z$94)</f>
      </c>
      <c r="M94" s="144">
        <f>IF('Dashboard Calc'!$B$94="","",'Dashboard Calc'!$M$94)</f>
      </c>
      <c r="N94" s="144">
        <f>IF('Dashboard Calc'!$B$94="","",'Dashboard Calc'!$O$94)</f>
      </c>
      <c r="O94" s="145">
        <f>IF('Dashboard Calc'!$B$94="","",'Dashboard Calc'!$P$94)</f>
      </c>
      <c r="P94" s="138">
        <f>IF('Dashboard Calc'!$B$94="","",'Dashboard Calc'!$Q$94)</f>
      </c>
      <c r="Q94" s="143">
        <f>IF('Dashboard Calc'!$B$94="","",'Dashboard Calc'!$S$94)</f>
      </c>
      <c r="R94" s="142">
        <f>IF('Dashboard Calc'!$B$94="","",'Dashboard Calc'!$T$94)</f>
      </c>
      <c r="S94" s="138">
        <f>IF('Dashboard Calc'!$B$94="","",'Dashboard Calc'!$AA$94)</f>
      </c>
      <c r="T94" s="143">
        <f>IF('Dashboard Calc'!$B$94="","",'Dashboard Calc'!$AD$94)</f>
      </c>
      <c r="U94" s="138">
        <f>IF('Dashboard Calc'!$B$94="","",'Dashboard Calc'!$AB$94)</f>
      </c>
    </row>
    <row r="95" ht="16" customHeight="1" s="83">
      <c r="B95" s="129">
        <f>IF('Dashboard Calc'!$B$95="","",'Dashboard Calc'!$B$95)</f>
      </c>
      <c r="C95" s="131">
        <f>IF('Dashboard Calc'!$B$95="","",'Dashboard Calc'!$C$95)</f>
      </c>
      <c r="D95" s="178">
        <f>IF('Dashboard Calc'!$B$95="","",'Dashboard Calc'!$D$95)</f>
      </c>
      <c r="E95" s="131">
        <f>IF('Dashboard Calc'!$B$95="","",'Dashboard Calc'!$F$95)</f>
      </c>
      <c r="F95" s="131">
        <f>IF('Dashboard Calc'!$B$95="","",'Dashboard Calc'!$H$95)</f>
      </c>
      <c r="G95" s="131">
        <f>IF('Dashboard Calc'!$B$95="","",'Dashboard Calc'!$I$95)</f>
      </c>
      <c r="H95" s="146">
        <f>IF('Dashboard Calc'!$B$95="","",'Dashboard Calc'!$J$95)</f>
      </c>
      <c r="I95" s="131">
        <f>IF('Dashboard Calc'!$B$95="","",'Dashboard Calc'!$K$95)</f>
      </c>
      <c r="J95" s="147">
        <f>IF('Dashboard Calc'!$B$95="","",'Dashboard Calc'!$W$95)</f>
      </c>
      <c r="K95" s="131">
        <f>IF('Dashboard Calc'!$B$95="","",'Dashboard Calc'!$Y$95)</f>
      </c>
      <c r="L95" s="131">
        <f>IF('Dashboard Calc'!$B$95="","",'Dashboard Calc'!$Z$95)</f>
      </c>
      <c r="M95" s="147">
        <f>IF('Dashboard Calc'!$B$95="","",'Dashboard Calc'!$M$95)</f>
      </c>
      <c r="N95" s="147">
        <f>IF('Dashboard Calc'!$B$95="","",'Dashboard Calc'!$O$95)</f>
      </c>
      <c r="O95" s="148">
        <f>IF('Dashboard Calc'!$B$95="","",'Dashboard Calc'!$P$95)</f>
      </c>
      <c r="P95" s="131">
        <f>IF('Dashboard Calc'!$B$95="","",'Dashboard Calc'!$Q$95)</f>
      </c>
      <c r="Q95" s="146">
        <f>IF('Dashboard Calc'!$B$95="","",'Dashboard Calc'!$S$95)</f>
      </c>
      <c r="R95" s="135">
        <f>IF('Dashboard Calc'!$B$95="","",'Dashboard Calc'!$T$95)</f>
      </c>
      <c r="S95" s="131">
        <f>IF('Dashboard Calc'!$B$95="","",'Dashboard Calc'!$AA$95)</f>
      </c>
      <c r="T95" s="146">
        <f>IF('Dashboard Calc'!$B$95="","",'Dashboard Calc'!$AD$95)</f>
      </c>
      <c r="U95" s="131">
        <f>IF('Dashboard Calc'!$B$95="","",'Dashboard Calc'!$AB$95)</f>
      </c>
    </row>
    <row r="96" ht="16" customHeight="1" s="83">
      <c r="B96" s="137">
        <f>IF('Dashboard Calc'!$B$96="","",'Dashboard Calc'!$B$96)</f>
      </c>
      <c r="C96" s="138">
        <f>IF('Dashboard Calc'!$B$96="","",'Dashboard Calc'!$C$96)</f>
      </c>
      <c r="D96" s="177">
        <f>IF('Dashboard Calc'!$B$96="","",'Dashboard Calc'!$D$96)</f>
      </c>
      <c r="E96" s="138">
        <f>IF('Dashboard Calc'!$B$96="","",'Dashboard Calc'!$F$96)</f>
      </c>
      <c r="F96" s="138">
        <f>IF('Dashboard Calc'!$B$96="","",'Dashboard Calc'!$H$96)</f>
      </c>
      <c r="G96" s="138">
        <f>IF('Dashboard Calc'!$B$96="","",'Dashboard Calc'!$I$96)</f>
      </c>
      <c r="H96" s="143">
        <f>IF('Dashboard Calc'!$B$96="","",'Dashboard Calc'!$J$96)</f>
      </c>
      <c r="I96" s="138">
        <f>IF('Dashboard Calc'!$B$96="","",'Dashboard Calc'!$K$96)</f>
      </c>
      <c r="J96" s="144">
        <f>IF('Dashboard Calc'!$B$96="","",'Dashboard Calc'!$W$96)</f>
      </c>
      <c r="K96" s="138">
        <f>IF('Dashboard Calc'!$B$96="","",'Dashboard Calc'!$Y$96)</f>
      </c>
      <c r="L96" s="138">
        <f>IF('Dashboard Calc'!$B$96="","",'Dashboard Calc'!$Z$96)</f>
      </c>
      <c r="M96" s="144">
        <f>IF('Dashboard Calc'!$B$96="","",'Dashboard Calc'!$M$96)</f>
      </c>
      <c r="N96" s="144">
        <f>IF('Dashboard Calc'!$B$96="","",'Dashboard Calc'!$O$96)</f>
      </c>
      <c r="O96" s="145">
        <f>IF('Dashboard Calc'!$B$96="","",'Dashboard Calc'!$P$96)</f>
      </c>
      <c r="P96" s="138">
        <f>IF('Dashboard Calc'!$B$96="","",'Dashboard Calc'!$Q$96)</f>
      </c>
      <c r="Q96" s="143">
        <f>IF('Dashboard Calc'!$B$96="","",'Dashboard Calc'!$S$96)</f>
      </c>
      <c r="R96" s="142">
        <f>IF('Dashboard Calc'!$B$96="","",'Dashboard Calc'!$T$96)</f>
      </c>
      <c r="S96" s="138">
        <f>IF('Dashboard Calc'!$B$96="","",'Dashboard Calc'!$AA$96)</f>
      </c>
      <c r="T96" s="143">
        <f>IF('Dashboard Calc'!$B$96="","",'Dashboard Calc'!$AD$96)</f>
      </c>
      <c r="U96" s="138">
        <f>IF('Dashboard Calc'!$B$96="","",'Dashboard Calc'!$AB$96)</f>
      </c>
    </row>
    <row r="97" ht="16" customHeight="1" s="83">
      <c r="B97" s="129">
        <f>IF('Dashboard Calc'!$B$97="","",'Dashboard Calc'!$B$97)</f>
      </c>
      <c r="C97" s="131">
        <f>IF('Dashboard Calc'!$B$97="","",'Dashboard Calc'!$C$97)</f>
      </c>
      <c r="D97" s="178">
        <f>IF('Dashboard Calc'!$B$97="","",'Dashboard Calc'!$D$97)</f>
      </c>
      <c r="E97" s="131">
        <f>IF('Dashboard Calc'!$B$97="","",'Dashboard Calc'!$F$97)</f>
      </c>
      <c r="F97" s="131">
        <f>IF('Dashboard Calc'!$B$97="","",'Dashboard Calc'!$H$97)</f>
      </c>
      <c r="G97" s="131">
        <f>IF('Dashboard Calc'!$B$97="","",'Dashboard Calc'!$I$97)</f>
      </c>
      <c r="H97" s="146">
        <f>IF('Dashboard Calc'!$B$97="","",'Dashboard Calc'!$J$97)</f>
      </c>
      <c r="I97" s="131">
        <f>IF('Dashboard Calc'!$B$97="","",'Dashboard Calc'!$K$97)</f>
      </c>
      <c r="J97" s="147">
        <f>IF('Dashboard Calc'!$B$97="","",'Dashboard Calc'!$W$97)</f>
      </c>
      <c r="K97" s="131">
        <f>IF('Dashboard Calc'!$B$97="","",'Dashboard Calc'!$Y$97)</f>
      </c>
      <c r="L97" s="131">
        <f>IF('Dashboard Calc'!$B$97="","",'Dashboard Calc'!$Z$97)</f>
      </c>
      <c r="M97" s="147">
        <f>IF('Dashboard Calc'!$B$97="","",'Dashboard Calc'!$M$97)</f>
      </c>
      <c r="N97" s="147">
        <f>IF('Dashboard Calc'!$B$97="","",'Dashboard Calc'!$O$97)</f>
      </c>
      <c r="O97" s="148">
        <f>IF('Dashboard Calc'!$B$97="","",'Dashboard Calc'!$P$97)</f>
      </c>
      <c r="P97" s="131">
        <f>IF('Dashboard Calc'!$B$97="","",'Dashboard Calc'!$Q$97)</f>
      </c>
      <c r="Q97" s="146">
        <f>IF('Dashboard Calc'!$B$97="","",'Dashboard Calc'!$S$97)</f>
      </c>
      <c r="R97" s="135">
        <f>IF('Dashboard Calc'!$B$97="","",'Dashboard Calc'!$T$97)</f>
      </c>
      <c r="S97" s="131">
        <f>IF('Dashboard Calc'!$B$97="","",'Dashboard Calc'!$AA$97)</f>
      </c>
      <c r="T97" s="146">
        <f>IF('Dashboard Calc'!$B$97="","",'Dashboard Calc'!$AD$97)</f>
      </c>
      <c r="U97" s="131">
        <f>IF('Dashboard Calc'!$B$97="","",'Dashboard Calc'!$AB$97)</f>
      </c>
    </row>
    <row r="98" ht="16" customHeight="1" s="83">
      <c r="B98" s="137">
        <f>IF('Dashboard Calc'!$B$98="","",'Dashboard Calc'!$B$98)</f>
      </c>
      <c r="C98" s="138">
        <f>IF('Dashboard Calc'!$B$98="","",'Dashboard Calc'!$C$98)</f>
      </c>
      <c r="D98" s="177">
        <f>IF('Dashboard Calc'!$B$98="","",'Dashboard Calc'!$D$98)</f>
      </c>
      <c r="E98" s="138">
        <f>IF('Dashboard Calc'!$B$98="","",'Dashboard Calc'!$F$98)</f>
      </c>
      <c r="F98" s="138">
        <f>IF('Dashboard Calc'!$B$98="","",'Dashboard Calc'!$H$98)</f>
      </c>
      <c r="G98" s="138">
        <f>IF('Dashboard Calc'!$B$98="","",'Dashboard Calc'!$I$98)</f>
      </c>
      <c r="H98" s="143">
        <f>IF('Dashboard Calc'!$B$98="","",'Dashboard Calc'!$J$98)</f>
      </c>
      <c r="I98" s="138">
        <f>IF('Dashboard Calc'!$B$98="","",'Dashboard Calc'!$K$98)</f>
      </c>
      <c r="J98" s="144">
        <f>IF('Dashboard Calc'!$B$98="","",'Dashboard Calc'!$W$98)</f>
      </c>
      <c r="K98" s="138">
        <f>IF('Dashboard Calc'!$B$98="","",'Dashboard Calc'!$Y$98)</f>
      </c>
      <c r="L98" s="138">
        <f>IF('Dashboard Calc'!$B$98="","",'Dashboard Calc'!$Z$98)</f>
      </c>
      <c r="M98" s="144">
        <f>IF('Dashboard Calc'!$B$98="","",'Dashboard Calc'!$M$98)</f>
      </c>
      <c r="N98" s="144">
        <f>IF('Dashboard Calc'!$B$98="","",'Dashboard Calc'!$O$98)</f>
      </c>
      <c r="O98" s="145">
        <f>IF('Dashboard Calc'!$B$98="","",'Dashboard Calc'!$P$98)</f>
      </c>
      <c r="P98" s="138">
        <f>IF('Dashboard Calc'!$B$98="","",'Dashboard Calc'!$Q$98)</f>
      </c>
      <c r="Q98" s="143">
        <f>IF('Dashboard Calc'!$B$98="","",'Dashboard Calc'!$S$98)</f>
      </c>
      <c r="R98" s="142">
        <f>IF('Dashboard Calc'!$B$98="","",'Dashboard Calc'!$T$98)</f>
      </c>
      <c r="S98" s="138">
        <f>IF('Dashboard Calc'!$B$98="","",'Dashboard Calc'!$AA$98)</f>
      </c>
      <c r="T98" s="143">
        <f>IF('Dashboard Calc'!$B$98="","",'Dashboard Calc'!$AD$98)</f>
      </c>
      <c r="U98" s="138">
        <f>IF('Dashboard Calc'!$B$98="","",'Dashboard Calc'!$AB$98)</f>
      </c>
    </row>
    <row r="99" ht="16" customHeight="1" s="83">
      <c r="B99" s="129">
        <f>IF('Dashboard Calc'!$B$99="","",'Dashboard Calc'!$B$99)</f>
      </c>
      <c r="C99" s="131">
        <f>IF('Dashboard Calc'!$B$99="","",'Dashboard Calc'!$C$99)</f>
      </c>
      <c r="D99" s="178">
        <f>IF('Dashboard Calc'!$B$99="","",'Dashboard Calc'!$D$99)</f>
      </c>
      <c r="E99" s="131">
        <f>IF('Dashboard Calc'!$B$99="","",'Dashboard Calc'!$F$99)</f>
      </c>
      <c r="F99" s="131">
        <f>IF('Dashboard Calc'!$B$99="","",'Dashboard Calc'!$H$99)</f>
      </c>
      <c r="G99" s="131">
        <f>IF('Dashboard Calc'!$B$99="","",'Dashboard Calc'!$I$99)</f>
      </c>
      <c r="H99" s="146">
        <f>IF('Dashboard Calc'!$B$99="","",'Dashboard Calc'!$J$99)</f>
      </c>
      <c r="I99" s="131">
        <f>IF('Dashboard Calc'!$B$99="","",'Dashboard Calc'!$K$99)</f>
      </c>
      <c r="J99" s="147">
        <f>IF('Dashboard Calc'!$B$99="","",'Dashboard Calc'!$W$99)</f>
      </c>
      <c r="K99" s="131">
        <f>IF('Dashboard Calc'!$B$99="","",'Dashboard Calc'!$Y$99)</f>
      </c>
      <c r="L99" s="131">
        <f>IF('Dashboard Calc'!$B$99="","",'Dashboard Calc'!$Z$99)</f>
      </c>
      <c r="M99" s="147">
        <f>IF('Dashboard Calc'!$B$99="","",'Dashboard Calc'!$M$99)</f>
      </c>
      <c r="N99" s="147">
        <f>IF('Dashboard Calc'!$B$99="","",'Dashboard Calc'!$O$99)</f>
      </c>
      <c r="O99" s="148">
        <f>IF('Dashboard Calc'!$B$99="","",'Dashboard Calc'!$P$99)</f>
      </c>
      <c r="P99" s="131">
        <f>IF('Dashboard Calc'!$B$99="","",'Dashboard Calc'!$Q$99)</f>
      </c>
      <c r="Q99" s="146">
        <f>IF('Dashboard Calc'!$B$99="","",'Dashboard Calc'!$S$99)</f>
      </c>
      <c r="R99" s="135">
        <f>IF('Dashboard Calc'!$B$99="","",'Dashboard Calc'!$T$99)</f>
      </c>
      <c r="S99" s="131">
        <f>IF('Dashboard Calc'!$B$99="","",'Dashboard Calc'!$AA$99)</f>
      </c>
      <c r="T99" s="146">
        <f>IF('Dashboard Calc'!$B$99="","",'Dashboard Calc'!$AD$99)</f>
      </c>
      <c r="U99" s="131">
        <f>IF('Dashboard Calc'!$B$99="","",'Dashboard Calc'!$AB$99)</f>
      </c>
    </row>
    <row r="100" ht="16" customHeight="1" s="83">
      <c r="B100" s="137">
        <f>IF('Dashboard Calc'!$B$100="","",'Dashboard Calc'!$B$100)</f>
      </c>
      <c r="C100" s="138">
        <f>IF('Dashboard Calc'!$B$100="","",'Dashboard Calc'!$C$100)</f>
      </c>
      <c r="D100" s="177">
        <f>IF('Dashboard Calc'!$B$100="","",'Dashboard Calc'!$D$100)</f>
      </c>
      <c r="E100" s="138">
        <f>IF('Dashboard Calc'!$B$100="","",'Dashboard Calc'!$F$100)</f>
      </c>
      <c r="F100" s="138">
        <f>IF('Dashboard Calc'!$B$100="","",'Dashboard Calc'!$H$100)</f>
      </c>
      <c r="G100" s="138">
        <f>IF('Dashboard Calc'!$B$100="","",'Dashboard Calc'!$I$100)</f>
      </c>
      <c r="H100" s="143">
        <f>IF('Dashboard Calc'!$B$100="","",'Dashboard Calc'!$J$100)</f>
      </c>
      <c r="I100" s="138">
        <f>IF('Dashboard Calc'!$B$100="","",'Dashboard Calc'!$K$100)</f>
      </c>
      <c r="J100" s="144">
        <f>IF('Dashboard Calc'!$B$100="","",'Dashboard Calc'!$W$100)</f>
      </c>
      <c r="K100" s="138">
        <f>IF('Dashboard Calc'!$B$100="","",'Dashboard Calc'!$Y$100)</f>
      </c>
      <c r="L100" s="138">
        <f>IF('Dashboard Calc'!$B$100="","",'Dashboard Calc'!$Z$100)</f>
      </c>
      <c r="M100" s="144">
        <f>IF('Dashboard Calc'!$B$100="","",'Dashboard Calc'!$M$100)</f>
      </c>
      <c r="N100" s="144">
        <f>IF('Dashboard Calc'!$B$100="","",'Dashboard Calc'!$O$100)</f>
      </c>
      <c r="O100" s="145">
        <f>IF('Dashboard Calc'!$B$100="","",'Dashboard Calc'!$P$100)</f>
      </c>
      <c r="P100" s="138">
        <f>IF('Dashboard Calc'!$B$100="","",'Dashboard Calc'!$Q$100)</f>
      </c>
      <c r="Q100" s="143">
        <f>IF('Dashboard Calc'!$B$100="","",'Dashboard Calc'!$S$100)</f>
      </c>
      <c r="R100" s="142">
        <f>IF('Dashboard Calc'!$B$100="","",'Dashboard Calc'!$T$100)</f>
      </c>
      <c r="S100" s="138">
        <f>IF('Dashboard Calc'!$B$100="","",'Dashboard Calc'!$AA$100)</f>
      </c>
      <c r="T100" s="143">
        <f>IF('Dashboard Calc'!$B$100="","",'Dashboard Calc'!$AD$100)</f>
      </c>
      <c r="U100" s="138">
        <f>IF('Dashboard Calc'!$B$100="","",'Dashboard Calc'!$AB$100)</f>
      </c>
    </row>
    <row r="101" ht="16" customHeight="1" s="83">
      <c r="B101" s="129">
        <f>IF('Dashboard Calc'!$B$101="","",'Dashboard Calc'!$B$101)</f>
      </c>
      <c r="C101" s="131">
        <f>IF('Dashboard Calc'!$B$101="","",'Dashboard Calc'!$C$101)</f>
      </c>
      <c r="D101" s="178">
        <f>IF('Dashboard Calc'!$B$101="","",'Dashboard Calc'!$D$101)</f>
      </c>
      <c r="E101" s="131">
        <f>IF('Dashboard Calc'!$B$101="","",'Dashboard Calc'!$F$101)</f>
      </c>
      <c r="F101" s="131">
        <f>IF('Dashboard Calc'!$B$101="","",'Dashboard Calc'!$H$101)</f>
      </c>
      <c r="G101" s="131">
        <f>IF('Dashboard Calc'!$B$101="","",'Dashboard Calc'!$I$101)</f>
      </c>
      <c r="H101" s="146">
        <f>IF('Dashboard Calc'!$B$101="","",'Dashboard Calc'!$J$101)</f>
      </c>
      <c r="I101" s="131">
        <f>IF('Dashboard Calc'!$B$101="","",'Dashboard Calc'!$K$101)</f>
      </c>
      <c r="J101" s="147">
        <f>IF('Dashboard Calc'!$B$101="","",'Dashboard Calc'!$W$101)</f>
      </c>
      <c r="K101" s="131">
        <f>IF('Dashboard Calc'!$B$101="","",'Dashboard Calc'!$Y$101)</f>
      </c>
      <c r="L101" s="131">
        <f>IF('Dashboard Calc'!$B$101="","",'Dashboard Calc'!$Z$101)</f>
      </c>
      <c r="M101" s="147">
        <f>IF('Dashboard Calc'!$B$101="","",'Dashboard Calc'!$M$101)</f>
      </c>
      <c r="N101" s="147">
        <f>IF('Dashboard Calc'!$B$101="","",'Dashboard Calc'!$O$101)</f>
      </c>
      <c r="O101" s="148">
        <f>IF('Dashboard Calc'!$B$101="","",'Dashboard Calc'!$P$101)</f>
      </c>
      <c r="P101" s="131">
        <f>IF('Dashboard Calc'!$B$101="","",'Dashboard Calc'!$Q$101)</f>
      </c>
      <c r="Q101" s="146">
        <f>IF('Dashboard Calc'!$B$101="","",'Dashboard Calc'!$S$101)</f>
      </c>
      <c r="R101" s="135">
        <f>IF('Dashboard Calc'!$B$101="","",'Dashboard Calc'!$T$101)</f>
      </c>
      <c r="S101" s="131">
        <f>IF('Dashboard Calc'!$B$101="","",'Dashboard Calc'!$AA$101)</f>
      </c>
      <c r="T101" s="146">
        <f>IF('Dashboard Calc'!$B$101="","",'Dashboard Calc'!$AD$101)</f>
      </c>
      <c r="U101" s="131">
        <f>IF('Dashboard Calc'!$B$101="","",'Dashboard Calc'!$AB$101)</f>
      </c>
    </row>
    <row r="102" ht="16" customHeight="1" s="83">
      <c r="B102" s="137">
        <f>IF('Dashboard Calc'!$B$102="","",'Dashboard Calc'!$B$102)</f>
      </c>
      <c r="C102" s="138">
        <f>IF('Dashboard Calc'!$B$102="","",'Dashboard Calc'!$C$102)</f>
      </c>
      <c r="D102" s="177">
        <f>IF('Dashboard Calc'!$B$102="","",'Dashboard Calc'!$D$102)</f>
      </c>
      <c r="E102" s="138">
        <f>IF('Dashboard Calc'!$B$102="","",'Dashboard Calc'!$F$102)</f>
      </c>
      <c r="F102" s="138">
        <f>IF('Dashboard Calc'!$B$102="","",'Dashboard Calc'!$H$102)</f>
      </c>
      <c r="G102" s="138">
        <f>IF('Dashboard Calc'!$B$102="","",'Dashboard Calc'!$I$102)</f>
      </c>
      <c r="H102" s="143">
        <f>IF('Dashboard Calc'!$B$102="","",'Dashboard Calc'!$J$102)</f>
      </c>
      <c r="I102" s="138">
        <f>IF('Dashboard Calc'!$B$102="","",'Dashboard Calc'!$K$102)</f>
      </c>
      <c r="J102" s="144">
        <f>IF('Dashboard Calc'!$B$102="","",'Dashboard Calc'!$W$102)</f>
      </c>
      <c r="K102" s="138">
        <f>IF('Dashboard Calc'!$B$102="","",'Dashboard Calc'!$Y$102)</f>
      </c>
      <c r="L102" s="138">
        <f>IF('Dashboard Calc'!$B$102="","",'Dashboard Calc'!$Z$102)</f>
      </c>
      <c r="M102" s="144">
        <f>IF('Dashboard Calc'!$B$102="","",'Dashboard Calc'!$M$102)</f>
      </c>
      <c r="N102" s="144">
        <f>IF('Dashboard Calc'!$B$102="","",'Dashboard Calc'!$O$102)</f>
      </c>
      <c r="O102" s="145">
        <f>IF('Dashboard Calc'!$B$102="","",'Dashboard Calc'!$P$102)</f>
      </c>
      <c r="P102" s="138">
        <f>IF('Dashboard Calc'!$B$102="","",'Dashboard Calc'!$Q$102)</f>
      </c>
      <c r="Q102" s="143">
        <f>IF('Dashboard Calc'!$B$102="","",'Dashboard Calc'!$S$102)</f>
      </c>
      <c r="R102" s="142">
        <f>IF('Dashboard Calc'!$B$102="","",'Dashboard Calc'!$T$102)</f>
      </c>
      <c r="S102" s="138">
        <f>IF('Dashboard Calc'!$B$102="","",'Dashboard Calc'!$AA$102)</f>
      </c>
      <c r="T102" s="143">
        <f>IF('Dashboard Calc'!$B$102="","",'Dashboard Calc'!$AD$102)</f>
      </c>
      <c r="U102" s="138">
        <f>IF('Dashboard Calc'!$B$102="","",'Dashboard Calc'!$AB$102)</f>
      </c>
    </row>
    <row r="103" ht="16" customHeight="1" s="83">
      <c r="B103" s="129">
        <f>IF('Dashboard Calc'!$B$103="","",'Dashboard Calc'!$B$103)</f>
      </c>
      <c r="C103" s="131">
        <f>IF('Dashboard Calc'!$B$103="","",'Dashboard Calc'!$C$103)</f>
      </c>
      <c r="D103" s="178">
        <f>IF('Dashboard Calc'!$B$103="","",'Dashboard Calc'!$D$103)</f>
      </c>
      <c r="E103" s="131">
        <f>IF('Dashboard Calc'!$B$103="","",'Dashboard Calc'!$F$103)</f>
      </c>
      <c r="F103" s="131">
        <f>IF('Dashboard Calc'!$B$103="","",'Dashboard Calc'!$H$103)</f>
      </c>
      <c r="G103" s="131">
        <f>IF('Dashboard Calc'!$B$103="","",'Dashboard Calc'!$I$103)</f>
      </c>
      <c r="H103" s="146">
        <f>IF('Dashboard Calc'!$B$103="","",'Dashboard Calc'!$J$103)</f>
      </c>
      <c r="I103" s="131">
        <f>IF('Dashboard Calc'!$B$103="","",'Dashboard Calc'!$K$103)</f>
      </c>
      <c r="J103" s="147">
        <f>IF('Dashboard Calc'!$B$103="","",'Dashboard Calc'!$W$103)</f>
      </c>
      <c r="K103" s="131">
        <f>IF('Dashboard Calc'!$B$103="","",'Dashboard Calc'!$Y$103)</f>
      </c>
      <c r="L103" s="131">
        <f>IF('Dashboard Calc'!$B$103="","",'Dashboard Calc'!$Z$103)</f>
      </c>
      <c r="M103" s="147">
        <f>IF('Dashboard Calc'!$B$103="","",'Dashboard Calc'!$M$103)</f>
      </c>
      <c r="N103" s="147">
        <f>IF('Dashboard Calc'!$B$103="","",'Dashboard Calc'!$O$103)</f>
      </c>
      <c r="O103" s="148">
        <f>IF('Dashboard Calc'!$B$103="","",'Dashboard Calc'!$P$103)</f>
      </c>
      <c r="P103" s="131">
        <f>IF('Dashboard Calc'!$B$103="","",'Dashboard Calc'!$Q$103)</f>
      </c>
      <c r="Q103" s="146">
        <f>IF('Dashboard Calc'!$B$103="","",'Dashboard Calc'!$S$103)</f>
      </c>
      <c r="R103" s="135">
        <f>IF('Dashboard Calc'!$B$103="","",'Dashboard Calc'!$T$103)</f>
      </c>
      <c r="S103" s="131">
        <f>IF('Dashboard Calc'!$B$103="","",'Dashboard Calc'!$AA$103)</f>
      </c>
      <c r="T103" s="146">
        <f>IF('Dashboard Calc'!$B$103="","",'Dashboard Calc'!$AD$103)</f>
      </c>
      <c r="U103" s="131">
        <f>IF('Dashboard Calc'!$B$103="","",'Dashboard Calc'!$AB$103)</f>
      </c>
    </row>
    <row r="104" ht="16" customHeight="1" s="83">
      <c r="B104" s="137">
        <f>IF('Dashboard Calc'!$B$104="","",'Dashboard Calc'!$B$104)</f>
      </c>
      <c r="C104" s="138">
        <f>IF('Dashboard Calc'!$B$104="","",'Dashboard Calc'!$C$104)</f>
      </c>
      <c r="D104" s="177">
        <f>IF('Dashboard Calc'!$B$104="","",'Dashboard Calc'!$D$104)</f>
      </c>
      <c r="E104" s="138">
        <f>IF('Dashboard Calc'!$B$104="","",'Dashboard Calc'!$F$104)</f>
      </c>
      <c r="F104" s="138">
        <f>IF('Dashboard Calc'!$B$104="","",'Dashboard Calc'!$H$104)</f>
      </c>
      <c r="G104" s="138">
        <f>IF('Dashboard Calc'!$B$104="","",'Dashboard Calc'!$I$104)</f>
      </c>
      <c r="H104" s="143">
        <f>IF('Dashboard Calc'!$B$104="","",'Dashboard Calc'!$J$104)</f>
      </c>
      <c r="I104" s="138">
        <f>IF('Dashboard Calc'!$B$104="","",'Dashboard Calc'!$K$104)</f>
      </c>
      <c r="J104" s="144">
        <f>IF('Dashboard Calc'!$B$104="","",'Dashboard Calc'!$W$104)</f>
      </c>
      <c r="K104" s="138">
        <f>IF('Dashboard Calc'!$B$104="","",'Dashboard Calc'!$Y$104)</f>
      </c>
      <c r="L104" s="138">
        <f>IF('Dashboard Calc'!$B$104="","",'Dashboard Calc'!$Z$104)</f>
      </c>
      <c r="M104" s="144">
        <f>IF('Dashboard Calc'!$B$104="","",'Dashboard Calc'!$M$104)</f>
      </c>
      <c r="N104" s="144">
        <f>IF('Dashboard Calc'!$B$104="","",'Dashboard Calc'!$O$104)</f>
      </c>
      <c r="O104" s="145">
        <f>IF('Dashboard Calc'!$B$104="","",'Dashboard Calc'!$P$104)</f>
      </c>
      <c r="P104" s="138">
        <f>IF('Dashboard Calc'!$B$104="","",'Dashboard Calc'!$Q$104)</f>
      </c>
      <c r="Q104" s="143">
        <f>IF('Dashboard Calc'!$B$104="","",'Dashboard Calc'!$S$104)</f>
      </c>
      <c r="R104" s="142">
        <f>IF('Dashboard Calc'!$B$104="","",'Dashboard Calc'!$T$104)</f>
      </c>
      <c r="S104" s="138">
        <f>IF('Dashboard Calc'!$B$104="","",'Dashboard Calc'!$AA$104)</f>
      </c>
      <c r="T104" s="143">
        <f>IF('Dashboard Calc'!$B$104="","",'Dashboard Calc'!$AD$104)</f>
      </c>
      <c r="U104" s="138">
        <f>IF('Dashboard Calc'!$B$104="","",'Dashboard Calc'!$AB$104)</f>
      </c>
    </row>
    <row r="105" ht="16" customHeight="1" s="83">
      <c r="B105" s="129">
        <f>IF('Dashboard Calc'!$B$105="","",'Dashboard Calc'!$B$105)</f>
      </c>
      <c r="C105" s="131">
        <f>IF('Dashboard Calc'!$B$105="","",'Dashboard Calc'!$C$105)</f>
      </c>
      <c r="D105" s="178">
        <f>IF('Dashboard Calc'!$B$105="","",'Dashboard Calc'!$D$105)</f>
      </c>
      <c r="E105" s="131">
        <f>IF('Dashboard Calc'!$B$105="","",'Dashboard Calc'!$F$105)</f>
      </c>
      <c r="F105" s="131">
        <f>IF('Dashboard Calc'!$B$105="","",'Dashboard Calc'!$H$105)</f>
      </c>
      <c r="G105" s="131">
        <f>IF('Dashboard Calc'!$B$105="","",'Dashboard Calc'!$I$105)</f>
      </c>
      <c r="H105" s="146">
        <f>IF('Dashboard Calc'!$B$105="","",'Dashboard Calc'!$J$105)</f>
      </c>
      <c r="I105" s="131">
        <f>IF('Dashboard Calc'!$B$105="","",'Dashboard Calc'!$K$105)</f>
      </c>
      <c r="J105" s="147">
        <f>IF('Dashboard Calc'!$B$105="","",'Dashboard Calc'!$W$105)</f>
      </c>
      <c r="K105" s="131">
        <f>IF('Dashboard Calc'!$B$105="","",'Dashboard Calc'!$Y$105)</f>
      </c>
      <c r="L105" s="131">
        <f>IF('Dashboard Calc'!$B$105="","",'Dashboard Calc'!$Z$105)</f>
      </c>
      <c r="M105" s="147">
        <f>IF('Dashboard Calc'!$B$105="","",'Dashboard Calc'!$M$105)</f>
      </c>
      <c r="N105" s="147">
        <f>IF('Dashboard Calc'!$B$105="","",'Dashboard Calc'!$O$105)</f>
      </c>
      <c r="O105" s="148">
        <f>IF('Dashboard Calc'!$B$105="","",'Dashboard Calc'!$P$105)</f>
      </c>
      <c r="P105" s="131">
        <f>IF('Dashboard Calc'!$B$105="","",'Dashboard Calc'!$Q$105)</f>
      </c>
      <c r="Q105" s="146">
        <f>IF('Dashboard Calc'!$B$105="","",'Dashboard Calc'!$S$105)</f>
      </c>
      <c r="R105" s="135">
        <f>IF('Dashboard Calc'!$B$105="","",'Dashboard Calc'!$T$105)</f>
      </c>
      <c r="S105" s="131">
        <f>IF('Dashboard Calc'!$B$105="","",'Dashboard Calc'!$AA$105)</f>
      </c>
      <c r="T105" s="146">
        <f>IF('Dashboard Calc'!$B$105="","",'Dashboard Calc'!$AD$105)</f>
      </c>
      <c r="U105" s="131">
        <f>IF('Dashboard Calc'!$B$105="","",'Dashboard Calc'!$AB$105)</f>
      </c>
    </row>
    <row r="106" ht="16" customHeight="1" s="83">
      <c r="B106" s="137">
        <f>IF('Dashboard Calc'!$B$106="","",'Dashboard Calc'!$B$106)</f>
      </c>
      <c r="C106" s="138">
        <f>IF('Dashboard Calc'!$B$106="","",'Dashboard Calc'!$C$106)</f>
      </c>
      <c r="D106" s="177">
        <f>IF('Dashboard Calc'!$B$106="","",'Dashboard Calc'!$D$106)</f>
      </c>
      <c r="E106" s="138">
        <f>IF('Dashboard Calc'!$B$106="","",'Dashboard Calc'!$F$106)</f>
      </c>
      <c r="F106" s="138">
        <f>IF('Dashboard Calc'!$B$106="","",'Dashboard Calc'!$H$106)</f>
      </c>
      <c r="G106" s="138">
        <f>IF('Dashboard Calc'!$B$106="","",'Dashboard Calc'!$I$106)</f>
      </c>
      <c r="H106" s="143">
        <f>IF('Dashboard Calc'!$B$106="","",'Dashboard Calc'!$J$106)</f>
      </c>
      <c r="I106" s="138">
        <f>IF('Dashboard Calc'!$B$106="","",'Dashboard Calc'!$K$106)</f>
      </c>
      <c r="J106" s="144">
        <f>IF('Dashboard Calc'!$B$106="","",'Dashboard Calc'!$W$106)</f>
      </c>
      <c r="K106" s="138">
        <f>IF('Dashboard Calc'!$B$106="","",'Dashboard Calc'!$Y$106)</f>
      </c>
      <c r="L106" s="138">
        <f>IF('Dashboard Calc'!$B$106="","",'Dashboard Calc'!$Z$106)</f>
      </c>
      <c r="M106" s="144">
        <f>IF('Dashboard Calc'!$B$106="","",'Dashboard Calc'!$M$106)</f>
      </c>
      <c r="N106" s="144">
        <f>IF('Dashboard Calc'!$B$106="","",'Dashboard Calc'!$O$106)</f>
      </c>
      <c r="O106" s="145">
        <f>IF('Dashboard Calc'!$B$106="","",'Dashboard Calc'!$P$106)</f>
      </c>
      <c r="P106" s="138">
        <f>IF('Dashboard Calc'!$B$106="","",'Dashboard Calc'!$Q$106)</f>
      </c>
      <c r="Q106" s="143">
        <f>IF('Dashboard Calc'!$B$106="","",'Dashboard Calc'!$S$106)</f>
      </c>
      <c r="R106" s="142">
        <f>IF('Dashboard Calc'!$B$106="","",'Dashboard Calc'!$T$106)</f>
      </c>
      <c r="S106" s="138">
        <f>IF('Dashboard Calc'!$B$106="","",'Dashboard Calc'!$AA$106)</f>
      </c>
      <c r="T106" s="143">
        <f>IF('Dashboard Calc'!$B$106="","",'Dashboard Calc'!$AD$106)</f>
      </c>
      <c r="U106" s="138">
        <f>IF('Dashboard Calc'!$B$106="","",'Dashboard Calc'!$AB$106)</f>
      </c>
    </row>
    <row r="107" ht="16" customHeight="1" s="83">
      <c r="B107" s="129">
        <f>IF('Dashboard Calc'!$B$107="","",'Dashboard Calc'!$B$107)</f>
      </c>
      <c r="C107" s="131">
        <f>IF('Dashboard Calc'!$B$107="","",'Dashboard Calc'!$C$107)</f>
      </c>
      <c r="D107" s="178">
        <f>IF('Dashboard Calc'!$B$107="","",'Dashboard Calc'!$D$107)</f>
      </c>
      <c r="E107" s="131">
        <f>IF('Dashboard Calc'!$B$107="","",'Dashboard Calc'!$F$107)</f>
      </c>
      <c r="F107" s="131">
        <f>IF('Dashboard Calc'!$B$107="","",'Dashboard Calc'!$H$107)</f>
      </c>
      <c r="G107" s="131">
        <f>IF('Dashboard Calc'!$B$107="","",'Dashboard Calc'!$I$107)</f>
      </c>
      <c r="H107" s="146">
        <f>IF('Dashboard Calc'!$B$107="","",'Dashboard Calc'!$J$107)</f>
      </c>
      <c r="I107" s="131">
        <f>IF('Dashboard Calc'!$B$107="","",'Dashboard Calc'!$K$107)</f>
      </c>
      <c r="J107" s="147">
        <f>IF('Dashboard Calc'!$B$107="","",'Dashboard Calc'!$W$107)</f>
      </c>
      <c r="K107" s="131">
        <f>IF('Dashboard Calc'!$B$107="","",'Dashboard Calc'!$Y$107)</f>
      </c>
      <c r="L107" s="131">
        <f>IF('Dashboard Calc'!$B$107="","",'Dashboard Calc'!$Z$107)</f>
      </c>
      <c r="M107" s="147">
        <f>IF('Dashboard Calc'!$B$107="","",'Dashboard Calc'!$M$107)</f>
      </c>
      <c r="N107" s="147">
        <f>IF('Dashboard Calc'!$B$107="","",'Dashboard Calc'!$O$107)</f>
      </c>
      <c r="O107" s="148">
        <f>IF('Dashboard Calc'!$B$107="","",'Dashboard Calc'!$P$107)</f>
      </c>
      <c r="P107" s="131">
        <f>IF('Dashboard Calc'!$B$107="","",'Dashboard Calc'!$Q$107)</f>
      </c>
      <c r="Q107" s="146">
        <f>IF('Dashboard Calc'!$B$107="","",'Dashboard Calc'!$S$107)</f>
      </c>
      <c r="R107" s="135">
        <f>IF('Dashboard Calc'!$B$107="","",'Dashboard Calc'!$T$107)</f>
      </c>
      <c r="S107" s="131">
        <f>IF('Dashboard Calc'!$B$107="","",'Dashboard Calc'!$AA$107)</f>
      </c>
      <c r="T107" s="146">
        <f>IF('Dashboard Calc'!$B$107="","",'Dashboard Calc'!$AD$107)</f>
      </c>
      <c r="U107" s="131">
        <f>IF('Dashboard Calc'!$B$107="","",'Dashboard Calc'!$AB$107)</f>
      </c>
    </row>
    <row r="108" ht="16" customHeight="1" s="83">
      <c r="B108" s="137">
        <f>IF('Dashboard Calc'!$B$108="","",'Dashboard Calc'!$B$108)</f>
      </c>
      <c r="C108" s="138">
        <f>IF('Dashboard Calc'!$B$108="","",'Dashboard Calc'!$C$108)</f>
      </c>
      <c r="D108" s="177">
        <f>IF('Dashboard Calc'!$B$108="","",'Dashboard Calc'!$D$108)</f>
      </c>
      <c r="E108" s="138">
        <f>IF('Dashboard Calc'!$B$108="","",'Dashboard Calc'!$F$108)</f>
      </c>
      <c r="F108" s="138">
        <f>IF('Dashboard Calc'!$B$108="","",'Dashboard Calc'!$H$108)</f>
      </c>
      <c r="G108" s="138">
        <f>IF('Dashboard Calc'!$B$108="","",'Dashboard Calc'!$I$108)</f>
      </c>
      <c r="H108" s="143">
        <f>IF('Dashboard Calc'!$B$108="","",'Dashboard Calc'!$J$108)</f>
      </c>
      <c r="I108" s="138">
        <f>IF('Dashboard Calc'!$B$108="","",'Dashboard Calc'!$K$108)</f>
      </c>
      <c r="J108" s="144">
        <f>IF('Dashboard Calc'!$B$108="","",'Dashboard Calc'!$W$108)</f>
      </c>
      <c r="K108" s="138">
        <f>IF('Dashboard Calc'!$B$108="","",'Dashboard Calc'!$Y$108)</f>
      </c>
      <c r="L108" s="138">
        <f>IF('Dashboard Calc'!$B$108="","",'Dashboard Calc'!$Z$108)</f>
      </c>
      <c r="M108" s="144">
        <f>IF('Dashboard Calc'!$B$108="","",'Dashboard Calc'!$M$108)</f>
      </c>
      <c r="N108" s="144">
        <f>IF('Dashboard Calc'!$B$108="","",'Dashboard Calc'!$O$108)</f>
      </c>
      <c r="O108" s="145">
        <f>IF('Dashboard Calc'!$B$108="","",'Dashboard Calc'!$P$108)</f>
      </c>
      <c r="P108" s="138">
        <f>IF('Dashboard Calc'!$B$108="","",'Dashboard Calc'!$Q$108)</f>
      </c>
      <c r="Q108" s="143">
        <f>IF('Dashboard Calc'!$B$108="","",'Dashboard Calc'!$S$108)</f>
      </c>
      <c r="R108" s="142">
        <f>IF('Dashboard Calc'!$B$108="","",'Dashboard Calc'!$T$108)</f>
      </c>
      <c r="S108" s="138">
        <f>IF('Dashboard Calc'!$B$108="","",'Dashboard Calc'!$AA$108)</f>
      </c>
      <c r="T108" s="143">
        <f>IF('Dashboard Calc'!$B$108="","",'Dashboard Calc'!$AD$108)</f>
      </c>
      <c r="U108" s="138">
        <f>IF('Dashboard Calc'!$B$108="","",'Dashboard Calc'!$AB$108)</f>
      </c>
    </row>
    <row r="109" ht="16" customHeight="1" s="83">
      <c r="B109" s="129">
        <f>IF('Dashboard Calc'!$B$109="","",'Dashboard Calc'!$B$109)</f>
      </c>
      <c r="C109" s="131">
        <f>IF('Dashboard Calc'!$B$109="","",'Dashboard Calc'!$C$109)</f>
      </c>
      <c r="D109" s="178">
        <f>IF('Dashboard Calc'!$B$109="","",'Dashboard Calc'!$D$109)</f>
      </c>
      <c r="E109" s="131">
        <f>IF('Dashboard Calc'!$B$109="","",'Dashboard Calc'!$F$109)</f>
      </c>
      <c r="F109" s="131">
        <f>IF('Dashboard Calc'!$B$109="","",'Dashboard Calc'!$H$109)</f>
      </c>
      <c r="G109" s="131">
        <f>IF('Dashboard Calc'!$B$109="","",'Dashboard Calc'!$I$109)</f>
      </c>
      <c r="H109" s="146">
        <f>IF('Dashboard Calc'!$B$109="","",'Dashboard Calc'!$J$109)</f>
      </c>
      <c r="I109" s="131">
        <f>IF('Dashboard Calc'!$B$109="","",'Dashboard Calc'!$K$109)</f>
      </c>
      <c r="J109" s="147">
        <f>IF('Dashboard Calc'!$B$109="","",'Dashboard Calc'!$W$109)</f>
      </c>
      <c r="K109" s="131">
        <f>IF('Dashboard Calc'!$B$109="","",'Dashboard Calc'!$Y$109)</f>
      </c>
      <c r="L109" s="131">
        <f>IF('Dashboard Calc'!$B$109="","",'Dashboard Calc'!$Z$109)</f>
      </c>
      <c r="M109" s="147">
        <f>IF('Dashboard Calc'!$B$109="","",'Dashboard Calc'!$M$109)</f>
      </c>
      <c r="N109" s="147">
        <f>IF('Dashboard Calc'!$B$109="","",'Dashboard Calc'!$O$109)</f>
      </c>
      <c r="O109" s="148">
        <f>IF('Dashboard Calc'!$B$109="","",'Dashboard Calc'!$P$109)</f>
      </c>
      <c r="P109" s="131">
        <f>IF('Dashboard Calc'!$B$109="","",'Dashboard Calc'!$Q$109)</f>
      </c>
      <c r="Q109" s="146">
        <f>IF('Dashboard Calc'!$B$109="","",'Dashboard Calc'!$S$109)</f>
      </c>
      <c r="R109" s="135">
        <f>IF('Dashboard Calc'!$B$109="","",'Dashboard Calc'!$T$109)</f>
      </c>
      <c r="S109" s="131">
        <f>IF('Dashboard Calc'!$B$109="","",'Dashboard Calc'!$AA$109)</f>
      </c>
      <c r="T109" s="146">
        <f>IF('Dashboard Calc'!$B$109="","",'Dashboard Calc'!$AD$109)</f>
      </c>
      <c r="U109" s="131">
        <f>IF('Dashboard Calc'!$B$109="","",'Dashboard Calc'!$AB$109)</f>
      </c>
    </row>
    <row r="110" ht="16" customHeight="1" s="83">
      <c r="B110" s="137">
        <f>IF('Dashboard Calc'!$B$110="","",'Dashboard Calc'!$B$110)</f>
      </c>
      <c r="C110" s="138">
        <f>IF('Dashboard Calc'!$B$110="","",'Dashboard Calc'!$C$110)</f>
      </c>
      <c r="D110" s="177">
        <f>IF('Dashboard Calc'!$B$110="","",'Dashboard Calc'!$D$110)</f>
      </c>
      <c r="E110" s="138">
        <f>IF('Dashboard Calc'!$B$110="","",'Dashboard Calc'!$F$110)</f>
      </c>
      <c r="F110" s="138">
        <f>IF('Dashboard Calc'!$B$110="","",'Dashboard Calc'!$H$110)</f>
      </c>
      <c r="G110" s="138">
        <f>IF('Dashboard Calc'!$B$110="","",'Dashboard Calc'!$I$110)</f>
      </c>
      <c r="H110" s="143">
        <f>IF('Dashboard Calc'!$B$110="","",'Dashboard Calc'!$J$110)</f>
      </c>
      <c r="I110" s="138">
        <f>IF('Dashboard Calc'!$B$110="","",'Dashboard Calc'!$K$110)</f>
      </c>
      <c r="J110" s="144">
        <f>IF('Dashboard Calc'!$B$110="","",'Dashboard Calc'!$W$110)</f>
      </c>
      <c r="K110" s="138">
        <f>IF('Dashboard Calc'!$B$110="","",'Dashboard Calc'!$Y$110)</f>
      </c>
      <c r="L110" s="138">
        <f>IF('Dashboard Calc'!$B$110="","",'Dashboard Calc'!$Z$110)</f>
      </c>
      <c r="M110" s="144">
        <f>IF('Dashboard Calc'!$B$110="","",'Dashboard Calc'!$M$110)</f>
      </c>
      <c r="N110" s="144">
        <f>IF('Dashboard Calc'!$B$110="","",'Dashboard Calc'!$O$110)</f>
      </c>
      <c r="O110" s="145">
        <f>IF('Dashboard Calc'!$B$110="","",'Dashboard Calc'!$P$110)</f>
      </c>
      <c r="P110" s="138">
        <f>IF('Dashboard Calc'!$B$110="","",'Dashboard Calc'!$Q$110)</f>
      </c>
      <c r="Q110" s="143">
        <f>IF('Dashboard Calc'!$B$110="","",'Dashboard Calc'!$S$110)</f>
      </c>
      <c r="R110" s="142">
        <f>IF('Dashboard Calc'!$B$110="","",'Dashboard Calc'!$T$110)</f>
      </c>
      <c r="S110" s="138">
        <f>IF('Dashboard Calc'!$B$110="","",'Dashboard Calc'!$AA$110)</f>
      </c>
      <c r="T110" s="143">
        <f>IF('Dashboard Calc'!$B$110="","",'Dashboard Calc'!$AD$110)</f>
      </c>
      <c r="U110" s="138">
        <f>IF('Dashboard Calc'!$B$110="","",'Dashboard Calc'!$AB$110)</f>
      </c>
    </row>
    <row r="111" ht="16" customHeight="1" s="83">
      <c r="B111" s="129">
        <f>IF('Dashboard Calc'!$B$111="","",'Dashboard Calc'!$B$111)</f>
      </c>
      <c r="C111" s="131">
        <f>IF('Dashboard Calc'!$B$111="","",'Dashboard Calc'!$C$111)</f>
      </c>
      <c r="D111" s="178">
        <f>IF('Dashboard Calc'!$B$111="","",'Dashboard Calc'!$D$111)</f>
      </c>
      <c r="E111" s="131">
        <f>IF('Dashboard Calc'!$B$111="","",'Dashboard Calc'!$F$111)</f>
      </c>
      <c r="F111" s="131">
        <f>IF('Dashboard Calc'!$B$111="","",'Dashboard Calc'!$H$111)</f>
      </c>
      <c r="G111" s="131">
        <f>IF('Dashboard Calc'!$B$111="","",'Dashboard Calc'!$I$111)</f>
      </c>
      <c r="H111" s="146">
        <f>IF('Dashboard Calc'!$B$111="","",'Dashboard Calc'!$J$111)</f>
      </c>
      <c r="I111" s="131">
        <f>IF('Dashboard Calc'!$B$111="","",'Dashboard Calc'!$K$111)</f>
      </c>
      <c r="J111" s="147">
        <f>IF('Dashboard Calc'!$B$111="","",'Dashboard Calc'!$W$111)</f>
      </c>
      <c r="K111" s="131">
        <f>IF('Dashboard Calc'!$B$111="","",'Dashboard Calc'!$Y$111)</f>
      </c>
      <c r="L111" s="131">
        <f>IF('Dashboard Calc'!$B$111="","",'Dashboard Calc'!$Z$111)</f>
      </c>
      <c r="M111" s="147">
        <f>IF('Dashboard Calc'!$B$111="","",'Dashboard Calc'!$M$111)</f>
      </c>
      <c r="N111" s="147">
        <f>IF('Dashboard Calc'!$B$111="","",'Dashboard Calc'!$O$111)</f>
      </c>
      <c r="O111" s="148">
        <f>IF('Dashboard Calc'!$B$111="","",'Dashboard Calc'!$P$111)</f>
      </c>
      <c r="P111" s="131">
        <f>IF('Dashboard Calc'!$B$111="","",'Dashboard Calc'!$Q$111)</f>
      </c>
      <c r="Q111" s="146">
        <f>IF('Dashboard Calc'!$B$111="","",'Dashboard Calc'!$S$111)</f>
      </c>
      <c r="R111" s="135">
        <f>IF('Dashboard Calc'!$B$111="","",'Dashboard Calc'!$T$111)</f>
      </c>
      <c r="S111" s="131">
        <f>IF('Dashboard Calc'!$B$111="","",'Dashboard Calc'!$AA$111)</f>
      </c>
      <c r="T111" s="146">
        <f>IF('Dashboard Calc'!$B$111="","",'Dashboard Calc'!$AD$111)</f>
      </c>
      <c r="U111" s="131">
        <f>IF('Dashboard Calc'!$B$111="","",'Dashboard Calc'!$AB$111)</f>
      </c>
    </row>
    <row r="112" ht="16" customHeight="1" s="83">
      <c r="B112" s="137">
        <f>IF('Dashboard Calc'!$B$112="","",'Dashboard Calc'!$B$112)</f>
      </c>
      <c r="C112" s="138">
        <f>IF('Dashboard Calc'!$B$112="","",'Dashboard Calc'!$C$112)</f>
      </c>
      <c r="D112" s="177">
        <f>IF('Dashboard Calc'!$B$112="","",'Dashboard Calc'!$D$112)</f>
      </c>
      <c r="E112" s="138">
        <f>IF('Dashboard Calc'!$B$112="","",'Dashboard Calc'!$F$112)</f>
      </c>
      <c r="F112" s="138">
        <f>IF('Dashboard Calc'!$B$112="","",'Dashboard Calc'!$H$112)</f>
      </c>
      <c r="G112" s="138">
        <f>IF('Dashboard Calc'!$B$112="","",'Dashboard Calc'!$I$112)</f>
      </c>
      <c r="H112" s="143">
        <f>IF('Dashboard Calc'!$B$112="","",'Dashboard Calc'!$J$112)</f>
      </c>
      <c r="I112" s="138">
        <f>IF('Dashboard Calc'!$B$112="","",'Dashboard Calc'!$K$112)</f>
      </c>
      <c r="J112" s="144">
        <f>IF('Dashboard Calc'!$B$112="","",'Dashboard Calc'!$W$112)</f>
      </c>
      <c r="K112" s="138">
        <f>IF('Dashboard Calc'!$B$112="","",'Dashboard Calc'!$Y$112)</f>
      </c>
      <c r="L112" s="138">
        <f>IF('Dashboard Calc'!$B$112="","",'Dashboard Calc'!$Z$112)</f>
      </c>
      <c r="M112" s="144">
        <f>IF('Dashboard Calc'!$B$112="","",'Dashboard Calc'!$M$112)</f>
      </c>
      <c r="N112" s="144">
        <f>IF('Dashboard Calc'!$B$112="","",'Dashboard Calc'!$O$112)</f>
      </c>
      <c r="O112" s="145">
        <f>IF('Dashboard Calc'!$B$112="","",'Dashboard Calc'!$P$112)</f>
      </c>
      <c r="P112" s="138">
        <f>IF('Dashboard Calc'!$B$112="","",'Dashboard Calc'!$Q$112)</f>
      </c>
      <c r="Q112" s="143">
        <f>IF('Dashboard Calc'!$B$112="","",'Dashboard Calc'!$S$112)</f>
      </c>
      <c r="R112" s="142">
        <f>IF('Dashboard Calc'!$B$112="","",'Dashboard Calc'!$T$112)</f>
      </c>
      <c r="S112" s="138">
        <f>IF('Dashboard Calc'!$B$112="","",'Dashboard Calc'!$AA$112)</f>
      </c>
      <c r="T112" s="143">
        <f>IF('Dashboard Calc'!$B$112="","",'Dashboard Calc'!$AD$112)</f>
      </c>
      <c r="U112" s="138">
        <f>IF('Dashboard Calc'!$B$112="","",'Dashboard Calc'!$AB$112)</f>
      </c>
    </row>
    <row r="113" ht="16" customHeight="1" s="83">
      <c r="B113" s="129">
        <f>IF('Dashboard Calc'!$B$113="","",'Dashboard Calc'!$B$113)</f>
      </c>
      <c r="C113" s="131">
        <f>IF('Dashboard Calc'!$B$113="","",'Dashboard Calc'!$C$113)</f>
      </c>
      <c r="D113" s="178">
        <f>IF('Dashboard Calc'!$B$113="","",'Dashboard Calc'!$D$113)</f>
      </c>
      <c r="E113" s="131">
        <f>IF('Dashboard Calc'!$B$113="","",'Dashboard Calc'!$F$113)</f>
      </c>
      <c r="F113" s="131">
        <f>IF('Dashboard Calc'!$B$113="","",'Dashboard Calc'!$H$113)</f>
      </c>
      <c r="G113" s="131">
        <f>IF('Dashboard Calc'!$B$113="","",'Dashboard Calc'!$I$113)</f>
      </c>
      <c r="H113" s="146">
        <f>IF('Dashboard Calc'!$B$113="","",'Dashboard Calc'!$J$113)</f>
      </c>
      <c r="I113" s="131">
        <f>IF('Dashboard Calc'!$B$113="","",'Dashboard Calc'!$K$113)</f>
      </c>
      <c r="J113" s="147">
        <f>IF('Dashboard Calc'!$B$113="","",'Dashboard Calc'!$W$113)</f>
      </c>
      <c r="K113" s="131">
        <f>IF('Dashboard Calc'!$B$113="","",'Dashboard Calc'!$Y$113)</f>
      </c>
      <c r="L113" s="131">
        <f>IF('Dashboard Calc'!$B$113="","",'Dashboard Calc'!$Z$113)</f>
      </c>
      <c r="M113" s="147">
        <f>IF('Dashboard Calc'!$B$113="","",'Dashboard Calc'!$M$113)</f>
      </c>
      <c r="N113" s="147">
        <f>IF('Dashboard Calc'!$B$113="","",'Dashboard Calc'!$O$113)</f>
      </c>
      <c r="O113" s="148">
        <f>IF('Dashboard Calc'!$B$113="","",'Dashboard Calc'!$P$113)</f>
      </c>
      <c r="P113" s="131">
        <f>IF('Dashboard Calc'!$B$113="","",'Dashboard Calc'!$Q$113)</f>
      </c>
      <c r="Q113" s="146">
        <f>IF('Dashboard Calc'!$B$113="","",'Dashboard Calc'!$S$113)</f>
      </c>
      <c r="R113" s="135">
        <f>IF('Dashboard Calc'!$B$113="","",'Dashboard Calc'!$T$113)</f>
      </c>
      <c r="S113" s="131">
        <f>IF('Dashboard Calc'!$B$113="","",'Dashboard Calc'!$AA$113)</f>
      </c>
      <c r="T113" s="146">
        <f>IF('Dashboard Calc'!$B$113="","",'Dashboard Calc'!$AD$113)</f>
      </c>
      <c r="U113" s="131">
        <f>IF('Dashboard Calc'!$B$113="","",'Dashboard Calc'!$AB$113)</f>
      </c>
    </row>
    <row r="114" ht="16" customHeight="1" s="83">
      <c r="B114" s="137">
        <f>IF('Dashboard Calc'!$B$114="","",'Dashboard Calc'!$B$114)</f>
      </c>
      <c r="C114" s="138">
        <f>IF('Dashboard Calc'!$B$114="","",'Dashboard Calc'!$C$114)</f>
      </c>
      <c r="D114" s="177">
        <f>IF('Dashboard Calc'!$B$114="","",'Dashboard Calc'!$D$114)</f>
      </c>
      <c r="E114" s="138">
        <f>IF('Dashboard Calc'!$B$114="","",'Dashboard Calc'!$F$114)</f>
      </c>
      <c r="F114" s="138">
        <f>IF('Dashboard Calc'!$B$114="","",'Dashboard Calc'!$H$114)</f>
      </c>
      <c r="G114" s="138">
        <f>IF('Dashboard Calc'!$B$114="","",'Dashboard Calc'!$I$114)</f>
      </c>
      <c r="H114" s="143">
        <f>IF('Dashboard Calc'!$B$114="","",'Dashboard Calc'!$J$114)</f>
      </c>
      <c r="I114" s="138">
        <f>IF('Dashboard Calc'!$B$114="","",'Dashboard Calc'!$K$114)</f>
      </c>
      <c r="J114" s="144">
        <f>IF('Dashboard Calc'!$B$114="","",'Dashboard Calc'!$W$114)</f>
      </c>
      <c r="K114" s="138">
        <f>IF('Dashboard Calc'!$B$114="","",'Dashboard Calc'!$Y$114)</f>
      </c>
      <c r="L114" s="138">
        <f>IF('Dashboard Calc'!$B$114="","",'Dashboard Calc'!$Z$114)</f>
      </c>
      <c r="M114" s="144">
        <f>IF('Dashboard Calc'!$B$114="","",'Dashboard Calc'!$M$114)</f>
      </c>
      <c r="N114" s="144">
        <f>IF('Dashboard Calc'!$B$114="","",'Dashboard Calc'!$O$114)</f>
      </c>
      <c r="O114" s="145">
        <f>IF('Dashboard Calc'!$B$114="","",'Dashboard Calc'!$P$114)</f>
      </c>
      <c r="P114" s="138">
        <f>IF('Dashboard Calc'!$B$114="","",'Dashboard Calc'!$Q$114)</f>
      </c>
      <c r="Q114" s="143">
        <f>IF('Dashboard Calc'!$B$114="","",'Dashboard Calc'!$S$114)</f>
      </c>
      <c r="R114" s="142">
        <f>IF('Dashboard Calc'!$B$114="","",'Dashboard Calc'!$T$114)</f>
      </c>
      <c r="S114" s="138">
        <f>IF('Dashboard Calc'!$B$114="","",'Dashboard Calc'!$AA$114)</f>
      </c>
      <c r="T114" s="143">
        <f>IF('Dashboard Calc'!$B$114="","",'Dashboard Calc'!$AD$114)</f>
      </c>
      <c r="U114" s="138">
        <f>IF('Dashboard Calc'!$B$114="","",'Dashboard Calc'!$AB$114)</f>
      </c>
    </row>
    <row r="115" ht="16" customHeight="1" s="83">
      <c r="B115" s="129">
        <f>IF('Dashboard Calc'!$B$115="","",'Dashboard Calc'!$B$115)</f>
      </c>
      <c r="C115" s="131">
        <f>IF('Dashboard Calc'!$B$115="","",'Dashboard Calc'!$C$115)</f>
      </c>
      <c r="D115" s="178">
        <f>IF('Dashboard Calc'!$B$115="","",'Dashboard Calc'!$D$115)</f>
      </c>
      <c r="E115" s="131">
        <f>IF('Dashboard Calc'!$B$115="","",'Dashboard Calc'!$F$115)</f>
      </c>
      <c r="F115" s="131">
        <f>IF('Dashboard Calc'!$B$115="","",'Dashboard Calc'!$H$115)</f>
      </c>
      <c r="G115" s="131">
        <f>IF('Dashboard Calc'!$B$115="","",'Dashboard Calc'!$I$115)</f>
      </c>
      <c r="H115" s="146">
        <f>IF('Dashboard Calc'!$B$115="","",'Dashboard Calc'!$J$115)</f>
      </c>
      <c r="I115" s="131">
        <f>IF('Dashboard Calc'!$B$115="","",'Dashboard Calc'!$K$115)</f>
      </c>
      <c r="J115" s="147">
        <f>IF('Dashboard Calc'!$B$115="","",'Dashboard Calc'!$W$115)</f>
      </c>
      <c r="K115" s="131">
        <f>IF('Dashboard Calc'!$B$115="","",'Dashboard Calc'!$Y$115)</f>
      </c>
      <c r="L115" s="131">
        <f>IF('Dashboard Calc'!$B$115="","",'Dashboard Calc'!$Z$115)</f>
      </c>
      <c r="M115" s="147">
        <f>IF('Dashboard Calc'!$B$115="","",'Dashboard Calc'!$M$115)</f>
      </c>
      <c r="N115" s="147">
        <f>IF('Dashboard Calc'!$B$115="","",'Dashboard Calc'!$O$115)</f>
      </c>
      <c r="O115" s="148">
        <f>IF('Dashboard Calc'!$B$115="","",'Dashboard Calc'!$P$115)</f>
      </c>
      <c r="P115" s="131">
        <f>IF('Dashboard Calc'!$B$115="","",'Dashboard Calc'!$Q$115)</f>
      </c>
      <c r="Q115" s="146">
        <f>IF('Dashboard Calc'!$B$115="","",'Dashboard Calc'!$S$115)</f>
      </c>
      <c r="R115" s="135">
        <f>IF('Dashboard Calc'!$B$115="","",'Dashboard Calc'!$T$115)</f>
      </c>
      <c r="S115" s="131">
        <f>IF('Dashboard Calc'!$B$115="","",'Dashboard Calc'!$AA$115)</f>
      </c>
      <c r="T115" s="146">
        <f>IF('Dashboard Calc'!$B$115="","",'Dashboard Calc'!$AD$115)</f>
      </c>
      <c r="U115" s="131">
        <f>IF('Dashboard Calc'!$B$115="","",'Dashboard Calc'!$AB$115)</f>
      </c>
    </row>
    <row r="116" ht="16" customHeight="1" s="83">
      <c r="B116" s="137">
        <f>IF('Dashboard Calc'!$B$116="","",'Dashboard Calc'!$B$116)</f>
      </c>
      <c r="C116" s="138">
        <f>IF('Dashboard Calc'!$B$116="","",'Dashboard Calc'!$C$116)</f>
      </c>
      <c r="D116" s="177">
        <f>IF('Dashboard Calc'!$B$116="","",'Dashboard Calc'!$D$116)</f>
      </c>
      <c r="E116" s="138">
        <f>IF('Dashboard Calc'!$B$116="","",'Dashboard Calc'!$F$116)</f>
      </c>
      <c r="F116" s="138">
        <f>IF('Dashboard Calc'!$B$116="","",'Dashboard Calc'!$H$116)</f>
      </c>
      <c r="G116" s="138">
        <f>IF('Dashboard Calc'!$B$116="","",'Dashboard Calc'!$I$116)</f>
      </c>
      <c r="H116" s="143">
        <f>IF('Dashboard Calc'!$B$116="","",'Dashboard Calc'!$J$116)</f>
      </c>
      <c r="I116" s="138">
        <f>IF('Dashboard Calc'!$B$116="","",'Dashboard Calc'!$K$116)</f>
      </c>
      <c r="J116" s="144">
        <f>IF('Dashboard Calc'!$B$116="","",'Dashboard Calc'!$W$116)</f>
      </c>
      <c r="K116" s="138">
        <f>IF('Dashboard Calc'!$B$116="","",'Dashboard Calc'!$Y$116)</f>
      </c>
      <c r="L116" s="138">
        <f>IF('Dashboard Calc'!$B$116="","",'Dashboard Calc'!$Z$116)</f>
      </c>
      <c r="M116" s="144">
        <f>IF('Dashboard Calc'!$B$116="","",'Dashboard Calc'!$M$116)</f>
      </c>
      <c r="N116" s="144">
        <f>IF('Dashboard Calc'!$B$116="","",'Dashboard Calc'!$O$116)</f>
      </c>
      <c r="O116" s="145">
        <f>IF('Dashboard Calc'!$B$116="","",'Dashboard Calc'!$P$116)</f>
      </c>
      <c r="P116" s="138">
        <f>IF('Dashboard Calc'!$B$116="","",'Dashboard Calc'!$Q$116)</f>
      </c>
      <c r="Q116" s="143">
        <f>IF('Dashboard Calc'!$B$116="","",'Dashboard Calc'!$S$116)</f>
      </c>
      <c r="R116" s="142">
        <f>IF('Dashboard Calc'!$B$116="","",'Dashboard Calc'!$T$116)</f>
      </c>
      <c r="S116" s="138">
        <f>IF('Dashboard Calc'!$B$116="","",'Dashboard Calc'!$AA$116)</f>
      </c>
      <c r="T116" s="143">
        <f>IF('Dashboard Calc'!$B$116="","",'Dashboard Calc'!$AD$116)</f>
      </c>
      <c r="U116" s="138">
        <f>IF('Dashboard Calc'!$B$116="","",'Dashboard Calc'!$AB$116)</f>
      </c>
    </row>
    <row r="117" ht="16" customHeight="1" s="83">
      <c r="B117" s="129">
        <f>IF('Dashboard Calc'!$B$117="","",'Dashboard Calc'!$B$117)</f>
      </c>
      <c r="C117" s="131">
        <f>IF('Dashboard Calc'!$B$117="","",'Dashboard Calc'!$C$117)</f>
      </c>
      <c r="D117" s="178">
        <f>IF('Dashboard Calc'!$B$117="","",'Dashboard Calc'!$D$117)</f>
      </c>
      <c r="E117" s="131">
        <f>IF('Dashboard Calc'!$B$117="","",'Dashboard Calc'!$F$117)</f>
      </c>
      <c r="F117" s="131">
        <f>IF('Dashboard Calc'!$B$117="","",'Dashboard Calc'!$H$117)</f>
      </c>
      <c r="G117" s="131">
        <f>IF('Dashboard Calc'!$B$117="","",'Dashboard Calc'!$I$117)</f>
      </c>
      <c r="H117" s="146">
        <f>IF('Dashboard Calc'!$B$117="","",'Dashboard Calc'!$J$117)</f>
      </c>
      <c r="I117" s="131">
        <f>IF('Dashboard Calc'!$B$117="","",'Dashboard Calc'!$K$117)</f>
      </c>
      <c r="J117" s="147">
        <f>IF('Dashboard Calc'!$B$117="","",'Dashboard Calc'!$W$117)</f>
      </c>
      <c r="K117" s="131">
        <f>IF('Dashboard Calc'!$B$117="","",'Dashboard Calc'!$Y$117)</f>
      </c>
      <c r="L117" s="131">
        <f>IF('Dashboard Calc'!$B$117="","",'Dashboard Calc'!$Z$117)</f>
      </c>
      <c r="M117" s="147">
        <f>IF('Dashboard Calc'!$B$117="","",'Dashboard Calc'!$M$117)</f>
      </c>
      <c r="N117" s="147">
        <f>IF('Dashboard Calc'!$B$117="","",'Dashboard Calc'!$O$117)</f>
      </c>
      <c r="O117" s="148">
        <f>IF('Dashboard Calc'!$B$117="","",'Dashboard Calc'!$P$117)</f>
      </c>
      <c r="P117" s="131">
        <f>IF('Dashboard Calc'!$B$117="","",'Dashboard Calc'!$Q$117)</f>
      </c>
      <c r="Q117" s="146">
        <f>IF('Dashboard Calc'!$B$117="","",'Dashboard Calc'!$S$117)</f>
      </c>
      <c r="R117" s="135">
        <f>IF('Dashboard Calc'!$B$117="","",'Dashboard Calc'!$T$117)</f>
      </c>
      <c r="S117" s="131">
        <f>IF('Dashboard Calc'!$B$117="","",'Dashboard Calc'!$AA$117)</f>
      </c>
      <c r="T117" s="146">
        <f>IF('Dashboard Calc'!$B$117="","",'Dashboard Calc'!$AD$117)</f>
      </c>
      <c r="U117" s="131">
        <f>IF('Dashboard Calc'!$B$117="","",'Dashboard Calc'!$AB$117)</f>
      </c>
    </row>
    <row r="118" ht="16" customHeight="1" s="83">
      <c r="B118" s="137">
        <f>IF('Dashboard Calc'!$B$118="","",'Dashboard Calc'!$B$118)</f>
      </c>
      <c r="C118" s="138">
        <f>IF('Dashboard Calc'!$B$118="","",'Dashboard Calc'!$C$118)</f>
      </c>
      <c r="D118" s="177">
        <f>IF('Dashboard Calc'!$B$118="","",'Dashboard Calc'!$D$118)</f>
      </c>
      <c r="E118" s="138">
        <f>IF('Dashboard Calc'!$B$118="","",'Dashboard Calc'!$F$118)</f>
      </c>
      <c r="F118" s="138">
        <f>IF('Dashboard Calc'!$B$118="","",'Dashboard Calc'!$H$118)</f>
      </c>
      <c r="G118" s="138">
        <f>IF('Dashboard Calc'!$B$118="","",'Dashboard Calc'!$I$118)</f>
      </c>
      <c r="H118" s="143">
        <f>IF('Dashboard Calc'!$B$118="","",'Dashboard Calc'!$J$118)</f>
      </c>
      <c r="I118" s="138">
        <f>IF('Dashboard Calc'!$B$118="","",'Dashboard Calc'!$K$118)</f>
      </c>
      <c r="J118" s="144">
        <f>IF('Dashboard Calc'!$B$118="","",'Dashboard Calc'!$W$118)</f>
      </c>
      <c r="K118" s="138">
        <f>IF('Dashboard Calc'!$B$118="","",'Dashboard Calc'!$Y$118)</f>
      </c>
      <c r="L118" s="138">
        <f>IF('Dashboard Calc'!$B$118="","",'Dashboard Calc'!$Z$118)</f>
      </c>
      <c r="M118" s="144">
        <f>IF('Dashboard Calc'!$B$118="","",'Dashboard Calc'!$M$118)</f>
      </c>
      <c r="N118" s="144">
        <f>IF('Dashboard Calc'!$B$118="","",'Dashboard Calc'!$O$118)</f>
      </c>
      <c r="O118" s="145">
        <f>IF('Dashboard Calc'!$B$118="","",'Dashboard Calc'!$P$118)</f>
      </c>
      <c r="P118" s="138">
        <f>IF('Dashboard Calc'!$B$118="","",'Dashboard Calc'!$Q$118)</f>
      </c>
      <c r="Q118" s="143">
        <f>IF('Dashboard Calc'!$B$118="","",'Dashboard Calc'!$S$118)</f>
      </c>
      <c r="R118" s="142">
        <f>IF('Dashboard Calc'!$B$118="","",'Dashboard Calc'!$T$118)</f>
      </c>
      <c r="S118" s="138">
        <f>IF('Dashboard Calc'!$B$118="","",'Dashboard Calc'!$AA$118)</f>
      </c>
      <c r="T118" s="143">
        <f>IF('Dashboard Calc'!$B$118="","",'Dashboard Calc'!$AD$118)</f>
      </c>
      <c r="U118" s="138">
        <f>IF('Dashboard Calc'!$B$118="","",'Dashboard Calc'!$AB$118)</f>
      </c>
    </row>
    <row r="119" ht="16" customHeight="1" s="83">
      <c r="B119" s="129">
        <f>IF('Dashboard Calc'!$B$119="","",'Dashboard Calc'!$B$119)</f>
      </c>
      <c r="C119" s="131">
        <f>IF('Dashboard Calc'!$B$119="","",'Dashboard Calc'!$C$119)</f>
      </c>
      <c r="D119" s="178">
        <f>IF('Dashboard Calc'!$B$119="","",'Dashboard Calc'!$D$119)</f>
      </c>
      <c r="E119" s="131">
        <f>IF('Dashboard Calc'!$B$119="","",'Dashboard Calc'!$F$119)</f>
      </c>
      <c r="F119" s="131">
        <f>IF('Dashboard Calc'!$B$119="","",'Dashboard Calc'!$H$119)</f>
      </c>
      <c r="G119" s="131">
        <f>IF('Dashboard Calc'!$B$119="","",'Dashboard Calc'!$I$119)</f>
      </c>
      <c r="H119" s="146">
        <f>IF('Dashboard Calc'!$B$119="","",'Dashboard Calc'!$J$119)</f>
      </c>
      <c r="I119" s="131">
        <f>IF('Dashboard Calc'!$B$119="","",'Dashboard Calc'!$K$119)</f>
      </c>
      <c r="J119" s="147">
        <f>IF('Dashboard Calc'!$B$119="","",'Dashboard Calc'!$W$119)</f>
      </c>
      <c r="K119" s="131">
        <f>IF('Dashboard Calc'!$B$119="","",'Dashboard Calc'!$Y$119)</f>
      </c>
      <c r="L119" s="131">
        <f>IF('Dashboard Calc'!$B$119="","",'Dashboard Calc'!$Z$119)</f>
      </c>
      <c r="M119" s="147">
        <f>IF('Dashboard Calc'!$B$119="","",'Dashboard Calc'!$M$119)</f>
      </c>
      <c r="N119" s="147">
        <f>IF('Dashboard Calc'!$B$119="","",'Dashboard Calc'!$O$119)</f>
      </c>
      <c r="O119" s="148">
        <f>IF('Dashboard Calc'!$B$119="","",'Dashboard Calc'!$P$119)</f>
      </c>
      <c r="P119" s="131">
        <f>IF('Dashboard Calc'!$B$119="","",'Dashboard Calc'!$Q$119)</f>
      </c>
      <c r="Q119" s="146">
        <f>IF('Dashboard Calc'!$B$119="","",'Dashboard Calc'!$S$119)</f>
      </c>
      <c r="R119" s="135">
        <f>IF('Dashboard Calc'!$B$119="","",'Dashboard Calc'!$T$119)</f>
      </c>
      <c r="S119" s="131">
        <f>IF('Dashboard Calc'!$B$119="","",'Dashboard Calc'!$AA$119)</f>
      </c>
      <c r="T119" s="146">
        <f>IF('Dashboard Calc'!$B$119="","",'Dashboard Calc'!$AD$119)</f>
      </c>
      <c r="U119" s="131">
        <f>IF('Dashboard Calc'!$B$119="","",'Dashboard Calc'!$AB$119)</f>
      </c>
    </row>
    <row r="120" ht="16" customHeight="1" s="83">
      <c r="B120" s="137">
        <f>IF('Dashboard Calc'!$B$120="","",'Dashboard Calc'!$B$120)</f>
      </c>
      <c r="C120" s="138">
        <f>IF('Dashboard Calc'!$B$120="","",'Dashboard Calc'!$C$120)</f>
      </c>
      <c r="D120" s="177">
        <f>IF('Dashboard Calc'!$B$120="","",'Dashboard Calc'!$D$120)</f>
      </c>
      <c r="E120" s="138">
        <f>IF('Dashboard Calc'!$B$120="","",'Dashboard Calc'!$F$120)</f>
      </c>
      <c r="F120" s="138">
        <f>IF('Dashboard Calc'!$B$120="","",'Dashboard Calc'!$H$120)</f>
      </c>
      <c r="G120" s="138">
        <f>IF('Dashboard Calc'!$B$120="","",'Dashboard Calc'!$I$120)</f>
      </c>
      <c r="H120" s="143">
        <f>IF('Dashboard Calc'!$B$120="","",'Dashboard Calc'!$J$120)</f>
      </c>
      <c r="I120" s="138">
        <f>IF('Dashboard Calc'!$B$120="","",'Dashboard Calc'!$K$120)</f>
      </c>
      <c r="J120" s="144">
        <f>IF('Dashboard Calc'!$B$120="","",'Dashboard Calc'!$W$120)</f>
      </c>
      <c r="K120" s="138">
        <f>IF('Dashboard Calc'!$B$120="","",'Dashboard Calc'!$Y$120)</f>
      </c>
      <c r="L120" s="138">
        <f>IF('Dashboard Calc'!$B$120="","",'Dashboard Calc'!$Z$120)</f>
      </c>
      <c r="M120" s="144">
        <f>IF('Dashboard Calc'!$B$120="","",'Dashboard Calc'!$M$120)</f>
      </c>
      <c r="N120" s="144">
        <f>IF('Dashboard Calc'!$B$120="","",'Dashboard Calc'!$O$120)</f>
      </c>
      <c r="O120" s="145">
        <f>IF('Dashboard Calc'!$B$120="","",'Dashboard Calc'!$P$120)</f>
      </c>
      <c r="P120" s="138">
        <f>IF('Dashboard Calc'!$B$120="","",'Dashboard Calc'!$Q$120)</f>
      </c>
      <c r="Q120" s="143">
        <f>IF('Dashboard Calc'!$B$120="","",'Dashboard Calc'!$S$120)</f>
      </c>
      <c r="R120" s="142">
        <f>IF('Dashboard Calc'!$B$120="","",'Dashboard Calc'!$T$120)</f>
      </c>
      <c r="S120" s="138">
        <f>IF('Dashboard Calc'!$B$120="","",'Dashboard Calc'!$AA$120)</f>
      </c>
      <c r="T120" s="143">
        <f>IF('Dashboard Calc'!$B$120="","",'Dashboard Calc'!$AD$120)</f>
      </c>
      <c r="U120" s="138">
        <f>IF('Dashboard Calc'!$B$120="","",'Dashboard Calc'!$AB$120)</f>
      </c>
    </row>
    <row r="121" ht="16" customHeight="1" s="83">
      <c r="B121" s="129">
        <f>IF('Dashboard Calc'!$B$121="","",'Dashboard Calc'!$B$121)</f>
      </c>
      <c r="C121" s="131">
        <f>IF('Dashboard Calc'!$B$121="","",'Dashboard Calc'!$C$121)</f>
      </c>
      <c r="D121" s="178">
        <f>IF('Dashboard Calc'!$B$121="","",'Dashboard Calc'!$D$121)</f>
      </c>
      <c r="E121" s="131">
        <f>IF('Dashboard Calc'!$B$121="","",'Dashboard Calc'!$F$121)</f>
      </c>
      <c r="F121" s="131">
        <f>IF('Dashboard Calc'!$B$121="","",'Dashboard Calc'!$H$121)</f>
      </c>
      <c r="G121" s="131">
        <f>IF('Dashboard Calc'!$B$121="","",'Dashboard Calc'!$I$121)</f>
      </c>
      <c r="H121" s="146">
        <f>IF('Dashboard Calc'!$B$121="","",'Dashboard Calc'!$J$121)</f>
      </c>
      <c r="I121" s="131">
        <f>IF('Dashboard Calc'!$B$121="","",'Dashboard Calc'!$K$121)</f>
      </c>
      <c r="J121" s="147">
        <f>IF('Dashboard Calc'!$B$121="","",'Dashboard Calc'!$W$121)</f>
      </c>
      <c r="K121" s="131">
        <f>IF('Dashboard Calc'!$B$121="","",'Dashboard Calc'!$Y$121)</f>
      </c>
      <c r="L121" s="131">
        <f>IF('Dashboard Calc'!$B$121="","",'Dashboard Calc'!$Z$121)</f>
      </c>
      <c r="M121" s="147">
        <f>IF('Dashboard Calc'!$B$121="","",'Dashboard Calc'!$M$121)</f>
      </c>
      <c r="N121" s="147">
        <f>IF('Dashboard Calc'!$B$121="","",'Dashboard Calc'!$O$121)</f>
      </c>
      <c r="O121" s="148">
        <f>IF('Dashboard Calc'!$B$121="","",'Dashboard Calc'!$P$121)</f>
      </c>
      <c r="P121" s="131">
        <f>IF('Dashboard Calc'!$B$121="","",'Dashboard Calc'!$Q$121)</f>
      </c>
      <c r="Q121" s="146">
        <f>IF('Dashboard Calc'!$B$121="","",'Dashboard Calc'!$S$121)</f>
      </c>
      <c r="R121" s="135">
        <f>IF('Dashboard Calc'!$B$121="","",'Dashboard Calc'!$T$121)</f>
      </c>
      <c r="S121" s="131">
        <f>IF('Dashboard Calc'!$B$121="","",'Dashboard Calc'!$AA$121)</f>
      </c>
      <c r="T121" s="146">
        <f>IF('Dashboard Calc'!$B$121="","",'Dashboard Calc'!$AD$121)</f>
      </c>
      <c r="U121" s="131">
        <f>IF('Dashboard Calc'!$B$121="","",'Dashboard Calc'!$AB$121)</f>
      </c>
    </row>
    <row r="122" ht="16" customHeight="1" s="83">
      <c r="B122" s="137">
        <f>IF('Dashboard Calc'!$B$122="","",'Dashboard Calc'!$B$122)</f>
      </c>
      <c r="C122" s="138">
        <f>IF('Dashboard Calc'!$B$122="","",'Dashboard Calc'!$C$122)</f>
      </c>
      <c r="D122" s="177">
        <f>IF('Dashboard Calc'!$B$122="","",'Dashboard Calc'!$D$122)</f>
      </c>
      <c r="E122" s="138">
        <f>IF('Dashboard Calc'!$B$122="","",'Dashboard Calc'!$F$122)</f>
      </c>
      <c r="F122" s="138">
        <f>IF('Dashboard Calc'!$B$122="","",'Dashboard Calc'!$H$122)</f>
      </c>
      <c r="G122" s="138">
        <f>IF('Dashboard Calc'!$B$122="","",'Dashboard Calc'!$I$122)</f>
      </c>
      <c r="H122" s="143">
        <f>IF('Dashboard Calc'!$B$122="","",'Dashboard Calc'!$J$122)</f>
      </c>
      <c r="I122" s="138">
        <f>IF('Dashboard Calc'!$B$122="","",'Dashboard Calc'!$K$122)</f>
      </c>
      <c r="J122" s="144">
        <f>IF('Dashboard Calc'!$B$122="","",'Dashboard Calc'!$W$122)</f>
      </c>
      <c r="K122" s="138">
        <f>IF('Dashboard Calc'!$B$122="","",'Dashboard Calc'!$Y$122)</f>
      </c>
      <c r="L122" s="138">
        <f>IF('Dashboard Calc'!$B$122="","",'Dashboard Calc'!$Z$122)</f>
      </c>
      <c r="M122" s="144">
        <f>IF('Dashboard Calc'!$B$122="","",'Dashboard Calc'!$M$122)</f>
      </c>
      <c r="N122" s="144">
        <f>IF('Dashboard Calc'!$B$122="","",'Dashboard Calc'!$O$122)</f>
      </c>
      <c r="O122" s="145">
        <f>IF('Dashboard Calc'!$B$122="","",'Dashboard Calc'!$P$122)</f>
      </c>
      <c r="P122" s="138">
        <f>IF('Dashboard Calc'!$B$122="","",'Dashboard Calc'!$Q$122)</f>
      </c>
      <c r="Q122" s="143">
        <f>IF('Dashboard Calc'!$B$122="","",'Dashboard Calc'!$S$122)</f>
      </c>
      <c r="R122" s="142">
        <f>IF('Dashboard Calc'!$B$122="","",'Dashboard Calc'!$T$122)</f>
      </c>
      <c r="S122" s="138">
        <f>IF('Dashboard Calc'!$B$122="","",'Dashboard Calc'!$AA$122)</f>
      </c>
      <c r="T122" s="143">
        <f>IF('Dashboard Calc'!$B$122="","",'Dashboard Calc'!$AD$122)</f>
      </c>
      <c r="U122" s="138">
        <f>IF('Dashboard Calc'!$B$122="","",'Dashboard Calc'!$AB$122)</f>
      </c>
    </row>
    <row r="123" ht="16" customHeight="1" s="83">
      <c r="B123" s="129">
        <f>IF('Dashboard Calc'!$B$123="","",'Dashboard Calc'!$B$123)</f>
      </c>
      <c r="C123" s="131">
        <f>IF('Dashboard Calc'!$B$123="","",'Dashboard Calc'!$C$123)</f>
      </c>
      <c r="D123" s="178">
        <f>IF('Dashboard Calc'!$B$123="","",'Dashboard Calc'!$D$123)</f>
      </c>
      <c r="E123" s="131">
        <f>IF('Dashboard Calc'!$B$123="","",'Dashboard Calc'!$F$123)</f>
      </c>
      <c r="F123" s="131">
        <f>IF('Dashboard Calc'!$B$123="","",'Dashboard Calc'!$H$123)</f>
      </c>
      <c r="G123" s="131">
        <f>IF('Dashboard Calc'!$B$123="","",'Dashboard Calc'!$I$123)</f>
      </c>
      <c r="H123" s="146">
        <f>IF('Dashboard Calc'!$B$123="","",'Dashboard Calc'!$J$123)</f>
      </c>
      <c r="I123" s="131">
        <f>IF('Dashboard Calc'!$B$123="","",'Dashboard Calc'!$K$123)</f>
      </c>
      <c r="J123" s="147">
        <f>IF('Dashboard Calc'!$B$123="","",'Dashboard Calc'!$W$123)</f>
      </c>
      <c r="K123" s="131">
        <f>IF('Dashboard Calc'!$B$123="","",'Dashboard Calc'!$Y$123)</f>
      </c>
      <c r="L123" s="131">
        <f>IF('Dashboard Calc'!$B$123="","",'Dashboard Calc'!$Z$123)</f>
      </c>
      <c r="M123" s="147">
        <f>IF('Dashboard Calc'!$B$123="","",'Dashboard Calc'!$M$123)</f>
      </c>
      <c r="N123" s="147">
        <f>IF('Dashboard Calc'!$B$123="","",'Dashboard Calc'!$O$123)</f>
      </c>
      <c r="O123" s="148">
        <f>IF('Dashboard Calc'!$B$123="","",'Dashboard Calc'!$P$123)</f>
      </c>
      <c r="P123" s="131">
        <f>IF('Dashboard Calc'!$B$123="","",'Dashboard Calc'!$Q$123)</f>
      </c>
      <c r="Q123" s="146">
        <f>IF('Dashboard Calc'!$B$123="","",'Dashboard Calc'!$S$123)</f>
      </c>
      <c r="R123" s="135">
        <f>IF('Dashboard Calc'!$B$123="","",'Dashboard Calc'!$T$123)</f>
      </c>
      <c r="S123" s="131">
        <f>IF('Dashboard Calc'!$B$123="","",'Dashboard Calc'!$AA$123)</f>
      </c>
      <c r="T123" s="146">
        <f>IF('Dashboard Calc'!$B$123="","",'Dashboard Calc'!$AD$123)</f>
      </c>
      <c r="U123" s="131">
        <f>IF('Dashboard Calc'!$B$123="","",'Dashboard Calc'!$AB$123)</f>
      </c>
    </row>
    <row r="124" ht="16" customHeight="1" s="83">
      <c r="B124" s="137">
        <f>IF('Dashboard Calc'!$B$124="","",'Dashboard Calc'!$B$124)</f>
      </c>
      <c r="C124" s="138">
        <f>IF('Dashboard Calc'!$B$124="","",'Dashboard Calc'!$C$124)</f>
      </c>
      <c r="D124" s="177">
        <f>IF('Dashboard Calc'!$B$124="","",'Dashboard Calc'!$D$124)</f>
      </c>
      <c r="E124" s="138">
        <f>IF('Dashboard Calc'!$B$124="","",'Dashboard Calc'!$F$124)</f>
      </c>
      <c r="F124" s="138">
        <f>IF('Dashboard Calc'!$B$124="","",'Dashboard Calc'!$H$124)</f>
      </c>
      <c r="G124" s="138">
        <f>IF('Dashboard Calc'!$B$124="","",'Dashboard Calc'!$I$124)</f>
      </c>
      <c r="H124" s="143">
        <f>IF('Dashboard Calc'!$B$124="","",'Dashboard Calc'!$J$124)</f>
      </c>
      <c r="I124" s="138">
        <f>IF('Dashboard Calc'!$B$124="","",'Dashboard Calc'!$K$124)</f>
      </c>
      <c r="J124" s="144">
        <f>IF('Dashboard Calc'!$B$124="","",'Dashboard Calc'!$W$124)</f>
      </c>
      <c r="K124" s="138">
        <f>IF('Dashboard Calc'!$B$124="","",'Dashboard Calc'!$Y$124)</f>
      </c>
      <c r="L124" s="138">
        <f>IF('Dashboard Calc'!$B$124="","",'Dashboard Calc'!$Z$124)</f>
      </c>
      <c r="M124" s="144">
        <f>IF('Dashboard Calc'!$B$124="","",'Dashboard Calc'!$M$124)</f>
      </c>
      <c r="N124" s="144">
        <f>IF('Dashboard Calc'!$B$124="","",'Dashboard Calc'!$O$124)</f>
      </c>
      <c r="O124" s="145">
        <f>IF('Dashboard Calc'!$B$124="","",'Dashboard Calc'!$P$124)</f>
      </c>
      <c r="P124" s="138">
        <f>IF('Dashboard Calc'!$B$124="","",'Dashboard Calc'!$Q$124)</f>
      </c>
      <c r="Q124" s="143">
        <f>IF('Dashboard Calc'!$B$124="","",'Dashboard Calc'!$S$124)</f>
      </c>
      <c r="R124" s="142">
        <f>IF('Dashboard Calc'!$B$124="","",'Dashboard Calc'!$T$124)</f>
      </c>
      <c r="S124" s="138">
        <f>IF('Dashboard Calc'!$B$124="","",'Dashboard Calc'!$AA$124)</f>
      </c>
      <c r="T124" s="143">
        <f>IF('Dashboard Calc'!$B$124="","",'Dashboard Calc'!$AD$124)</f>
      </c>
      <c r="U124" s="138">
        <f>IF('Dashboard Calc'!$B$124="","",'Dashboard Calc'!$AB$124)</f>
      </c>
    </row>
    <row r="125" ht="16" customHeight="1" s="83">
      <c r="B125" s="129">
        <f>IF('Dashboard Calc'!$B$125="","",'Dashboard Calc'!$B$125)</f>
      </c>
      <c r="C125" s="131">
        <f>IF('Dashboard Calc'!$B$125="","",'Dashboard Calc'!$C$125)</f>
      </c>
      <c r="D125" s="178">
        <f>IF('Dashboard Calc'!$B$125="","",'Dashboard Calc'!$D$125)</f>
      </c>
      <c r="E125" s="131">
        <f>IF('Dashboard Calc'!$B$125="","",'Dashboard Calc'!$F$125)</f>
      </c>
      <c r="F125" s="131">
        <f>IF('Dashboard Calc'!$B$125="","",'Dashboard Calc'!$H$125)</f>
      </c>
      <c r="G125" s="131">
        <f>IF('Dashboard Calc'!$B$125="","",'Dashboard Calc'!$I$125)</f>
      </c>
      <c r="H125" s="146">
        <f>IF('Dashboard Calc'!$B$125="","",'Dashboard Calc'!$J$125)</f>
      </c>
      <c r="I125" s="131">
        <f>IF('Dashboard Calc'!$B$125="","",'Dashboard Calc'!$K$125)</f>
      </c>
      <c r="J125" s="147">
        <f>IF('Dashboard Calc'!$B$125="","",'Dashboard Calc'!$W$125)</f>
      </c>
      <c r="K125" s="131">
        <f>IF('Dashboard Calc'!$B$125="","",'Dashboard Calc'!$Y$125)</f>
      </c>
      <c r="L125" s="131">
        <f>IF('Dashboard Calc'!$B$125="","",'Dashboard Calc'!$Z$125)</f>
      </c>
      <c r="M125" s="147">
        <f>IF('Dashboard Calc'!$B$125="","",'Dashboard Calc'!$M$125)</f>
      </c>
      <c r="N125" s="147">
        <f>IF('Dashboard Calc'!$B$125="","",'Dashboard Calc'!$O$125)</f>
      </c>
      <c r="O125" s="148">
        <f>IF('Dashboard Calc'!$B$125="","",'Dashboard Calc'!$P$125)</f>
      </c>
      <c r="P125" s="131">
        <f>IF('Dashboard Calc'!$B$125="","",'Dashboard Calc'!$Q$125)</f>
      </c>
      <c r="Q125" s="146">
        <f>IF('Dashboard Calc'!$B$125="","",'Dashboard Calc'!$S$125)</f>
      </c>
      <c r="R125" s="135">
        <f>IF('Dashboard Calc'!$B$125="","",'Dashboard Calc'!$T$125)</f>
      </c>
      <c r="S125" s="131">
        <f>IF('Dashboard Calc'!$B$125="","",'Dashboard Calc'!$AA$125)</f>
      </c>
      <c r="T125" s="146">
        <f>IF('Dashboard Calc'!$B$125="","",'Dashboard Calc'!$AD$125)</f>
      </c>
      <c r="U125" s="131">
        <f>IF('Dashboard Calc'!$B$125="","",'Dashboard Calc'!$AB$125)</f>
      </c>
    </row>
  </sheetData>
  <autoFilter ref="B5:U125"/>
  <conditionalFormatting sqref="G6:G125">
    <cfRule type="expression" priority="1" dxfId="0" stopIfTrue="1">
      <formula>ISNUMBER(SEARCH("Hire",$G6))</formula>
    </cfRule>
    <cfRule type="expression" priority="2" dxfId="0" stopIfTrue="1">
      <formula>ISNUMBER(SEARCH("Offer",$G6))</formula>
    </cfRule>
    <cfRule type="expression" priority="3" dxfId="1" stopIfTrue="1">
      <formula>ISNUMBER(SEARCH("Interview",$G6))</formula>
    </cfRule>
    <cfRule type="expression" priority="4" dxfId="1" stopIfTrue="1">
      <formula>ISNUMBER(SEARCH("Submission",$G6))</formula>
    </cfRule>
    <cfRule type="expression" priority="5" dxfId="2" stopIfTrue="1">
      <formula>ISNUMBER(SEARCH("Withdrawn",$G6))</formula>
    </cfRule>
  </conditionalFormatting>
  <conditionalFormatting sqref="J6:J125">
    <cfRule type="colorScale" priority="6">
      <colorScale>
        <cfvo type="num" val="0"/>
        <cfvo type="max"/>
        <color rgb="00FFFFFF"/>
        <color rgb="00BFE3CC"/>
      </colorScale>
    </cfRule>
    <cfRule type="cellIs" priority="13" operator="equal" dxfId="4">
      <formula>0</formula>
    </cfRule>
  </conditionalFormatting>
  <conditionalFormatting sqref="O6:O125">
    <cfRule type="colorScale" priority="7">
      <colorScale>
        <cfvo type="num" val="0"/>
        <cfvo type="max"/>
        <color rgb="00FFFFFF"/>
        <color rgb="00F3C4C4"/>
      </colorScale>
    </cfRule>
    <cfRule type="cellIs" priority="17" operator="equal" dxfId="4">
      <formula>0</formula>
    </cfRule>
  </conditionalFormatting>
  <conditionalFormatting sqref="Q6:Q125">
    <cfRule type="cellIs" priority="8" operator="between" dxfId="5">
      <formula>0</formula>
      <formula>30</formula>
    </cfRule>
    <cfRule type="cellIs" priority="9" operator="greaterThan" dxfId="2">
      <formula>60</formula>
    </cfRule>
    <cfRule type="cellIs" priority="14" operator="equal" dxfId="4">
      <formula>0</formula>
    </cfRule>
  </conditionalFormatting>
  <conditionalFormatting sqref="T6:T125">
    <cfRule type="cellIs" priority="10" operator="equal" dxfId="0">
      <formula>1</formula>
    </cfRule>
    <cfRule type="cellIs" priority="16" operator="equal" dxfId="4">
      <formula>0</formula>
    </cfRule>
  </conditionalFormatting>
  <conditionalFormatting sqref="M6:M125">
    <cfRule type="cellIs" priority="11" operator="equal" dxfId="4">
      <formula>0</formula>
    </cfRule>
  </conditionalFormatting>
  <conditionalFormatting sqref="N6:N125">
    <cfRule type="cellIs" priority="12" operator="equal" dxfId="4">
      <formula>0</formula>
    </cfRule>
  </conditionalFormatting>
  <conditionalFormatting sqref="H6:H125">
    <cfRule type="cellIs" priority="15" operator="equal" dxfId="4">
      <formula>0</formula>
    </cfRule>
  </conditionalFormatting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T95"/>
  <sheetViews>
    <sheetView showGridLines="0" workbookViewId="0">
      <selection activeCell="A1" sqref="A1"/>
    </sheetView>
  </sheetViews>
  <sheetFormatPr baseColWidth="8" defaultRowHeight="15"/>
  <cols>
    <col width="2.2" customWidth="1" style="83" min="1" max="1"/>
    <col width="9.6" customWidth="1" style="83" min="2" max="2"/>
    <col width="9.6" customWidth="1" style="83" min="3" max="3"/>
    <col width="9.6" customWidth="1" style="83" min="4" max="4"/>
    <col width="9.6" customWidth="1" style="83" min="5" max="5"/>
    <col width="9.6" customWidth="1" style="83" min="6" max="6"/>
    <col width="9.6" customWidth="1" style="83" min="7" max="7"/>
    <col width="9.6" customWidth="1" style="83" min="8" max="8"/>
    <col width="9.6" customWidth="1" style="83" min="9" max="9"/>
    <col width="9.6" customWidth="1" style="83" min="10" max="10"/>
    <col width="9.6" customWidth="1" style="83" min="11" max="11"/>
    <col width="9.6" customWidth="1" style="83" min="12" max="12"/>
    <col width="9.6" customWidth="1" style="83" min="13" max="13"/>
    <col width="9.6" customWidth="1" style="83" min="14" max="14"/>
    <col width="9.6" customWidth="1" style="83" min="15" max="15"/>
    <col width="9.6" customWidth="1" style="83" min="16" max="16"/>
    <col width="9.6" customWidth="1" style="83" min="17" max="17"/>
    <col width="2.2" customWidth="1" style="83" min="18" max="18"/>
    <col hidden="1" width="4" customWidth="1" style="83" min="19" max="19"/>
  </cols>
  <sheetData>
    <row r="1" ht="10" customHeight="1" s="83">
      <c r="A1" s="84" t="n"/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84" t="n"/>
    </row>
    <row r="2" ht="26" customHeight="1" s="83">
      <c r="A2" s="84" t="n"/>
      <c r="B2" s="150" t="inlineStr">
        <is>
          <t>Why This Candidate</t>
        </is>
      </c>
      <c r="K2" s="84" t="n"/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</row>
    <row r="3" ht="14" customHeight="1" s="83">
      <c r="A3" s="84" t="n"/>
      <c r="B3" s="87" t="inlineStr">
        <is>
          <t>Pick a name — every panel below re-reads that candidate's row. Nothing here is typed; the assessments are rules applied to recorded data.</t>
        </is>
      </c>
      <c r="Q3" s="84" t="n"/>
      <c r="R3" s="84" t="n"/>
      <c r="S3" s="84" t="n"/>
      <c r="T3" s="84" t="n"/>
    </row>
    <row r="4" ht="10" customHeight="1" s="83">
      <c r="A4" s="84" t="n"/>
      <c r="B4" s="88" t="n"/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4" t="n"/>
      <c r="S4" s="84" t="n"/>
      <c r="T4" s="84" t="n"/>
    </row>
    <row r="5" ht="8" customHeight="1" s="83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  <c r="M5" s="84" t="n"/>
      <c r="N5" s="84" t="n"/>
      <c r="O5" s="84" t="n"/>
      <c r="P5" s="84" t="n"/>
      <c r="Q5" s="84" t="n"/>
      <c r="R5" s="84" t="n"/>
      <c r="S5" s="84" t="n"/>
      <c r="T5" s="84" t="n"/>
    </row>
    <row r="6" ht="13" customHeight="1" s="83">
      <c r="A6" s="84" t="n"/>
      <c r="B6" s="179" t="inlineStr">
        <is>
          <t>SELECT CANDIDATE</t>
        </is>
      </c>
      <c r="H6" s="84" t="n"/>
      <c r="I6" s="84" t="n"/>
      <c r="J6" s="84" t="n"/>
      <c r="K6" s="84" t="n"/>
      <c r="L6" s="84" t="n"/>
      <c r="M6" s="84" t="n"/>
      <c r="N6" s="84" t="n"/>
      <c r="O6" s="84" t="n"/>
      <c r="P6" s="84" t="n"/>
      <c r="Q6" s="84" t="n"/>
      <c r="R6" s="84" t="n"/>
      <c r="S6" s="84" t="n"/>
      <c r="T6" s="84" t="n"/>
    </row>
    <row r="7" ht="22" customHeight="1" s="83">
      <c r="A7" s="84" t="n"/>
      <c r="B7" s="180" t="inlineStr">
        <is>
          <t>Yuva Charan Reddy Durgam</t>
        </is>
      </c>
      <c r="C7" s="97" t="n"/>
      <c r="D7" s="97" t="n"/>
      <c r="E7" s="97" t="n"/>
      <c r="F7" s="97" t="n"/>
      <c r="G7" s="97" t="n"/>
      <c r="H7" s="84" t="n"/>
      <c r="I7" s="84" t="n"/>
      <c r="J7" s="84" t="n"/>
      <c r="K7" s="84" t="n"/>
      <c r="L7" s="84" t="n"/>
      <c r="M7" s="84" t="n"/>
      <c r="N7" s="84" t="n"/>
      <c r="O7" s="84" t="n"/>
      <c r="P7" s="84" t="n"/>
      <c r="Q7" s="84" t="n"/>
      <c r="R7" s="84" t="n"/>
      <c r="S7" s="84" t="n"/>
      <c r="T7" s="84" t="n"/>
    </row>
    <row r="8" ht="8" customHeight="1" s="83">
      <c r="A8" s="84" t="n"/>
      <c r="B8" s="84" t="n"/>
      <c r="C8" s="84" t="n"/>
      <c r="D8" s="84" t="n"/>
      <c r="E8" s="84" t="n"/>
      <c r="F8" s="84" t="n"/>
      <c r="G8" s="84" t="n"/>
      <c r="H8" s="84" t="n"/>
      <c r="I8" s="84" t="n"/>
      <c r="J8" s="84" t="n"/>
      <c r="K8" s="84" t="n"/>
      <c r="L8" s="84" t="n"/>
      <c r="M8" s="84" t="n"/>
      <c r="N8" s="84" t="n"/>
      <c r="O8" s="84" t="n"/>
      <c r="P8" s="84" t="n"/>
      <c r="Q8" s="84" t="n"/>
      <c r="R8" s="84" t="n"/>
      <c r="S8" s="84" t="n"/>
      <c r="T8" s="84" t="n"/>
    </row>
    <row r="9" ht="10" customHeight="1" s="83">
      <c r="A9" s="84" t="n"/>
      <c r="B9" s="84" t="n"/>
      <c r="C9" s="84" t="n"/>
      <c r="D9" s="84" t="n"/>
      <c r="E9" s="84" t="n"/>
      <c r="F9" s="84" t="n"/>
      <c r="G9" s="84" t="n"/>
      <c r="H9" s="84" t="n"/>
      <c r="I9" s="84" t="n"/>
      <c r="J9" s="84" t="n"/>
      <c r="K9" s="84" t="n"/>
      <c r="L9" s="84" t="n"/>
      <c r="M9" s="84" t="n"/>
      <c r="N9" s="84" t="n"/>
      <c r="O9" s="84" t="n"/>
      <c r="P9" s="84" t="n"/>
      <c r="Q9" s="84" t="n"/>
      <c r="R9" s="84" t="n"/>
      <c r="S9" s="84" t="n"/>
      <c r="T9" s="84" t="n"/>
    </row>
    <row r="10" ht="8" customHeight="1" s="83">
      <c r="A10" s="84" t="n"/>
      <c r="B10" s="89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0" t="n"/>
      <c r="L10" s="90" t="n"/>
      <c r="M10" s="90" t="n"/>
      <c r="N10" s="90" t="n"/>
      <c r="O10" s="90" t="n"/>
      <c r="P10" s="90" t="n"/>
      <c r="Q10" s="91" t="n"/>
      <c r="R10" s="84" t="n"/>
      <c r="S10" s="84" t="n"/>
      <c r="T10" s="84" t="n"/>
    </row>
    <row r="11" ht="28" customHeight="1" s="83">
      <c r="A11" s="84" t="n"/>
      <c r="B11" s="114" t="n"/>
      <c r="C11" s="181" t="str">
        <f>IF($C$88="","Select a candidate",IFERROR(INDEX('Dashboard Calc'!$B$6:$B$125,$C$88),"Select a candidate"))</f>
        <v>Yuva Charan Reddy Durgam</v>
      </c>
      <c r="L11" s="182" t="str">
        <f>IF($C$88="","",IF(IFERROR(INDEX('Dashboard Calc'!$J$6:$J$125,$C$88),0)=0,"Exited process","Stage "&amp;TEXT(IFERROR(INDEX('Dashboard Calc'!$J$6:$J$125,$C$88),0),"0")&amp;" of 5  ·  "&amp;IFERROR(INDEX('Dashboard Calc'!$I$6:$I$125,$C$88),0)))</f>
        <v>Stage 2 of 5  ·  ZN Submission</v>
      </c>
      <c r="Q11" s="95" t="n"/>
      <c r="R11" s="84" t="n"/>
      <c r="S11" s="84" t="n"/>
      <c r="T11" s="84" t="n"/>
    </row>
    <row r="12" ht="16" customHeight="1" s="83">
      <c r="A12" s="84" t="n"/>
      <c r="B12" s="114" t="n"/>
      <c r="C12" s="183" t="str">
        <f>IF($C$88="","",IF(IFERROR(INDEX('Dashboard Calc'!$Y$6:$Y$125,$C$88),0)="","Company not recorded",IFERROR(INDEX('Dashboard Calc'!$Y$6:$Y$125,$C$88),0))&amp;"  ·  "&amp;IF(IFERROR(INDEX('Dashboard Calc'!$Z$6:$Z$125,$C$88),0)="","Designation not recorded",IFERROR(INDEX('Dashboard Calc'!$Z$6:$Z$125,$C$88),0)))</f>
        <v>Virtusa  ·  Lead Software Engineer</v>
      </c>
      <c r="Q12" s="95" t="n"/>
      <c r="R12" s="84" t="n"/>
      <c r="S12" s="84" t="n"/>
      <c r="T12" s="84" t="n"/>
    </row>
    <row r="13" ht="8" customHeight="1" s="83">
      <c r="A13" s="84" t="n"/>
      <c r="B13" s="114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6" t="n"/>
      <c r="R13" s="84" t="n"/>
      <c r="S13" s="84" t="n"/>
      <c r="T13" s="84" t="n"/>
    </row>
    <row r="14" ht="12" customHeight="1" s="83">
      <c r="A14" s="84" t="n"/>
      <c r="B14" s="114" t="n"/>
      <c r="C14" s="184" t="inlineStr">
        <is>
          <t>CITY</t>
        </is>
      </c>
      <c r="F14" s="115" t="n"/>
      <c r="G14" s="184" t="inlineStr">
        <is>
          <t>EXPERIENCE</t>
        </is>
      </c>
      <c r="J14" s="115" t="n"/>
      <c r="K14" s="184" t="inlineStr">
        <is>
          <t>EXPECTED CTC</t>
        </is>
      </c>
      <c r="N14" s="115" t="n"/>
      <c r="O14" s="185" t="inlineStr">
        <is>
          <t>RECRUITER</t>
        </is>
      </c>
      <c r="Q14" s="95" t="n"/>
      <c r="R14" s="84" t="n"/>
      <c r="S14" s="84" t="n"/>
      <c r="T14" s="84" t="n"/>
    </row>
    <row r="15" ht="20" customHeight="1" s="83">
      <c r="A15" s="84" t="n"/>
      <c r="B15" s="114" t="n"/>
      <c r="C15" s="186" t="str">
        <f>IF($C$88="","–",IFERROR(INDEX('Dashboard Calc'!$H$6:$H$125,$C$88),"–"))</f>
        <v>Tirupati</v>
      </c>
      <c r="F15" s="115" t="n"/>
      <c r="G15" s="187">
        <f>IF($C$88="",0,IFERROR(INDEX('Dashboard Calc'!$W$6:$W$125,$C$88),0))</f>
        <v>8.2</v>
      </c>
      <c r="J15" s="115" t="n"/>
      <c r="K15" s="188">
        <f>IF($C$88="",0,IFERROR(INDEX('Dashboard Calc'!$O$6:$O$125,$C$88),0))</f>
        <v>35</v>
      </c>
      <c r="N15" s="115" t="n"/>
      <c r="O15" s="189" t="str">
        <f>IF($C$88="","–",IFERROR(INDEX('Dashboard Calc'!$C$6:$C$125,$C$88),"–"))</f>
        <v>Ananthy</v>
      </c>
      <c r="Q15" s="95" t="n"/>
      <c r="R15" s="84" t="n"/>
      <c r="S15" s="84" t="n"/>
      <c r="T15" s="84" t="n"/>
    </row>
    <row r="16" ht="8" customHeight="1" s="83">
      <c r="A16" s="84" t="n"/>
      <c r="B16" s="114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6" t="n"/>
      <c r="R16" s="84" t="n"/>
      <c r="S16" s="84" t="n"/>
      <c r="T16" s="84" t="n"/>
    </row>
    <row r="17" ht="6" customHeight="1" s="83">
      <c r="A17" s="84" t="n"/>
      <c r="B17" s="114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6" t="n"/>
      <c r="R17" s="84" t="n"/>
      <c r="S17" s="84" t="n"/>
      <c r="T17" s="84" t="n"/>
    </row>
    <row r="18" ht="6" customHeight="1" s="83">
      <c r="A18" s="84" t="n"/>
      <c r="B18" s="99" t="n"/>
      <c r="C18" s="100" t="n"/>
      <c r="D18" s="100" t="n"/>
      <c r="E18" s="100" t="n"/>
      <c r="F18" s="100" t="n"/>
      <c r="G18" s="100" t="n"/>
      <c r="H18" s="100" t="n"/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1" t="n"/>
      <c r="R18" s="84" t="n"/>
      <c r="S18" s="84" t="n"/>
      <c r="T18" s="84" t="n"/>
    </row>
    <row r="19">
      <c r="A19" s="84" t="n"/>
      <c r="B19" s="84" t="n"/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n"/>
      <c r="M19" s="84" t="n"/>
      <c r="N19" s="84" t="n"/>
      <c r="O19" s="84" t="n"/>
      <c r="P19" s="84" t="n"/>
      <c r="Q19" s="84" t="n"/>
      <c r="R19" s="84" t="n"/>
      <c r="S19" s="84" t="n"/>
      <c r="T19" s="84" t="n"/>
    </row>
    <row r="20" ht="16" customHeight="1" s="83">
      <c r="A20" s="84" t="n"/>
      <c r="B20" s="112" t="inlineStr">
        <is>
          <t>Profile and process</t>
        </is>
      </c>
      <c r="R20" s="84" t="n"/>
      <c r="S20" s="84" t="n"/>
      <c r="T20" s="84" t="n"/>
    </row>
    <row r="21" ht="13" customHeight="1" s="83">
      <c r="A21" s="84" t="n"/>
      <c r="B21" s="113" t="inlineStr">
        <is>
          <t>Straight from the candidate's row.</t>
        </is>
      </c>
      <c r="R21" s="84" t="n"/>
      <c r="S21" s="84" t="n"/>
      <c r="T21" s="84" t="n"/>
    </row>
    <row r="22" ht="6" customHeight="1" s="83">
      <c r="A22" s="84" t="n"/>
      <c r="B22" s="84" t="n"/>
      <c r="C22" s="84" t="n"/>
      <c r="D22" s="84" t="n"/>
      <c r="E22" s="84" t="n"/>
      <c r="F22" s="84" t="n"/>
      <c r="G22" s="84" t="n"/>
      <c r="H22" s="84" t="n"/>
      <c r="I22" s="84" t="n"/>
      <c r="J22" s="84" t="n"/>
      <c r="K22" s="84" t="n"/>
      <c r="L22" s="84" t="n"/>
      <c r="M22" s="84" t="n"/>
      <c r="N22" s="84" t="n"/>
      <c r="O22" s="84" t="n"/>
      <c r="P22" s="84" t="n"/>
      <c r="Q22" s="84" t="n"/>
      <c r="R22" s="84" t="n"/>
      <c r="S22" s="84" t="n"/>
      <c r="T22" s="84" t="n"/>
    </row>
    <row r="23">
      <c r="A23" s="84" t="n"/>
      <c r="B23" s="89" t="n"/>
      <c r="C23" s="90" t="n"/>
      <c r="D23" s="90" t="n"/>
      <c r="E23" s="90" t="n"/>
      <c r="F23" s="90" t="n"/>
      <c r="G23" s="90" t="n"/>
      <c r="H23" s="90" t="n"/>
      <c r="I23" s="91" t="n"/>
      <c r="J23" s="89" t="n"/>
      <c r="K23" s="90" t="n"/>
      <c r="L23" s="90" t="n"/>
      <c r="M23" s="90" t="n"/>
      <c r="N23" s="90" t="n"/>
      <c r="O23" s="90" t="n"/>
      <c r="P23" s="90" t="n"/>
      <c r="Q23" s="91" t="n"/>
      <c r="R23" s="84" t="n"/>
      <c r="S23" s="84" t="n"/>
      <c r="T23" s="84" t="n"/>
    </row>
    <row r="24">
      <c r="A24" s="84" t="n"/>
      <c r="B24" s="114" t="n"/>
      <c r="C24" s="166" t="inlineStr">
        <is>
          <t>PIPELINE</t>
        </is>
      </c>
      <c r="D24" s="115" t="n"/>
      <c r="E24" s="115" t="n"/>
      <c r="F24" s="115" t="n"/>
      <c r="G24" s="115" t="n"/>
      <c r="H24" s="115" t="n"/>
      <c r="I24" s="116" t="n"/>
      <c r="J24" s="114" t="n"/>
      <c r="K24" s="166" t="inlineStr">
        <is>
          <t>COMMERCIALS AND AVAILABILITY</t>
        </is>
      </c>
      <c r="L24" s="115" t="n"/>
      <c r="M24" s="115" t="n"/>
      <c r="N24" s="115" t="n"/>
      <c r="O24" s="115" t="n"/>
      <c r="P24" s="115" t="n"/>
      <c r="Q24" s="116" t="n"/>
      <c r="R24" s="84" t="n"/>
      <c r="S24" s="84" t="n"/>
      <c r="T24" s="84" t="n"/>
    </row>
    <row r="25">
      <c r="A25" s="84" t="n"/>
      <c r="B25" s="114" t="n"/>
      <c r="C25" s="115" t="n"/>
      <c r="D25" s="115" t="n"/>
      <c r="E25" s="115" t="n"/>
      <c r="F25" s="115" t="n"/>
      <c r="G25" s="115" t="n"/>
      <c r="H25" s="115" t="n"/>
      <c r="I25" s="116" t="n"/>
      <c r="J25" s="114" t="n"/>
      <c r="K25" s="115" t="n"/>
      <c r="L25" s="115" t="n"/>
      <c r="M25" s="115" t="n"/>
      <c r="N25" s="115" t="n"/>
      <c r="O25" s="115" t="n"/>
      <c r="P25" s="115" t="n"/>
      <c r="Q25" s="116" t="n"/>
      <c r="R25" s="84" t="n"/>
      <c r="S25" s="84" t="n"/>
      <c r="T25" s="84" t="n"/>
    </row>
    <row r="26" ht="18" customHeight="1" s="83">
      <c r="A26" s="84" t="n"/>
      <c r="B26" s="114" t="n"/>
      <c r="C26" s="190" t="inlineStr">
        <is>
          <t>Requisition</t>
        </is>
      </c>
      <c r="D26" s="171" t="n"/>
      <c r="E26" s="171" t="n"/>
      <c r="F26" s="171" t="n"/>
      <c r="G26" s="191" t="str">
        <f>IF($C$88="","–",IFERROR(INDEX('Dashboard Calc'!$F$6:$F$125,$C$88),"–"))</f>
        <v>Full Stack Lead</v>
      </c>
      <c r="H26" s="171" t="n"/>
      <c r="I26" s="116" t="n"/>
      <c r="J26" s="114" t="n"/>
      <c r="K26" s="190" t="inlineStr">
        <is>
          <t>Total experience</t>
        </is>
      </c>
      <c r="L26" s="171" t="n"/>
      <c r="M26" s="171" t="n"/>
      <c r="N26" s="171" t="n"/>
      <c r="O26" s="192">
        <f>IF($C$88="",0,IFERROR(INDEX('Dashboard Calc'!$W$6:$W$125,$C$88),0))</f>
        <v>8.2</v>
      </c>
      <c r="P26" s="171" t="n"/>
      <c r="Q26" s="116" t="n"/>
      <c r="R26" s="84" t="n"/>
      <c r="S26" s="84" t="n"/>
      <c r="T26" s="84" t="n"/>
    </row>
    <row r="27" ht="18" customHeight="1" s="83">
      <c r="A27" s="84" t="n"/>
      <c r="B27" s="114" t="n"/>
      <c r="C27" s="190" t="inlineStr">
        <is>
          <t>Stage</t>
        </is>
      </c>
      <c r="D27" s="171" t="n"/>
      <c r="E27" s="171" t="n"/>
      <c r="F27" s="171" t="n"/>
      <c r="G27" s="191" t="str">
        <f>IF($C$88="","–",IFERROR(INDEX('Dashboard Calc'!$I$6:$I$125,$C$88),"–"))</f>
        <v>ZN Submission</v>
      </c>
      <c r="H27" s="171" t="n"/>
      <c r="I27" s="116" t="n"/>
      <c r="J27" s="114" t="n"/>
      <c r="K27" s="190" t="inlineStr">
        <is>
          <t>Relevant experience</t>
        </is>
      </c>
      <c r="L27" s="171" t="n"/>
      <c r="M27" s="171" t="n"/>
      <c r="N27" s="171" t="n"/>
      <c r="O27" s="191" t="str">
        <f>IF($C$88="","–",IFERROR(INDEX('Dashboard Calc'!$X$6:$X$125,$C$88),"–"))</f>
        <v>React 6 y +Node 4y</v>
      </c>
      <c r="P27" s="171" t="n"/>
      <c r="Q27" s="116" t="n"/>
      <c r="R27" s="84" t="n"/>
      <c r="S27" s="84" t="n"/>
      <c r="T27" s="84" t="n"/>
    </row>
    <row r="28" ht="18" customHeight="1" s="83">
      <c r="A28" s="84" t="n"/>
      <c r="B28" s="114" t="n"/>
      <c r="C28" s="190" t="inlineStr">
        <is>
          <t>Sub-status</t>
        </is>
      </c>
      <c r="D28" s="171" t="n"/>
      <c r="E28" s="171" t="n"/>
      <c r="F28" s="171" t="n"/>
      <c r="G28" s="191" t="str">
        <f>IF($C$88="","–",IFERROR(INDEX('Dashboard Calc'!$K$6:$K$125,$C$88),"–"))</f>
        <v>Client Review</v>
      </c>
      <c r="H28" s="171" t="n"/>
      <c r="I28" s="116" t="n"/>
      <c r="J28" s="114" t="n"/>
      <c r="K28" s="190" t="inlineStr">
        <is>
          <t>Current CTC</t>
        </is>
      </c>
      <c r="L28" s="171" t="n"/>
      <c r="M28" s="171" t="n"/>
      <c r="N28" s="171" t="n"/>
      <c r="O28" s="193">
        <f>IF($C$88="",0,IFERROR(INDEX('Dashboard Calc'!$M$6:$M$125,$C$88),0))</f>
        <v>20.5</v>
      </c>
      <c r="P28" s="171" t="n"/>
      <c r="Q28" s="116" t="n"/>
      <c r="R28" s="84" t="n"/>
      <c r="S28" s="84" t="n"/>
      <c r="T28" s="84" t="n"/>
    </row>
    <row r="29" ht="18" customHeight="1" s="83">
      <c r="A29" s="84" t="n"/>
      <c r="B29" s="114" t="n"/>
      <c r="C29" s="190" t="inlineStr">
        <is>
          <t>Date sourced</t>
        </is>
      </c>
      <c r="D29" s="171" t="n"/>
      <c r="E29" s="171" t="n"/>
      <c r="F29" s="171" t="n"/>
      <c r="G29" s="194">
        <f>IF($C$88="","–",IFERROR(INDEX('Dashboard Calc'!$D$6:$D$125,$C$88),"–"))</f>
        <v>46247</v>
      </c>
      <c r="H29" s="171" t="n"/>
      <c r="I29" s="116" t="n"/>
      <c r="J29" s="114" t="n"/>
      <c r="K29" s="190" t="inlineStr">
        <is>
          <t>Expected CTC</t>
        </is>
      </c>
      <c r="L29" s="171" t="n"/>
      <c r="M29" s="171" t="n"/>
      <c r="N29" s="171" t="n"/>
      <c r="O29" s="193">
        <f>IF($C$88="",0,IFERROR(INDEX('Dashboard Calc'!$O$6:$O$125,$C$88),0))</f>
        <v>35</v>
      </c>
      <c r="P29" s="171" t="n"/>
      <c r="Q29" s="116" t="n"/>
      <c r="R29" s="84" t="n"/>
      <c r="S29" s="84" t="n"/>
      <c r="T29" s="84" t="n"/>
    </row>
    <row r="30" ht="18" customHeight="1" s="83">
      <c r="A30" s="84" t="n"/>
      <c r="B30" s="114" t="n"/>
      <c r="C30" s="190" t="inlineStr">
        <is>
          <t>Recruiter</t>
        </is>
      </c>
      <c r="D30" s="171" t="n"/>
      <c r="E30" s="171" t="n"/>
      <c r="F30" s="171" t="n"/>
      <c r="G30" s="191" t="str">
        <f>IF($C$88="","–",IFERROR(INDEX('Dashboard Calc'!$C$6:$C$125,$C$88),"–"))</f>
        <v>Ananthy</v>
      </c>
      <c r="H30" s="171" t="n"/>
      <c r="I30" s="116" t="n"/>
      <c r="J30" s="114" t="n"/>
      <c r="K30" s="190" t="inlineStr">
        <is>
          <t>Expected uplift</t>
        </is>
      </c>
      <c r="L30" s="171" t="n"/>
      <c r="M30" s="171" t="n"/>
      <c r="N30" s="171" t="n"/>
      <c r="O30" s="195">
        <f>IF($C$88="",0,IFERROR(INDEX('Dashboard Calc'!$P$6:$P$125,$C$88),0))</f>
        <v>0.7073170731707317</v>
      </c>
      <c r="P30" s="171" t="n"/>
      <c r="Q30" s="116" t="n"/>
      <c r="R30" s="84" t="n"/>
      <c r="S30" s="84" t="n"/>
      <c r="T30" s="84" t="n"/>
    </row>
    <row r="31" ht="18" customHeight="1" s="83">
      <c r="A31" s="84" t="n"/>
      <c r="B31" s="114" t="n"/>
      <c r="C31" s="190" t="inlineStr">
        <is>
          <t>Current location</t>
        </is>
      </c>
      <c r="D31" s="171" t="n"/>
      <c r="E31" s="171" t="n"/>
      <c r="F31" s="171" t="n"/>
      <c r="G31" s="191" t="str">
        <f>IF($C$88="","–",IFERROR(INDEX('Dashboard Calc'!$G$6:$G$125,$C$88),"–"))</f>
        <v>Tirupati</v>
      </c>
      <c r="H31" s="171" t="n"/>
      <c r="I31" s="116" t="n"/>
      <c r="J31" s="114" t="n"/>
      <c r="K31" s="190" t="inlineStr">
        <is>
          <t>Notice period</t>
        </is>
      </c>
      <c r="L31" s="171" t="n"/>
      <c r="M31" s="171" t="n"/>
      <c r="N31" s="171" t="n"/>
      <c r="O31" s="191" t="str">
        <f>IF($C$88="","–",IFERROR(INDEX('Dashboard Calc'!$Q$6:$Q$125,$C$88),"–"))</f>
        <v>LWD - 18th Sep</v>
      </c>
      <c r="P31" s="171" t="n"/>
      <c r="Q31" s="116" t="n"/>
      <c r="R31" s="84" t="n"/>
      <c r="S31" s="84" t="n"/>
      <c r="T31" s="84" t="n"/>
    </row>
    <row r="32" ht="18" customHeight="1" s="83">
      <c r="A32" s="84" t="n"/>
      <c r="B32" s="114" t="n"/>
      <c r="C32" s="190" t="inlineStr">
        <is>
          <t>Normalised city</t>
        </is>
      </c>
      <c r="D32" s="171" t="n"/>
      <c r="E32" s="171" t="n"/>
      <c r="F32" s="171" t="n"/>
      <c r="G32" s="191" t="str">
        <f>IF($C$88="","–",IFERROR(INDEX('Dashboard Calc'!$H$6:$H$125,$C$88),"–"))</f>
        <v>Tirupati</v>
      </c>
      <c r="H32" s="171" t="n"/>
      <c r="I32" s="116" t="n"/>
      <c r="J32" s="114" t="n"/>
      <c r="K32" s="190" t="inlineStr">
        <is>
          <t>Notice in days</t>
        </is>
      </c>
      <c r="L32" s="171" t="n"/>
      <c r="M32" s="171" t="n"/>
      <c r="N32" s="171" t="n"/>
      <c r="O32" s="196">
        <f>IF($C$88="",0,IFERROR(INDEX('Dashboard Calc'!$S$6:$S$125,$C$88),0))</f>
        <v>-1</v>
      </c>
      <c r="P32" s="171" t="n"/>
      <c r="Q32" s="116" t="n"/>
      <c r="R32" s="84" t="n"/>
      <c r="S32" s="84" t="n"/>
      <c r="T32" s="84" t="n"/>
    </row>
    <row r="33" ht="18" customHeight="1" s="83">
      <c r="A33" s="84" t="n"/>
      <c r="B33" s="114" t="n"/>
      <c r="C33" s="190" t="inlineStr">
        <is>
          <t>Preferred location</t>
        </is>
      </c>
      <c r="D33" s="171" t="n"/>
      <c r="E33" s="171" t="n"/>
      <c r="F33" s="171" t="n"/>
      <c r="G33" s="191" t="str">
        <f>IF($C$88="","–",IFERROR(INDEX('Dashboard Calc'!$AA$6:$AA$125,$C$88),"–"))</f>
        <v>Chennai</v>
      </c>
      <c r="H33" s="171" t="n"/>
      <c r="I33" s="116" t="n"/>
      <c r="J33" s="114" t="n"/>
      <c r="K33" s="190" t="inlineStr">
        <is>
          <t>Availability band</t>
        </is>
      </c>
      <c r="L33" s="171" t="n"/>
      <c r="M33" s="171" t="n"/>
      <c r="N33" s="171" t="n"/>
      <c r="O33" s="191" t="str">
        <f>IF($C$88="","–",IFERROR(INDEX('Dashboard Calc'!$T$6:$T$125,$C$88),"–"))</f>
        <v>Not recorded</v>
      </c>
      <c r="P33" s="171" t="n"/>
      <c r="Q33" s="116" t="n"/>
      <c r="R33" s="84" t="n"/>
      <c r="S33" s="84" t="n"/>
      <c r="T33" s="84" t="n"/>
    </row>
    <row r="34">
      <c r="A34" s="84" t="n"/>
      <c r="B34" s="114" t="n"/>
      <c r="C34" s="115" t="n"/>
      <c r="D34" s="115" t="n"/>
      <c r="E34" s="115" t="n"/>
      <c r="F34" s="115" t="n"/>
      <c r="G34" s="115" t="n"/>
      <c r="H34" s="115" t="n"/>
      <c r="I34" s="116" t="n"/>
      <c r="J34" s="114" t="n"/>
      <c r="K34" s="115" t="n"/>
      <c r="L34" s="115" t="n"/>
      <c r="M34" s="115" t="n"/>
      <c r="N34" s="115" t="n"/>
      <c r="O34" s="115" t="n"/>
      <c r="P34" s="115" t="n"/>
      <c r="Q34" s="116" t="n"/>
      <c r="R34" s="84" t="n"/>
      <c r="S34" s="84" t="n"/>
      <c r="T34" s="84" t="n"/>
    </row>
    <row r="35">
      <c r="A35" s="84" t="n"/>
      <c r="B35" s="114" t="n"/>
      <c r="C35" s="115" t="n"/>
      <c r="D35" s="115" t="n"/>
      <c r="E35" s="115" t="n"/>
      <c r="F35" s="115" t="n"/>
      <c r="G35" s="115" t="n"/>
      <c r="H35" s="115" t="n"/>
      <c r="I35" s="116" t="n"/>
      <c r="J35" s="114" t="n"/>
      <c r="K35" s="115" t="n"/>
      <c r="L35" s="115" t="n"/>
      <c r="M35" s="115" t="n"/>
      <c r="N35" s="115" t="n"/>
      <c r="O35" s="115" t="n"/>
      <c r="P35" s="115" t="n"/>
      <c r="Q35" s="116" t="n"/>
      <c r="R35" s="84" t="n"/>
      <c r="S35" s="84" t="n"/>
      <c r="T35" s="84" t="n"/>
    </row>
    <row r="36">
      <c r="A36" s="84" t="n"/>
      <c r="B36" s="99" t="n"/>
      <c r="C36" s="100" t="n"/>
      <c r="D36" s="100" t="n"/>
      <c r="E36" s="100" t="n"/>
      <c r="F36" s="100" t="n"/>
      <c r="G36" s="100" t="n"/>
      <c r="H36" s="100" t="n"/>
      <c r="I36" s="101" t="n"/>
      <c r="J36" s="99" t="n"/>
      <c r="K36" s="100" t="n"/>
      <c r="L36" s="100" t="n"/>
      <c r="M36" s="100" t="n"/>
      <c r="N36" s="100" t="n"/>
      <c r="O36" s="100" t="n"/>
      <c r="P36" s="100" t="n"/>
      <c r="Q36" s="101" t="n"/>
      <c r="R36" s="84" t="n"/>
      <c r="S36" s="84" t="n"/>
      <c r="T36" s="84" t="n"/>
    </row>
    <row r="3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</row>
    <row r="38" ht="16" customHeight="1" s="83">
      <c r="A38" s="84" t="n"/>
      <c r="B38" s="112" t="inlineStr">
        <is>
          <t>How this candidate reads against the brief</t>
        </is>
      </c>
      <c r="R38" s="84" t="n"/>
      <c r="S38" s="84" t="n"/>
      <c r="T38" s="84" t="n"/>
    </row>
    <row r="39" ht="13" customHeight="1" s="83">
      <c r="A39" s="84" t="n"/>
      <c r="B39" s="113" t="inlineStr">
        <is>
          <t>Eight rules applied to what is on file — green passes, amber is unrecorded or borderline, red is a gap. Change the parameters on Reference and these re-judge.</t>
        </is>
      </c>
      <c r="R39" s="84" t="n"/>
      <c r="S39" s="84" t="n"/>
      <c r="T39" s="84" t="n"/>
    </row>
    <row r="40" ht="6" customHeight="1" s="83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84" t="n"/>
      <c r="L40" s="84" t="n"/>
      <c r="M40" s="84" t="n"/>
      <c r="N40" s="84" t="n"/>
      <c r="O40" s="84" t="n"/>
      <c r="P40" s="84" t="n"/>
      <c r="Q40" s="84" t="n"/>
      <c r="R40" s="84" t="n"/>
      <c r="S40" s="84" t="n"/>
      <c r="T40" s="84" t="n"/>
    </row>
    <row r="41">
      <c r="A41" s="84" t="n"/>
      <c r="B41" s="89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  <c r="N41" s="90" t="n"/>
      <c r="O41" s="90" t="n"/>
      <c r="P41" s="90" t="n"/>
      <c r="Q41" s="91" t="n"/>
      <c r="R41" s="84" t="n"/>
      <c r="S41" s="84" t="n"/>
      <c r="T41" s="84" t="n"/>
    </row>
    <row r="42" ht="18" customHeight="1" s="83">
      <c r="A42" s="84" t="n"/>
      <c r="B42" s="114" t="n"/>
      <c r="C42" s="197" t="inlineStr">
        <is>
          <t>Experience bar</t>
        </is>
      </c>
      <c r="D42" s="171" t="n"/>
      <c r="E42" s="171" t="n"/>
      <c r="F42" s="198" t="str">
        <f>IF(IFERROR(INDEX('Dashboard Calc'!$W$6:$W$125,$C$88),0)=0,"Not recorded — no detail on file",IF(IFERROR(INDEX('Dashboard Calc'!$W$6:$W$125,$C$88),0)&gt;=MinExperience,"Meets the bar — "&amp;TEXT(IFERROR(INDEX('Dashboard Calc'!$W$6:$W$125,$C$88),0),"0.0")&amp;" yrs against "&amp;TEXT(MinExperience,"0")&amp;" required","Below the bar — "&amp;TEXT(IFERROR(INDEX('Dashboard Calc'!$W$6:$W$125,$C$88),0),"0.0")&amp;" yrs against "&amp;TEXT(MinExperience,"0")&amp;" required"))</f>
        <v>Meets the bar — 8.2 yrs against 4 required</v>
      </c>
      <c r="G42" s="171" t="n"/>
      <c r="H42" s="171" t="n"/>
      <c r="I42" s="171" t="n"/>
      <c r="J42" s="171" t="n"/>
      <c r="K42" s="171" t="n"/>
      <c r="L42" s="171" t="n"/>
      <c r="M42" s="171" t="n"/>
      <c r="N42" s="171" t="n"/>
      <c r="O42" s="171" t="n"/>
      <c r="P42" s="171" t="n"/>
      <c r="Q42" s="116" t="n"/>
      <c r="R42" s="84" t="n"/>
      <c r="S42" s="199">
        <f>IF(IFERROR(INDEX('Dashboard Calc'!$W$6:$W$125,$C$88),0)=0,0,IF(IFERROR(INDEX('Dashboard Calc'!$W$6:$W$125,$C$88),0)&gt;=MinExperience,1,-1))</f>
        <v>1</v>
      </c>
      <c r="T42" s="84" t="n"/>
    </row>
    <row r="43" ht="18" customHeight="1" s="83">
      <c r="A43" s="84" t="n"/>
      <c r="B43" s="114" t="n"/>
      <c r="C43" s="197" t="inlineStr">
        <is>
          <t>Seniority</t>
        </is>
      </c>
      <c r="D43" s="171" t="n"/>
      <c r="E43" s="171" t="n"/>
      <c r="F43" s="198" t="str">
        <f>IF(IFERROR(INDEX('Dashboard Calc'!$W$6:$W$125,$C$88),0)=0,"Not recorded",IF(IFERROR(INDEX('Dashboard Calc'!$W$6:$W$125,$C$88),0)&gt;=SeniorExperience,"Senior / lead calibre","Individual-contributor depth"))</f>
        <v>Senior / lead calibre</v>
      </c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16" t="n"/>
      <c r="R43" s="84" t="n"/>
      <c r="S43" s="199">
        <f>IF(IFERROR(INDEX('Dashboard Calc'!$W$6:$W$125,$C$88),0)=0,0,IF(IFERROR(INDEX('Dashboard Calc'!$W$6:$W$125,$C$88),0)&gt;=SeniorExperience,1,0))</f>
        <v>1</v>
      </c>
      <c r="T43" s="84" t="n"/>
    </row>
    <row r="44" ht="18" customHeight="1" s="83">
      <c r="A44" s="84" t="n"/>
      <c r="B44" s="114" t="n"/>
      <c r="C44" s="197" t="inlineStr">
        <is>
          <t>Location fit</t>
        </is>
      </c>
      <c r="D44" s="171" t="n"/>
      <c r="E44" s="171" t="n"/>
      <c r="F44" s="198" t="str">
        <f>IF(IFERROR(INDEX('Dashboard Calc'!$AD$6:$AD$125,$C$88),0)=1,"Based in or relocating to "&amp;TargetLocation,"Outside the target location — currently "&amp;IFERROR(INDEX('Dashboard Calc'!$H$6:$H$125,$C$88),0))</f>
        <v>Based in or relocating to Chennai</v>
      </c>
      <c r="G44" s="171" t="n"/>
      <c r="H44" s="171" t="n"/>
      <c r="I44" s="171" t="n"/>
      <c r="J44" s="171" t="n"/>
      <c r="K44" s="171" t="n"/>
      <c r="L44" s="171" t="n"/>
      <c r="M44" s="171" t="n"/>
      <c r="N44" s="171" t="n"/>
      <c r="O44" s="171" t="n"/>
      <c r="P44" s="171" t="n"/>
      <c r="Q44" s="116" t="n"/>
      <c r="R44" s="84" t="n"/>
      <c r="S44" s="199">
        <f>IF(IFERROR(INDEX('Dashboard Calc'!$AD$6:$AD$125,$C$88),0)=1,1,-1)</f>
        <v>1</v>
      </c>
      <c r="T44" s="84" t="n"/>
    </row>
    <row r="45" ht="18" customHeight="1" s="83">
      <c r="A45" s="84" t="n"/>
      <c r="B45" s="114" t="n"/>
      <c r="C45" s="197" t="inlineStr">
        <is>
          <t>Availability</t>
        </is>
      </c>
      <c r="D45" s="171" t="n"/>
      <c r="E45" s="171" t="n"/>
      <c r="F45" s="198" t="str">
        <f>IF(IFERROR(INDEX('Dashboard Calc'!$S$6:$S$125,$C$88),0)&lt;0,"Notice period not recorded",IF(IFERROR(INDEX('Dashboard Calc'!$S$6:$S$125,$C$88),0)=0,"Immediate joiner",IF(IFERROR(INDEX('Dashboard Calc'!$S$6:$S$125,$C$88),0)&lt;=MaxNoticeDays,"Available in "&amp;TEXT(IFERROR(INDEX('Dashboard Calc'!$S$6:$S$125,$C$88),0),"0")&amp;" days — within window","Notice of "&amp;TEXT(IFERROR(INDEX('Dashboard Calc'!$S$6:$S$125,$C$88),0),"0")&amp;" days exceeds the "&amp;TEXT(MaxNoticeDays,"0")&amp;"-day window")))</f>
        <v>Notice period not recorded</v>
      </c>
      <c r="G45" s="171" t="n"/>
      <c r="H45" s="171" t="n"/>
      <c r="I45" s="171" t="n"/>
      <c r="J45" s="171" t="n"/>
      <c r="K45" s="171" t="n"/>
      <c r="L45" s="171" t="n"/>
      <c r="M45" s="171" t="n"/>
      <c r="N45" s="171" t="n"/>
      <c r="O45" s="171" t="n"/>
      <c r="P45" s="171" t="n"/>
      <c r="Q45" s="116" t="n"/>
      <c r="R45" s="84" t="n"/>
      <c r="S45" s="199">
        <f>IF(IFERROR(INDEX('Dashboard Calc'!$S$6:$S$125,$C$88),0)&lt;0,0,IF(IFERROR(INDEX('Dashboard Calc'!$S$6:$S$125,$C$88),0)&lt;=MaxNoticeDays,1,-1))</f>
        <v>0</v>
      </c>
      <c r="T45" s="84" t="n"/>
    </row>
    <row r="46" ht="18" customHeight="1" s="83">
      <c r="A46" s="84" t="n"/>
      <c r="B46" s="114" t="n"/>
      <c r="C46" s="197" t="inlineStr">
        <is>
          <t>Salary expectation</t>
        </is>
      </c>
      <c r="D46" s="171" t="n"/>
      <c r="E46" s="171" t="n"/>
      <c r="F46" s="198" t="str">
        <f>IF(OR(IFERROR(INDEX('Dashboard Calc'!$M$6:$M$125,$C$88),0)=0,IFERROR(INDEX('Dashboard Calc'!$O$6:$O$125,$C$88),0)=0),"Compensation not fully recorded",IF(IFERROR(INDEX('Dashboard Calc'!$P$6:$P$125,$C$88),0)&lt;=0.4,"Uplift of "&amp;TEXT(IFERROR(INDEX('Dashboard Calc'!$P$6:$P$125,$C$88),0),"0%")&amp;" — within a normal band",IF(IFERROR(INDEX('Dashboard Calc'!$P$6:$P$125,$C$88),0)&lt;=0.7,"Uplift of "&amp;TEXT(IFERROR(INDEX('Dashboard Calc'!$P$6:$P$125,$C$88),0),"0%")&amp;" — above the pool average of "&amp;TEXT('Dashboard Calc'!$B$366,"0%"),"Uplift of "&amp;TEXT(IFERROR(INDEX('Dashboard Calc'!$P$6:$P$125,$C$88),0),"0%")&amp;" — well above the pool average of "&amp;TEXT('Dashboard Calc'!$B$366,"0%"))))</f>
        <v>Uplift of 71% — well above the pool average of 49%</v>
      </c>
      <c r="G46" s="171" t="n"/>
      <c r="H46" s="171" t="n"/>
      <c r="I46" s="171" t="n"/>
      <c r="J46" s="171" t="n"/>
      <c r="K46" s="171" t="n"/>
      <c r="L46" s="171" t="n"/>
      <c r="M46" s="171" t="n"/>
      <c r="N46" s="171" t="n"/>
      <c r="O46" s="171" t="n"/>
      <c r="P46" s="171" t="n"/>
      <c r="Q46" s="116" t="n"/>
      <c r="R46" s="84" t="n"/>
      <c r="S46" s="199">
        <f>IF(OR(IFERROR(INDEX('Dashboard Calc'!$M$6:$M$125,$C$88),0)=0,IFERROR(INDEX('Dashboard Calc'!$O$6:$O$125,$C$88),0)=0),0,IF(IFERROR(INDEX('Dashboard Calc'!$P$6:$P$125,$C$88),0)&lt;=0.4,1,IF(IFERROR(INDEX('Dashboard Calc'!$P$6:$P$125,$C$88),0)&lt;=0.7,0,-1)))</f>
        <v>-1</v>
      </c>
      <c r="T46" s="84" t="n"/>
    </row>
    <row r="47" ht="18" customHeight="1" s="83">
      <c r="A47" s="84" t="n"/>
      <c r="B47" s="114" t="n"/>
      <c r="C47" s="197" t="inlineStr">
        <is>
          <t>Pipeline progress</t>
        </is>
      </c>
      <c r="D47" s="171" t="n"/>
      <c r="E47" s="171" t="n"/>
      <c r="F47" s="198" t="str">
        <f>IF(IFERROR(INDEX('Dashboard Calc'!$J$6:$J$125,$C$88),0)=0,"Not in an active stage",IF(IFERROR(INDEX('Dashboard Calc'!$J$6:$J$125,$C$88),0)&gt;=5,"At offer stage or beyond",IF(IFERROR(INDEX('Dashboard Calc'!$J$6:$J$125,$C$88),0)=4,"In salary discussion",IF(IFERROR(INDEX('Dashboard Calc'!$J$6:$J$125,$C$88),0)=3,"Cleared screening and reached client interview",IF(IFERROR(INDEX('Dashboard Calc'!$J$6:$J$125,$C$88),0)=2,"Submitted to the client","At telephonic screening")))))</f>
        <v>Submitted to the client</v>
      </c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16" t="n"/>
      <c r="R47" s="84" t="n"/>
      <c r="S47" s="199">
        <f>IF(IFERROR(INDEX('Dashboard Calc'!$J$6:$J$125,$C$88),0)=0,-1,IF(IFERROR(INDEX('Dashboard Calc'!$J$6:$J$125,$C$88),0)&gt;=2,1,0))</f>
        <v>1</v>
      </c>
      <c r="T47" s="84" t="n"/>
    </row>
    <row r="48" ht="18" customHeight="1" s="83">
      <c r="A48" s="84" t="n"/>
      <c r="B48" s="114" t="n"/>
      <c r="C48" s="197" t="inlineStr">
        <is>
          <t>Detail on file</t>
        </is>
      </c>
      <c r="D48" s="171" t="n"/>
      <c r="E48" s="171" t="n"/>
      <c r="F48" s="198" t="str">
        <f>IF(IFERROR(INDEX('Dashboard Calc'!$AC$6:$AC$125,$C$88),0)=1,"Full profile matched in the Submission template","No submission detail — experience, company and designation unavailable")</f>
        <v>Full profile matched in the Submission template</v>
      </c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n"/>
      <c r="P48" s="171" t="n"/>
      <c r="Q48" s="116" t="n"/>
      <c r="R48" s="84" t="n"/>
      <c r="S48" s="199">
        <f>IF(IFERROR(INDEX('Dashboard Calc'!$AC$6:$AC$125,$C$88),0)=1,1,0)</f>
        <v>1</v>
      </c>
      <c r="T48" s="84" t="n"/>
    </row>
    <row r="49" ht="18" customHeight="1" s="83">
      <c r="A49" s="84" t="n"/>
      <c r="B49" s="114" t="n"/>
      <c r="C49" s="197" t="inlineStr">
        <is>
          <t>Stated reason to move</t>
        </is>
      </c>
      <c r="D49" s="171" t="n"/>
      <c r="E49" s="171" t="n"/>
      <c r="F49" s="198" t="str">
        <f>IF(IFERROR(INDEX('Dashboard Calc'!$AB$6:$AB$125,$C$88),0)="","Not recorded",IFERROR(INDEX('Dashboard Calc'!$AB$6:$AB$125,$C$88),0))</f>
        <v>Career Growth</v>
      </c>
      <c r="G49" s="171" t="n"/>
      <c r="H49" s="171" t="n"/>
      <c r="I49" s="171" t="n"/>
      <c r="J49" s="171" t="n"/>
      <c r="K49" s="171" t="n"/>
      <c r="L49" s="171" t="n"/>
      <c r="M49" s="171" t="n"/>
      <c r="N49" s="171" t="n"/>
      <c r="O49" s="171" t="n"/>
      <c r="P49" s="171" t="n"/>
      <c r="Q49" s="116" t="n"/>
      <c r="R49" s="84" t="n"/>
      <c r="S49" s="199">
        <f>IF(IFERROR(INDEX('Dashboard Calc'!$AB$6:$AB$125,$C$88),0)="",0,1)</f>
        <v>1</v>
      </c>
      <c r="T49" s="84" t="n"/>
    </row>
    <row r="50">
      <c r="A50" s="84" t="n"/>
      <c r="B50" s="114" t="n"/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6" t="n"/>
      <c r="R50" s="84" t="n"/>
      <c r="S50" s="84" t="n"/>
      <c r="T50" s="84" t="n"/>
    </row>
    <row r="51">
      <c r="A51" s="84" t="n"/>
      <c r="B51" s="99" t="n"/>
      <c r="C51" s="100" t="n"/>
      <c r="D51" s="100" t="n"/>
      <c r="E51" s="100" t="n"/>
      <c r="F51" s="100" t="n"/>
      <c r="G51" s="100" t="n"/>
      <c r="H51" s="100" t="n"/>
      <c r="I51" s="100" t="n"/>
      <c r="J51" s="100" t="n"/>
      <c r="K51" s="100" t="n"/>
      <c r="L51" s="100" t="n"/>
      <c r="M51" s="100" t="n"/>
      <c r="N51" s="100" t="n"/>
      <c r="O51" s="100" t="n"/>
      <c r="P51" s="100" t="n"/>
      <c r="Q51" s="101" t="n"/>
      <c r="R51" s="84" t="n"/>
      <c r="S51" s="84" t="n"/>
      <c r="T51" s="84" t="n"/>
    </row>
    <row r="52">
      <c r="A52" s="84" t="n"/>
      <c r="B52" s="84" t="n"/>
      <c r="C52" s="84" t="n"/>
      <c r="D52" s="84" t="n"/>
      <c r="E52" s="84" t="n"/>
      <c r="F52" s="84" t="n"/>
      <c r="G52" s="84" t="n"/>
      <c r="H52" s="84" t="n"/>
      <c r="I52" s="84" t="n"/>
      <c r="J52" s="84" t="n"/>
      <c r="K52" s="84" t="n"/>
      <c r="L52" s="84" t="n"/>
      <c r="M52" s="84" t="n"/>
      <c r="N52" s="84" t="n"/>
      <c r="O52" s="84" t="n"/>
      <c r="P52" s="84" t="n"/>
      <c r="Q52" s="84" t="n"/>
      <c r="R52" s="84" t="n"/>
      <c r="S52" s="84" t="n"/>
      <c r="T52" s="84" t="n"/>
    </row>
    <row r="53" ht="16" customHeight="1" s="83">
      <c r="A53" s="84" t="n"/>
      <c r="B53" s="112" t="inlineStr">
        <is>
          <t>Recommended next step and evidence</t>
        </is>
      </c>
      <c r="R53" s="84" t="n"/>
      <c r="S53" s="84" t="n"/>
      <c r="T53" s="84" t="n"/>
    </row>
    <row r="54" ht="13" customHeight="1" s="83">
      <c r="A54" s="84" t="n"/>
      <c r="B54" s="113" t="inlineStr">
        <is>
          <t>The action follows the stage; the evidence is the raw recruiter record.</t>
        </is>
      </c>
      <c r="R54" s="84" t="n"/>
      <c r="S54" s="84" t="n"/>
      <c r="T54" s="84" t="n"/>
    </row>
    <row r="55" ht="6" customHeight="1" s="83">
      <c r="A55" s="84" t="n"/>
      <c r="B55" s="84" t="n"/>
      <c r="C55" s="84" t="n"/>
      <c r="D55" s="84" t="n"/>
      <c r="E55" s="84" t="n"/>
      <c r="F55" s="84" t="n"/>
      <c r="G55" s="84" t="n"/>
      <c r="H55" s="84" t="n"/>
      <c r="I55" s="84" t="n"/>
      <c r="J55" s="84" t="n"/>
      <c r="K55" s="84" t="n"/>
      <c r="L55" s="84" t="n"/>
      <c r="M55" s="84" t="n"/>
      <c r="N55" s="84" t="n"/>
      <c r="O55" s="84" t="n"/>
      <c r="P55" s="84" t="n"/>
      <c r="Q55" s="84" t="n"/>
      <c r="R55" s="84" t="n"/>
      <c r="S55" s="84" t="n"/>
      <c r="T55" s="84" t="n"/>
    </row>
    <row r="56" ht="6" customHeight="1" s="83">
      <c r="A56" s="84" t="n"/>
      <c r="B56" s="89" t="n"/>
      <c r="C56" s="90" t="n"/>
      <c r="D56" s="90" t="n"/>
      <c r="E56" s="90" t="n"/>
      <c r="F56" s="90" t="n"/>
      <c r="G56" s="90" t="n"/>
      <c r="H56" s="90" t="n"/>
      <c r="I56" s="90" t="n"/>
      <c r="J56" s="90" t="n"/>
      <c r="K56" s="90" t="n"/>
      <c r="L56" s="90" t="n"/>
      <c r="M56" s="90" t="n"/>
      <c r="N56" s="90" t="n"/>
      <c r="O56" s="90" t="n"/>
      <c r="P56" s="90" t="n"/>
      <c r="Q56" s="91" t="n"/>
      <c r="R56" s="84" t="n"/>
      <c r="S56" s="84" t="n"/>
      <c r="T56" s="84" t="n"/>
    </row>
    <row r="57" ht="18" customHeight="1" s="83">
      <c r="A57" s="84" t="n"/>
      <c r="B57" s="114" t="n"/>
      <c r="C57" s="200" t="str">
        <f>IF($C$88="","Select a candidate above.",IF(IFERROR(INDEX('Dashboard Calc'!$J$6:$J$125,$C$88),0)=0,"Candidate has exited the process — no action.",IF(IFERROR(INDEX('Dashboard Calc'!$J$6:$J$125,$C$88),0)=1,"Complete the telephonic screen, capture CTC and notice, then submit.",IF(IFERROR(INDEX('Dashboard Calc'!$J$6:$J$125,$C$88),0)=2,"With the client for review — chase feedback and hold an interview slot.",IF(IFERROR(INDEX('Dashboard Calc'!$J$6:$J$125,$C$88),0)=3,"Interview in progress — collect feedback and prepare the offer case.",IF(IFERROR(INDEX('Dashboard Calc'!$J$6:$J$125,$C$88),0)=4,"In salary discussion — close the number and confirm the joining date.","At offer stage — confirm notice, counter-offer risk and joining date."))))))</f>
        <v>With the client for review — chase feedback and hold an interview slot.</v>
      </c>
      <c r="Q57" s="116" t="n"/>
      <c r="R57" s="84" t="n"/>
      <c r="S57" s="84" t="n"/>
      <c r="T57" s="84" t="n"/>
    </row>
    <row r="58" ht="18" customHeight="1" s="83">
      <c r="A58" s="84" t="n"/>
      <c r="B58" s="114" t="n"/>
      <c r="Q58" s="116" t="n"/>
      <c r="R58" s="84" t="n"/>
      <c r="S58" s="84" t="n"/>
      <c r="T58" s="84" t="n"/>
    </row>
    <row r="59" ht="6" customHeight="1" s="83">
      <c r="A59" s="84" t="n"/>
      <c r="B59" s="114" t="n"/>
      <c r="C59" s="115" t="n"/>
      <c r="D59" s="115" t="n"/>
      <c r="E59" s="115" t="n"/>
      <c r="F59" s="115" t="n"/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6" t="n"/>
      <c r="R59" s="84" t="n"/>
      <c r="S59" s="84" t="n"/>
      <c r="T59" s="84" t="n"/>
    </row>
    <row r="60" ht="6" customHeight="1" s="83">
      <c r="A60" s="84" t="n"/>
      <c r="B60" s="99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  <c r="N60" s="100" t="n"/>
      <c r="O60" s="100" t="n"/>
      <c r="P60" s="100" t="n"/>
      <c r="Q60" s="101" t="n"/>
      <c r="R60" s="84" t="n"/>
      <c r="S60" s="84" t="n"/>
      <c r="T60" s="84" t="n"/>
    </row>
    <row r="61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4" t="n"/>
      <c r="J61" s="84" t="n"/>
      <c r="K61" s="84" t="n"/>
      <c r="L61" s="84" t="n"/>
      <c r="M61" s="84" t="n"/>
      <c r="N61" s="84" t="n"/>
      <c r="O61" s="84" t="n"/>
      <c r="P61" s="84" t="n"/>
      <c r="Q61" s="84" t="n"/>
      <c r="R61" s="84" t="n"/>
      <c r="S61" s="84" t="n"/>
      <c r="T61" s="84" t="n"/>
    </row>
    <row r="62">
      <c r="A62" s="84" t="n"/>
      <c r="B62" s="89" t="n"/>
      <c r="C62" s="90" t="n"/>
      <c r="D62" s="90" t="n"/>
      <c r="E62" s="90" t="n"/>
      <c r="F62" s="90" t="n"/>
      <c r="G62" s="90" t="n"/>
      <c r="H62" s="90" t="n"/>
      <c r="I62" s="90" t="n"/>
      <c r="J62" s="90" t="n"/>
      <c r="K62" s="90" t="n"/>
      <c r="L62" s="90" t="n"/>
      <c r="M62" s="90" t="n"/>
      <c r="N62" s="90" t="n"/>
      <c r="O62" s="90" t="n"/>
      <c r="P62" s="90" t="n"/>
      <c r="Q62" s="91" t="n"/>
      <c r="R62" s="84" t="n"/>
      <c r="S62" s="84" t="n"/>
      <c r="T62" s="84" t="n"/>
    </row>
    <row r="63">
      <c r="A63" s="84" t="n"/>
      <c r="B63" s="114" t="n"/>
      <c r="C63" s="166" t="inlineStr">
        <is>
          <t>EVIDENCE ON FILE</t>
        </is>
      </c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  <c r="N63" s="115" t="n"/>
      <c r="O63" s="115" t="n"/>
      <c r="P63" s="115" t="n"/>
      <c r="Q63" s="116" t="n"/>
      <c r="R63" s="84" t="n"/>
      <c r="S63" s="84" t="n"/>
      <c r="T63" s="84" t="n"/>
    </row>
    <row r="64">
      <c r="A64" s="84" t="n"/>
      <c r="B64" s="114" t="n"/>
      <c r="C64" s="115" t="n"/>
      <c r="D64" s="115" t="n"/>
      <c r="E64" s="115" t="n"/>
      <c r="F64" s="115" t="n"/>
      <c r="G64" s="115" t="n"/>
      <c r="H64" s="115" t="n"/>
      <c r="I64" s="115" t="n"/>
      <c r="J64" s="115" t="n"/>
      <c r="K64" s="115" t="n"/>
      <c r="L64" s="115" t="n"/>
      <c r="M64" s="115" t="n"/>
      <c r="N64" s="115" t="n"/>
      <c r="O64" s="115" t="n"/>
      <c r="P64" s="115" t="n"/>
      <c r="Q64" s="116" t="n"/>
      <c r="R64" s="84" t="n"/>
      <c r="S64" s="84" t="n"/>
      <c r="T64" s="84" t="n"/>
    </row>
    <row r="65" ht="13" customHeight="1" s="83">
      <c r="A65" s="84" t="n"/>
      <c r="B65" s="114" t="n"/>
      <c r="C65" s="184" t="inlineStr">
        <is>
          <t>RECRUITER COMMENT</t>
        </is>
      </c>
      <c r="Q65" s="116" t="n"/>
      <c r="R65" s="84" t="n"/>
      <c r="S65" s="84" t="n"/>
      <c r="T65" s="84" t="n"/>
    </row>
    <row r="66" ht="17" customHeight="1" s="83">
      <c r="A66" s="84" t="n"/>
      <c r="B66" s="114" t="n"/>
      <c r="C66" s="201" t="str">
        <f>IF($C$88="","",IFERROR(INDEX('Dashboard Calc'!$K$6:$K$125,$C$88),""))</f>
        <v>Client Review</v>
      </c>
      <c r="D66" s="171" t="n"/>
      <c r="E66" s="171" t="n"/>
      <c r="F66" s="171" t="n"/>
      <c r="G66" s="171" t="n"/>
      <c r="H66" s="171" t="n"/>
      <c r="I66" s="171" t="n"/>
      <c r="J66" s="171" t="n"/>
      <c r="K66" s="171" t="n"/>
      <c r="L66" s="171" t="n"/>
      <c r="M66" s="171" t="n"/>
      <c r="N66" s="171" t="n"/>
      <c r="O66" s="171" t="n"/>
      <c r="P66" s="171" t="n"/>
      <c r="Q66" s="116" t="n"/>
      <c r="R66" s="84" t="n"/>
      <c r="S66" s="84" t="n"/>
      <c r="T66" s="84" t="n"/>
    </row>
    <row r="67" ht="13" customHeight="1" s="83">
      <c r="A67" s="84" t="n"/>
      <c r="B67" s="114" t="n"/>
      <c r="C67" s="184" t="inlineStr">
        <is>
          <t>ADDITIONAL NOTES</t>
        </is>
      </c>
      <c r="Q67" s="116" t="n"/>
      <c r="R67" s="84" t="n"/>
      <c r="S67" s="84" t="n"/>
      <c r="T67" s="84" t="n"/>
    </row>
    <row r="68" ht="17" customHeight="1" s="83">
      <c r="A68" s="84" t="n"/>
      <c r="B68" s="114" t="n"/>
      <c r="C68" s="201" t="str">
        <f>IF($C$88="","",IFERROR(IF(TRIM(INDEX('Master Data-2026'!$M$2:$M$121,$C$88))="","No further notes recorded",TRIM(INDEX('Master Data-2026'!$M$2:$M$121,$C$88))),""))</f>
        <v>Holding an offer of 32 LPA</v>
      </c>
      <c r="D68" s="171" t="n"/>
      <c r="E68" s="171" t="n"/>
      <c r="F68" s="171" t="n"/>
      <c r="G68" s="171" t="n"/>
      <c r="H68" s="171" t="n"/>
      <c r="I68" s="171" t="n"/>
      <c r="J68" s="171" t="n"/>
      <c r="K68" s="171" t="n"/>
      <c r="L68" s="171" t="n"/>
      <c r="M68" s="171" t="n"/>
      <c r="N68" s="171" t="n"/>
      <c r="O68" s="171" t="n"/>
      <c r="P68" s="171" t="n"/>
      <c r="Q68" s="116" t="n"/>
      <c r="R68" s="84" t="n"/>
      <c r="S68" s="84" t="n"/>
      <c r="T68" s="84" t="n"/>
    </row>
    <row r="69" ht="13" customHeight="1" s="83">
      <c r="A69" s="84" t="n"/>
      <c r="B69" s="114" t="n"/>
      <c r="C69" s="184" t="inlineStr">
        <is>
          <t>STACK EVIDENCE</t>
        </is>
      </c>
      <c r="Q69" s="116" t="n"/>
      <c r="R69" s="84" t="n"/>
      <c r="S69" s="84" t="n"/>
      <c r="T69" s="84" t="n"/>
    </row>
    <row r="70" ht="17" customHeight="1" s="83">
      <c r="A70" s="84" t="n"/>
      <c r="B70" s="114" t="n"/>
      <c r="C70" s="201" t="str">
        <f>IF($C$88="","Not recorded",IFERROR(INDEX('Dashboard Calc'!$X$6:$X$125,$C$88),"Not recorded"))</f>
        <v>React 6 y +Node 4y</v>
      </c>
      <c r="D70" s="171" t="n"/>
      <c r="E70" s="171" t="n"/>
      <c r="F70" s="171" t="n"/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1" t="n"/>
      <c r="P70" s="171" t="n"/>
      <c r="Q70" s="116" t="n"/>
      <c r="R70" s="84" t="n"/>
      <c r="S70" s="84" t="n"/>
      <c r="T70" s="84" t="n"/>
    </row>
    <row r="71" ht="13" customHeight="1" s="83">
      <c r="A71" s="84" t="n"/>
      <c r="B71" s="114" t="n"/>
      <c r="C71" s="184" t="inlineStr">
        <is>
          <t>STATED REASON FOR MOVING</t>
        </is>
      </c>
      <c r="Q71" s="116" t="n"/>
      <c r="R71" s="84" t="n"/>
      <c r="S71" s="84" t="n"/>
      <c r="T71" s="84" t="n"/>
    </row>
    <row r="72" ht="17" customHeight="1" s="83">
      <c r="A72" s="84" t="n"/>
      <c r="B72" s="114" t="n"/>
      <c r="C72" s="201" t="str">
        <f>IF($C$88="","Not recorded",IFERROR(INDEX('Dashboard Calc'!$AB$6:$AB$125,$C$88),"Not recorded"))</f>
        <v>Career Growth</v>
      </c>
      <c r="D72" s="171" t="n"/>
      <c r="E72" s="171" t="n"/>
      <c r="F72" s="171" t="n"/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1" t="n"/>
      <c r="P72" s="171" t="n"/>
      <c r="Q72" s="116" t="n"/>
      <c r="R72" s="84" t="n"/>
      <c r="S72" s="84" t="n"/>
      <c r="T72" s="84" t="n"/>
    </row>
    <row r="73" ht="13" customHeight="1" s="83">
      <c r="A73" s="84" t="n"/>
      <c r="B73" s="114" t="n"/>
      <c r="C73" s="184" t="inlineStr">
        <is>
          <t>CURRENT COMPANY</t>
        </is>
      </c>
      <c r="Q73" s="116" t="n"/>
      <c r="R73" s="84" t="n"/>
      <c r="S73" s="84" t="n"/>
      <c r="T73" s="84" t="n"/>
    </row>
    <row r="74" ht="17" customHeight="1" s="83">
      <c r="A74" s="84" t="n"/>
      <c r="B74" s="114" t="n"/>
      <c r="C74" s="201" t="str">
        <f>IF($C$88="","Not recorded",IFERROR(INDEX('Dashboard Calc'!$Y$6:$Y$125,$C$88),"Not recorded"))</f>
        <v>Virtusa</v>
      </c>
      <c r="D74" s="171" t="n"/>
      <c r="E74" s="171" t="n"/>
      <c r="F74" s="171" t="n"/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1" t="n"/>
      <c r="P74" s="171" t="n"/>
      <c r="Q74" s="116" t="n"/>
      <c r="R74" s="84" t="n"/>
      <c r="S74" s="84" t="n"/>
      <c r="T74" s="84" t="n"/>
    </row>
    <row r="75" ht="13" customHeight="1" s="83">
      <c r="A75" s="84" t="n"/>
      <c r="B75" s="114" t="n"/>
      <c r="C75" s="184" t="inlineStr">
        <is>
          <t>DESIGNATION</t>
        </is>
      </c>
      <c r="Q75" s="116" t="n"/>
      <c r="R75" s="84" t="n"/>
      <c r="S75" s="84" t="n"/>
      <c r="T75" s="84" t="n"/>
    </row>
    <row r="76" ht="17" customHeight="1" s="83">
      <c r="A76" s="84" t="n"/>
      <c r="B76" s="114" t="n"/>
      <c r="C76" s="201" t="str">
        <f>IF($C$88="","Not recorded",IFERROR(INDEX('Dashboard Calc'!$Z$6:$Z$125,$C$88),"Not recorded"))</f>
        <v>Lead Software Engineer</v>
      </c>
      <c r="D76" s="171" t="n"/>
      <c r="E76" s="171" t="n"/>
      <c r="F76" s="171" t="n"/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1" t="n"/>
      <c r="P76" s="171" t="n"/>
      <c r="Q76" s="116" t="n"/>
      <c r="R76" s="84" t="n"/>
      <c r="S76" s="84" t="n"/>
      <c r="T76" s="84" t="n"/>
    </row>
    <row r="77">
      <c r="A77" s="84" t="n"/>
      <c r="B77" s="114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  <c r="L77" s="115" t="n"/>
      <c r="M77" s="115" t="n"/>
      <c r="N77" s="115" t="n"/>
      <c r="O77" s="115" t="n"/>
      <c r="P77" s="115" t="n"/>
      <c r="Q77" s="116" t="n"/>
      <c r="R77" s="84" t="n"/>
      <c r="S77" s="84" t="n"/>
      <c r="T77" s="84" t="n"/>
    </row>
    <row r="78">
      <c r="A78" s="84" t="n"/>
      <c r="B78" s="99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  <c r="N78" s="100" t="n"/>
      <c r="O78" s="100" t="n"/>
      <c r="P78" s="100" t="n"/>
      <c r="Q78" s="101" t="n"/>
      <c r="R78" s="84" t="n"/>
      <c r="S78" s="84" t="n"/>
      <c r="T78" s="84" t="n"/>
    </row>
    <row r="79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4" t="n"/>
      <c r="J79" s="84" t="n"/>
      <c r="K79" s="84" t="n"/>
      <c r="L79" s="84" t="n"/>
      <c r="M79" s="84" t="n"/>
      <c r="N79" s="84" t="n"/>
      <c r="O79" s="84" t="n"/>
      <c r="P79" s="84" t="n"/>
      <c r="Q79" s="84" t="n"/>
      <c r="R79" s="84" t="n"/>
      <c r="S79" s="84" t="n"/>
      <c r="T79" s="84" t="n"/>
    </row>
    <row r="80">
      <c r="A80" s="84" t="n"/>
      <c r="B80" s="84" t="n"/>
      <c r="C80" s="84" t="n"/>
      <c r="D80" s="84" t="n"/>
      <c r="E80" s="84" t="n"/>
      <c r="F80" s="84" t="n"/>
      <c r="G80" s="84" t="n"/>
      <c r="H80" s="84" t="n"/>
      <c r="I80" s="84" t="n"/>
      <c r="J80" s="84" t="n"/>
      <c r="K80" s="84" t="n"/>
      <c r="L80" s="84" t="n"/>
      <c r="M80" s="84" t="n"/>
      <c r="N80" s="84" t="n"/>
      <c r="O80" s="84" t="n"/>
      <c r="P80" s="84" t="n"/>
      <c r="Q80" s="84" t="n"/>
      <c r="R80" s="84" t="n"/>
      <c r="S80" s="84" t="n"/>
      <c r="T80" s="84" t="n"/>
    </row>
    <row r="81">
      <c r="A81" s="84" t="n"/>
      <c r="B81" s="84" t="n"/>
      <c r="C81" s="84" t="n"/>
      <c r="D81" s="84" t="n"/>
      <c r="E81" s="84" t="n"/>
      <c r="F81" s="84" t="n"/>
      <c r="G81" s="84" t="n"/>
      <c r="H81" s="84" t="n"/>
      <c r="I81" s="84" t="n"/>
      <c r="J81" s="84" t="n"/>
      <c r="K81" s="84" t="n"/>
      <c r="L81" s="84" t="n"/>
      <c r="M81" s="84" t="n"/>
      <c r="N81" s="84" t="n"/>
      <c r="O81" s="84" t="n"/>
      <c r="P81" s="84" t="n"/>
      <c r="Q81" s="84" t="n"/>
      <c r="R81" s="84" t="n"/>
      <c r="S81" s="84" t="n"/>
      <c r="T81" s="84" t="n"/>
    </row>
    <row r="82">
      <c r="A82" s="84" t="n"/>
      <c r="B82" s="84" t="n"/>
      <c r="C82" s="84" t="n"/>
      <c r="D82" s="84" t="n"/>
      <c r="E82" s="84" t="n"/>
      <c r="F82" s="84" t="n"/>
      <c r="G82" s="84" t="n"/>
      <c r="H82" s="84" t="n"/>
      <c r="I82" s="84" t="n"/>
      <c r="J82" s="84" t="n"/>
      <c r="K82" s="84" t="n"/>
      <c r="L82" s="84" t="n"/>
      <c r="M82" s="84" t="n"/>
      <c r="N82" s="84" t="n"/>
      <c r="O82" s="84" t="n"/>
      <c r="P82" s="84" t="n"/>
      <c r="Q82" s="84" t="n"/>
      <c r="R82" s="84" t="n"/>
      <c r="S82" s="84" t="n"/>
      <c r="T82" s="84" t="n"/>
    </row>
    <row r="83">
      <c r="A83" s="84" t="n"/>
      <c r="B83" s="84" t="n"/>
      <c r="C83" s="84" t="n"/>
      <c r="D83" s="84" t="n"/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n"/>
      <c r="N83" s="84" t="n"/>
      <c r="O83" s="84" t="n"/>
      <c r="P83" s="84" t="n"/>
      <c r="Q83" s="84" t="n"/>
      <c r="R83" s="84" t="n"/>
      <c r="S83" s="84" t="n"/>
      <c r="T83" s="84" t="n"/>
    </row>
    <row r="84">
      <c r="A84" s="84" t="n"/>
      <c r="B84" s="84" t="n"/>
      <c r="C84" s="84" t="n"/>
      <c r="D84" s="84" t="n"/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n"/>
      <c r="N84" s="84" t="n"/>
      <c r="O84" s="84" t="n"/>
      <c r="P84" s="84" t="n"/>
      <c r="Q84" s="84" t="n"/>
      <c r="R84" s="84" t="n"/>
      <c r="S84" s="84" t="n"/>
      <c r="T84" s="84" t="n"/>
    </row>
    <row r="85">
      <c r="A85" s="84" t="n"/>
      <c r="B85" s="84" t="n"/>
      <c r="C85" s="84" t="n"/>
      <c r="D85" s="84" t="n"/>
      <c r="E85" s="84" t="n"/>
      <c r="F85" s="84" t="n"/>
      <c r="G85" s="84" t="n"/>
      <c r="H85" s="84" t="n"/>
      <c r="I85" s="84" t="n"/>
      <c r="J85" s="84" t="n"/>
      <c r="K85" s="84" t="n"/>
      <c r="L85" s="84" t="n"/>
      <c r="M85" s="84" t="n"/>
      <c r="N85" s="84" t="n"/>
      <c r="O85" s="84" t="n"/>
      <c r="P85" s="84" t="n"/>
      <c r="Q85" s="84" t="n"/>
      <c r="R85" s="84" t="n"/>
      <c r="S85" s="84" t="n"/>
      <c r="T85" s="84" t="n"/>
    </row>
    <row r="86">
      <c r="A86" s="84" t="n"/>
      <c r="B86" s="84" t="n"/>
      <c r="C86" s="84" t="n"/>
      <c r="D86" s="84" t="n"/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n"/>
      <c r="N86" s="84" t="n"/>
      <c r="O86" s="84" t="n"/>
      <c r="P86" s="84" t="n"/>
      <c r="Q86" s="84" t="n"/>
      <c r="R86" s="84" t="n"/>
      <c r="S86" s="84" t="n"/>
      <c r="T86" s="84" t="n"/>
    </row>
    <row r="87">
      <c r="A87" s="84" t="n"/>
      <c r="B87" s="202" t="inlineStr">
        <is>
          <t>Lookup diagnostics</t>
        </is>
      </c>
      <c r="C87" s="84" t="n"/>
      <c r="D87" s="84" t="n"/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n"/>
      <c r="N87" s="84" t="n"/>
      <c r="O87" s="84" t="n"/>
      <c r="P87" s="84" t="n"/>
      <c r="Q87" s="84" t="n"/>
      <c r="R87" s="84" t="n"/>
      <c r="S87" s="84" t="n"/>
      <c r="T87" s="84" t="n"/>
    </row>
    <row r="88">
      <c r="A88" s="84" t="n"/>
      <c r="B88" s="113" t="inlineStr">
        <is>
          <t>Grid row</t>
        </is>
      </c>
      <c r="C88" s="113">
        <f>IFERROR(MATCH($B$7,'Dashboard Calc'!$B$6:$B$125,0),"")</f>
        <v>16</v>
      </c>
      <c r="D88" s="113" t="str">
        <f>IF($C$88="","No match — pick a name from the list","Reading row "&amp;TEXT($C$88+5,"0")&amp;" of Dashboard Calc")</f>
        <v>Reading row 21 of Dashboard Calc</v>
      </c>
      <c r="N88" s="84" t="n"/>
      <c r="O88" s="84" t="n"/>
      <c r="P88" s="84" t="n"/>
      <c r="Q88" s="84" t="n"/>
      <c r="R88" s="84" t="n"/>
      <c r="S88" s="84" t="n"/>
      <c r="T88" s="84" t="n"/>
    </row>
    <row r="89">
      <c r="A89" s="84" t="n"/>
      <c r="B89" s="84" t="n"/>
      <c r="C89" s="84" t="n"/>
      <c r="D89" s="84" t="n"/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n"/>
      <c r="N89" s="84" t="n"/>
      <c r="O89" s="84" t="n"/>
      <c r="P89" s="84" t="n"/>
      <c r="Q89" s="84" t="n"/>
      <c r="R89" s="84" t="n"/>
      <c r="S89" s="84" t="n"/>
      <c r="T89" s="84" t="n"/>
    </row>
    <row r="90">
      <c r="A90" s="84" t="n"/>
      <c r="B90" s="84" t="n"/>
      <c r="C90" s="84" t="n"/>
      <c r="D90" s="84" t="n"/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n"/>
      <c r="N90" s="84" t="n"/>
      <c r="O90" s="84" t="n"/>
      <c r="P90" s="84" t="n"/>
      <c r="Q90" s="84" t="n"/>
      <c r="R90" s="84" t="n"/>
      <c r="S90" s="84" t="n"/>
      <c r="T90" s="84" t="n"/>
    </row>
    <row r="91">
      <c r="A91" s="84" t="n"/>
      <c r="B91" s="84" t="n"/>
      <c r="C91" s="84" t="n"/>
      <c r="D91" s="84" t="n"/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n"/>
      <c r="N91" s="84" t="n"/>
      <c r="O91" s="84" t="n"/>
      <c r="P91" s="84" t="n"/>
      <c r="Q91" s="84" t="n"/>
      <c r="R91" s="84" t="n"/>
      <c r="S91" s="84" t="n"/>
      <c r="T91" s="84" t="n"/>
    </row>
    <row r="92">
      <c r="A92" s="84" t="n"/>
      <c r="B92" s="84" t="n"/>
      <c r="C92" s="84" t="n"/>
      <c r="D92" s="84" t="n"/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n"/>
      <c r="N92" s="84" t="n"/>
      <c r="O92" s="84" t="n"/>
      <c r="P92" s="84" t="n"/>
      <c r="Q92" s="84" t="n"/>
      <c r="R92" s="84" t="n"/>
      <c r="S92" s="84" t="n"/>
      <c r="T92" s="84" t="n"/>
    </row>
    <row r="93">
      <c r="A93" s="84" t="n"/>
      <c r="B93" s="84" t="n"/>
      <c r="C93" s="84" t="n"/>
      <c r="D93" s="84" t="n"/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n"/>
      <c r="N93" s="84" t="n"/>
      <c r="O93" s="84" t="n"/>
      <c r="P93" s="84" t="n"/>
      <c r="Q93" s="84" t="n"/>
      <c r="R93" s="84" t="n"/>
      <c r="S93" s="84" t="n"/>
      <c r="T93" s="84" t="n"/>
    </row>
    <row r="94">
      <c r="A94" s="84" t="n"/>
      <c r="B94" s="84" t="n"/>
      <c r="C94" s="84" t="n"/>
      <c r="D94" s="84" t="n"/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n"/>
      <c r="N94" s="84" t="n"/>
      <c r="O94" s="84" t="n"/>
      <c r="P94" s="84" t="n"/>
      <c r="Q94" s="84" t="n"/>
      <c r="R94" s="84" t="n"/>
      <c r="S94" s="84" t="n"/>
      <c r="T94" s="84" t="n"/>
    </row>
    <row r="95">
      <c r="A95" s="84" t="n"/>
      <c r="B95" s="84" t="n"/>
      <c r="C95" s="84" t="n"/>
      <c r="D95" s="84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  <c r="T95" s="84" t="n"/>
    </row>
  </sheetData>
  <mergeCells count="83">
    <mergeCell ref="C44:E44"/>
    <mergeCell ref="C69:P69"/>
    <mergeCell ref="C32:F32"/>
    <mergeCell ref="G15:I15"/>
    <mergeCell ref="O32:P32"/>
    <mergeCell ref="O26:P26"/>
    <mergeCell ref="K33:N33"/>
    <mergeCell ref="K26:N26"/>
    <mergeCell ref="C26:F26"/>
    <mergeCell ref="C49:E49"/>
    <mergeCell ref="O27:P27"/>
    <mergeCell ref="C71:P71"/>
    <mergeCell ref="C42:E42"/>
    <mergeCell ref="F43:P43"/>
    <mergeCell ref="B53:Q53"/>
    <mergeCell ref="C27:F27"/>
    <mergeCell ref="C66:P66"/>
    <mergeCell ref="B2:J2"/>
    <mergeCell ref="F44:P44"/>
    <mergeCell ref="C68:P68"/>
    <mergeCell ref="C28:F28"/>
    <mergeCell ref="C46:E46"/>
    <mergeCell ref="G14:I14"/>
    <mergeCell ref="O29:P29"/>
    <mergeCell ref="K14:M14"/>
    <mergeCell ref="C30:F30"/>
    <mergeCell ref="C48:E48"/>
    <mergeCell ref="C65:P65"/>
    <mergeCell ref="F45:P45"/>
    <mergeCell ref="B54:Q54"/>
    <mergeCell ref="F42:P42"/>
    <mergeCell ref="O31:P31"/>
    <mergeCell ref="C75:P75"/>
    <mergeCell ref="O14:Q14"/>
    <mergeCell ref="F47:P47"/>
    <mergeCell ref="G33:H33"/>
    <mergeCell ref="F46:P46"/>
    <mergeCell ref="K32:N32"/>
    <mergeCell ref="C15:E15"/>
    <mergeCell ref="G26:H26"/>
    <mergeCell ref="C70:P70"/>
    <mergeCell ref="O15:Q15"/>
    <mergeCell ref="F48:P48"/>
    <mergeCell ref="K27:N27"/>
    <mergeCell ref="L11:Q12"/>
    <mergeCell ref="O28:P28"/>
    <mergeCell ref="C12:K12"/>
    <mergeCell ref="C74:P74"/>
    <mergeCell ref="B20:Q20"/>
    <mergeCell ref="K28:N28"/>
    <mergeCell ref="O30:P30"/>
    <mergeCell ref="C57:P58"/>
    <mergeCell ref="K30:N30"/>
    <mergeCell ref="K29:N29"/>
    <mergeCell ref="C29:F29"/>
    <mergeCell ref="B7:G7"/>
    <mergeCell ref="K15:M15"/>
    <mergeCell ref="K31:N31"/>
    <mergeCell ref="C14:E14"/>
    <mergeCell ref="C31:F31"/>
    <mergeCell ref="G32:H32"/>
    <mergeCell ref="B3:P3"/>
    <mergeCell ref="C72:P72"/>
    <mergeCell ref="F49:P49"/>
    <mergeCell ref="G27:H27"/>
    <mergeCell ref="O33:P33"/>
    <mergeCell ref="C43:E43"/>
    <mergeCell ref="C11:K11"/>
    <mergeCell ref="C73:P73"/>
    <mergeCell ref="D88:M88"/>
    <mergeCell ref="G28:H28"/>
    <mergeCell ref="C33:F33"/>
    <mergeCell ref="B6:G6"/>
    <mergeCell ref="G30:H30"/>
    <mergeCell ref="C76:P76"/>
    <mergeCell ref="B21:Q21"/>
    <mergeCell ref="B39:Q39"/>
    <mergeCell ref="G29:H29"/>
    <mergeCell ref="C45:E45"/>
    <mergeCell ref="C67:P67"/>
    <mergeCell ref="G31:H31"/>
    <mergeCell ref="B38:Q38"/>
    <mergeCell ref="C47:E47"/>
  </mergeCells>
  <conditionalFormatting sqref="F42:P49">
    <cfRule type="expression" priority="1" dxfId="6" stopIfTrue="1">
      <formula>$S42=1</formula>
    </cfRule>
    <cfRule type="expression" priority="2" dxfId="7" stopIfTrue="1">
      <formula>$S42=0</formula>
    </cfRule>
    <cfRule type="expression" priority="3" dxfId="8" stopIfTrue="1">
      <formula>$S42=-1</formula>
    </cfRule>
  </conditionalFormatting>
  <dataValidations count="1">
    <dataValidation sqref="B7" showDropDown="0" showInputMessage="1" showErrorMessage="1" allowBlank="1" errorTitle="Value not in the list" error="Pick any candidate in Master Data-2026." promptTitle="Candidate" prompt="Pick any candidate in Master Data-2026." type="list">
      <formula1>=ListCandidate</formula1>
    </dataValidation>
  </dataValidations>
  <pageMargins left="0.75" right="0.75" top="1" bottom="1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00E4E7EC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.29" customWidth="1" style="83" min="1" max="1"/>
    <col width="20.57" customWidth="1" style="83" min="2" max="2"/>
    <col width="9.140000000000001" customWidth="1" style="83" min="3" max="3"/>
    <col width="10.86" customWidth="1" style="83" min="4" max="4"/>
    <col width="13.57" customWidth="1" style="83" min="5" max="5"/>
    <col width="13.71" customWidth="1" style="83" min="6" max="6"/>
    <col width="9.140000000000001" customWidth="1" style="83" min="7" max="7"/>
    <col width="8.710000000000001" customWidth="1" style="83" min="8" max="26"/>
  </cols>
  <sheetData>
    <row r="1">
      <c r="A1" s="2" t="inlineStr">
        <is>
          <t>Req created Date</t>
        </is>
      </c>
      <c r="B1" s="2" t="inlineStr">
        <is>
          <t>Role</t>
        </is>
      </c>
      <c r="C1" s="2" t="inlineStr">
        <is>
          <t>Number</t>
        </is>
      </c>
      <c r="D1" s="2" t="inlineStr">
        <is>
          <t>Experience</t>
        </is>
      </c>
      <c r="E1" s="2" t="inlineStr">
        <is>
          <t>Minimum CTC</t>
        </is>
      </c>
      <c r="F1" s="2" t="inlineStr">
        <is>
          <t>Zeronorth CTC</t>
        </is>
      </c>
      <c r="G1" s="2" t="inlineStr">
        <is>
          <t>Status</t>
        </is>
      </c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12" t="n">
        <v>45663</v>
      </c>
      <c r="B2" s="16" t="inlineStr">
        <is>
          <t>Fullstack Developers</t>
        </is>
      </c>
      <c r="C2" s="16" t="n">
        <v>5</v>
      </c>
      <c r="D2" s="18" t="n">
        <v>45903</v>
      </c>
      <c r="E2" s="16" t="inlineStr">
        <is>
          <t>20LPA</t>
        </is>
      </c>
      <c r="F2" s="16" t="inlineStr">
        <is>
          <t>25LPA</t>
        </is>
      </c>
      <c r="G2" s="16" t="inlineStr">
        <is>
          <t>Ongoing</t>
        </is>
      </c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12" t="n">
        <v>45663</v>
      </c>
      <c r="B3" s="16" t="inlineStr">
        <is>
          <t>Database Admin</t>
        </is>
      </c>
      <c r="C3" s="16" t="n">
        <v>2</v>
      </c>
      <c r="D3" s="18" t="n">
        <v>45780</v>
      </c>
      <c r="E3" s="16" t="inlineStr">
        <is>
          <t>15LPA</t>
        </is>
      </c>
      <c r="F3" s="16" t="inlineStr">
        <is>
          <t>20LPA</t>
        </is>
      </c>
      <c r="G3" s="16" t="inlineStr">
        <is>
          <t>Ongoing</t>
        </is>
      </c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8" t="n">
        <v>46246</v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 ht="15.75" customHeight="1" s="83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 ht="15.75" customHeight="1" s="83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 ht="15.75" customHeight="1" s="8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 ht="15.75" customHeight="1" s="83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 ht="15.75" customHeight="1" s="83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 ht="15.75" customHeight="1" s="83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 ht="15.75" customHeight="1" s="83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 ht="15.75" customHeight="1" s="83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 ht="15.75" customHeight="1" s="83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 ht="15.75" customHeight="1" s="83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 ht="15.75" customHeight="1" s="83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 ht="15.75" customHeight="1" s="83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 ht="15.75" customHeight="1" s="8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 ht="15.75" customHeight="1" s="83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 ht="15.75" customHeight="1" s="83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 ht="15.75" customHeight="1" s="83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 ht="15.75" customHeight="1" s="83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 ht="15.75" customHeight="1" s="83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 ht="15.75" customHeight="1" s="83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 ht="15.75" customHeight="1" s="83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 ht="15.75" customHeight="1" s="83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 ht="15.75" customHeight="1" s="83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 ht="15.75" customHeight="1" s="8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 ht="15.75" customHeight="1" s="83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 ht="15.75" customHeight="1" s="83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 ht="15.75" customHeight="1" s="83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 ht="15.75" customHeight="1" s="83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 ht="15.75" customHeight="1" s="83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 ht="15.75" customHeight="1" s="83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 ht="15.75" customHeight="1" s="83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 ht="15.75" customHeight="1" s="83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 ht="15.75" customHeight="1" s="83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 ht="15.75" customHeight="1" s="8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 ht="15.75" customHeight="1" s="83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 ht="15.75" customHeight="1" s="83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 ht="15.75" customHeight="1" s="83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 ht="15.75" customHeight="1" s="83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 ht="15.75" customHeight="1" s="83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 ht="15.75" customHeight="1" s="83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 ht="15.75" customHeight="1" s="83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 ht="15.75" customHeight="1" s="83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 ht="15.75" customHeight="1" s="83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 ht="15.75" customHeight="1" s="8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 ht="15.75" customHeight="1" s="83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 ht="15.75" customHeight="1" s="83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 ht="15.75" customHeight="1" s="83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 ht="15.75" customHeight="1" s="83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 ht="15.75" customHeight="1" s="83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 ht="15.75" customHeight="1" s="83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 ht="15.75" customHeight="1" s="83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 ht="15.75" customHeight="1" s="83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 ht="15.75" customHeight="1" s="83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 ht="15.75" customHeight="1" s="8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 ht="15.75" customHeight="1" s="83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 ht="15.75" customHeight="1" s="83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 ht="15.75" customHeight="1" s="83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 ht="15.75" customHeight="1" s="83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 ht="15.75" customHeight="1" s="83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 ht="15.75" customHeight="1" s="83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 ht="15.75" customHeight="1" s="83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 ht="15.75" customHeight="1" s="83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 ht="15.75" customHeight="1" s="83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 ht="15.75" customHeight="1" s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 ht="15.75" customHeight="1" s="83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 ht="15.75" customHeight="1" s="83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 ht="15.75" customHeight="1" s="83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 ht="15.75" customHeight="1" s="83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 ht="15.75" customHeight="1" s="83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 ht="15.75" customHeight="1" s="83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 ht="15.75" customHeight="1" s="83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 ht="15.75" customHeight="1" s="83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 ht="15.75" customHeight="1" s="83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 ht="15.75" customHeight="1" s="8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 ht="15.75" customHeight="1" s="83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 ht="15.75" customHeight="1" s="83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 ht="15.75" customHeight="1" s="83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 ht="15.75" customHeight="1" s="83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 ht="15.75" customHeight="1" s="83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 ht="15.75" customHeight="1" s="83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 ht="15.75" customHeight="1" s="83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 ht="15.75" customHeight="1" s="83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 ht="15.75" customHeight="1" s="83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 ht="15.75" customHeight="1" s="8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 ht="15.75" customHeight="1" s="83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 ht="15.75" customHeight="1" s="83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 ht="15.75" customHeight="1" s="83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 ht="15.75" customHeight="1" s="83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 ht="15.75" customHeight="1" s="83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 ht="15.75" customHeight="1" s="83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 ht="15.75" customHeight="1" s="83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 ht="15.75" customHeight="1" s="83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 ht="15.75" customHeight="1" s="83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 ht="15.75" customHeight="1" s="8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 ht="15.75" customHeight="1" s="83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 ht="15.75" customHeight="1" s="83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 ht="15.75" customHeight="1" s="83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 ht="15.75" customHeight="1" s="83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 ht="15.75" customHeight="1" s="83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 ht="15.75" customHeight="1" s="83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 ht="15.75" customHeight="1" s="83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 ht="15.75" customHeight="1" s="83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 ht="15.75" customHeight="1" s="83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 ht="15.75" customHeight="1" s="8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 ht="15.75" customHeight="1" s="83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 ht="15.75" customHeight="1" s="83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 ht="15.75" customHeight="1" s="83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 ht="15.75" customHeight="1" s="83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 ht="15.75" customHeight="1" s="83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 ht="15.75" customHeight="1" s="83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 ht="15.75" customHeight="1" s="83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 ht="15.75" customHeight="1" s="83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 ht="15.75" customHeight="1" s="83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 ht="15.75" customHeight="1" s="8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 ht="15.75" customHeight="1" s="83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 ht="15.75" customHeight="1" s="83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 ht="15.75" customHeight="1" s="83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 ht="15.75" customHeight="1" s="83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 ht="15.75" customHeight="1" s="83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 ht="15.75" customHeight="1" s="83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 ht="15.75" customHeight="1" s="83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 ht="15.75" customHeight="1" s="83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 ht="15.75" customHeight="1" s="83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 ht="15.75" customHeight="1" s="8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 ht="15.75" customHeight="1" s="83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 ht="15.75" customHeight="1" s="83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 ht="15.75" customHeight="1" s="83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 ht="15.75" customHeight="1" s="83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 ht="15.75" customHeight="1" s="83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 ht="15.75" customHeight="1" s="83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 ht="15.75" customHeight="1" s="83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 ht="15.75" customHeight="1" s="83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 ht="15.75" customHeight="1" s="83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 ht="15.75" customHeight="1" s="8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 ht="15.75" customHeight="1" s="83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 ht="15.75" customHeight="1" s="83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 ht="15.75" customHeight="1" s="83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 ht="15.75" customHeight="1" s="83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 ht="15.75" customHeight="1" s="83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 ht="15.75" customHeight="1" s="83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 ht="15.75" customHeight="1" s="83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 ht="15.75" customHeight="1" s="83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 ht="15.75" customHeight="1" s="83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 ht="15.75" customHeight="1" s="8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 ht="15.75" customHeight="1" s="83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 ht="15.75" customHeight="1" s="83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 ht="15.75" customHeight="1" s="83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 ht="15.75" customHeight="1" s="83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 ht="15.75" customHeight="1" s="83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 ht="15.75" customHeight="1" s="83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 ht="15.75" customHeight="1" s="83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 ht="15.75" customHeight="1" s="83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 ht="15.75" customHeight="1" s="83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 ht="15.75" customHeight="1" s="8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 ht="15.75" customHeight="1" s="83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 ht="15.75" customHeight="1" s="83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 ht="15.75" customHeight="1" s="83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 ht="15.75" customHeight="1" s="83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 ht="15.75" customHeight="1" s="83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 ht="15.75" customHeight="1" s="83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 ht="15.75" customHeight="1" s="83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 ht="15.75" customHeight="1" s="83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 ht="15.75" customHeight="1" s="83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 ht="15.75" customHeight="1" s="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 ht="15.75" customHeight="1" s="83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 ht="15.75" customHeight="1" s="83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 ht="15.75" customHeight="1" s="83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 ht="15.75" customHeight="1" s="83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 ht="15.75" customHeight="1" s="83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 ht="15.75" customHeight="1" s="83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 ht="15.75" customHeight="1" s="83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 ht="15.75" customHeight="1" s="83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 ht="15.75" customHeight="1" s="83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 ht="15.75" customHeight="1" s="8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 ht="15.75" customHeight="1" s="83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 ht="15.75" customHeight="1" s="83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 ht="15.75" customHeight="1" s="83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 ht="15.75" customHeight="1" s="83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 ht="15.75" customHeight="1" s="83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 ht="15.75" customHeight="1" s="83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 ht="15.75" customHeight="1" s="83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 ht="15.75" customHeight="1" s="83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 ht="15.75" customHeight="1" s="83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 ht="15.75" customHeight="1" s="8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 ht="15.75" customHeight="1" s="83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 ht="15.75" customHeight="1" s="83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 ht="15.75" customHeight="1" s="83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 ht="15.75" customHeight="1" s="83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 ht="15.75" customHeight="1" s="83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 ht="15.75" customHeight="1" s="83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 ht="15.75" customHeight="1" s="83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 ht="15.75" customHeight="1" s="83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 ht="15.75" customHeight="1" s="83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 ht="15.75" customHeight="1" s="8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 ht="15.75" customHeight="1" s="83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 ht="15.75" customHeight="1" s="83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 ht="15.75" customHeight="1" s="83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 ht="15.75" customHeight="1" s="83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 ht="15.75" customHeight="1" s="83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 ht="15.75" customHeight="1" s="83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 ht="15.75" customHeight="1" s="83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 ht="15.75" customHeight="1" s="83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 ht="15.75" customHeight="1" s="83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 ht="15.75" customHeight="1" s="8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 ht="15.75" customHeight="1" s="83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 ht="15.75" customHeight="1" s="83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 ht="15.75" customHeight="1" s="83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 ht="15.75" customHeight="1" s="83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 ht="15.75" customHeight="1" s="83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 ht="15.75" customHeight="1" s="83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 ht="15.75" customHeight="1" s="83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 ht="15.75" customHeight="1" s="83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 ht="15.75" customHeight="1" s="83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 ht="15.75" customHeight="1" s="8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 ht="15.75" customHeight="1" s="83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 ht="15.75" customHeight="1" s="83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 ht="15.75" customHeight="1" s="83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 ht="15.75" customHeight="1" s="83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 ht="15.75" customHeight="1" s="83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 ht="15.75" customHeight="1" s="83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 ht="15.75" customHeight="1" s="83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 ht="15.75" customHeight="1" s="83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 ht="15.75" customHeight="1" s="83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 ht="15.75" customHeight="1" s="8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 ht="15.75" customHeight="1" s="83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 ht="15.75" customHeight="1" s="83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 ht="15.75" customHeight="1" s="83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 ht="15.75" customHeight="1" s="83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 ht="15.75" customHeight="1" s="83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 ht="15.75" customHeight="1" s="83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 ht="15.75" customHeight="1" s="83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 ht="15.75" customHeight="1" s="83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 ht="15.75" customHeight="1" s="83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 ht="15.75" customHeight="1" s="8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 ht="15.75" customHeight="1" s="83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 ht="15.75" customHeight="1" s="83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 ht="15.75" customHeight="1" s="83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 ht="15.75" customHeight="1" s="83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 ht="15.75" customHeight="1" s="83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 ht="15.75" customHeight="1" s="83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 ht="15.75" customHeight="1" s="83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 ht="15.75" customHeight="1" s="83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 ht="15.75" customHeight="1" s="83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 ht="15.75" customHeight="1" s="8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 ht="15.75" customHeight="1" s="83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 ht="15.75" customHeight="1" s="83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 ht="15.75" customHeight="1" s="83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 ht="15.75" customHeight="1" s="83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 ht="15.75" customHeight="1" s="83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 ht="15.75" customHeight="1" s="83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 ht="15.75" customHeight="1" s="83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 ht="15.75" customHeight="1" s="83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 ht="15.75" customHeight="1" s="83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 ht="15.75" customHeight="1" s="8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 ht="15.75" customHeight="1" s="83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 ht="15.75" customHeight="1" s="83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 ht="15.75" customHeight="1" s="83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 ht="15.75" customHeight="1" s="83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 ht="15.75" customHeight="1" s="83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 ht="15.75" customHeight="1" s="83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 ht="15.75" customHeight="1" s="83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 ht="15.75" customHeight="1" s="83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 ht="15.75" customHeight="1" s="83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 ht="15.75" customHeight="1" s="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 ht="15.75" customHeight="1" s="83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 ht="15.75" customHeight="1" s="83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 ht="15.75" customHeight="1" s="83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 ht="15.75" customHeight="1" s="83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 ht="15.75" customHeight="1" s="83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 ht="15.75" customHeight="1" s="83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 ht="15.75" customHeight="1" s="83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 ht="15.75" customHeight="1" s="83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 ht="15.75" customHeight="1" s="83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 ht="15.75" customHeight="1" s="8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 ht="15.75" customHeight="1" s="83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 ht="15.75" customHeight="1" s="83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 ht="15.75" customHeight="1" s="83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 ht="15.75" customHeight="1" s="83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 ht="15.75" customHeight="1" s="83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 ht="15.75" customHeight="1" s="83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 ht="15.75" customHeight="1" s="83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 ht="15.75" customHeight="1" s="83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 ht="15.75" customHeight="1" s="83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 ht="15.75" customHeight="1" s="8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 ht="15.75" customHeight="1" s="83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 ht="15.75" customHeight="1" s="83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 ht="15.75" customHeight="1" s="83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 ht="15.75" customHeight="1" s="83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 ht="15.75" customHeight="1" s="83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 ht="15.75" customHeight="1" s="83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 ht="15.75" customHeight="1" s="83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 ht="15.75" customHeight="1" s="83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 ht="15.75" customHeight="1" s="83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 ht="15.75" customHeight="1" s="8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 ht="15.75" customHeight="1" s="83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 ht="15.75" customHeight="1" s="83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 ht="15.75" customHeight="1" s="83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 ht="15.75" customHeight="1" s="83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 ht="15.75" customHeight="1" s="83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 ht="15.75" customHeight="1" s="83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 ht="15.75" customHeight="1" s="83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 ht="15.75" customHeight="1" s="83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 ht="15.75" customHeight="1" s="83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 ht="15.75" customHeight="1" s="8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 ht="15.75" customHeight="1" s="83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 ht="15.75" customHeight="1" s="83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 ht="15.75" customHeight="1" s="83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 ht="15.75" customHeight="1" s="83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 ht="15.75" customHeight="1" s="83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 ht="15.75" customHeight="1" s="83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 ht="15.75" customHeight="1" s="83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 ht="15.75" customHeight="1" s="83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 ht="15.75" customHeight="1" s="83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 ht="15.75" customHeight="1" s="8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 ht="15.75" customHeight="1" s="83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 ht="15.75" customHeight="1" s="83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 ht="15.75" customHeight="1" s="83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 ht="15.75" customHeight="1" s="83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 ht="15.75" customHeight="1" s="83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 ht="15.75" customHeight="1" s="83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 ht="15.75" customHeight="1" s="83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 ht="15.75" customHeight="1" s="83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 ht="15.75" customHeight="1" s="83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 ht="15.75" customHeight="1" s="8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 ht="15.75" customHeight="1" s="83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 ht="15.75" customHeight="1" s="83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 ht="15.75" customHeight="1" s="83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 ht="15.75" customHeight="1" s="83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 ht="15.75" customHeight="1" s="83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 ht="15.75" customHeight="1" s="83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 ht="15.75" customHeight="1" s="83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 ht="15.75" customHeight="1" s="83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 ht="15.75" customHeight="1" s="83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 ht="15.75" customHeight="1" s="8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 ht="15.75" customHeight="1" s="83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 ht="15.75" customHeight="1" s="83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 ht="15.75" customHeight="1" s="83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 ht="15.75" customHeight="1" s="83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 ht="15.75" customHeight="1" s="83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 ht="15.75" customHeight="1" s="83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 ht="15.75" customHeight="1" s="83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 ht="15.75" customHeight="1" s="83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 ht="15.75" customHeight="1" s="83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 ht="15.75" customHeight="1" s="8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 ht="15.75" customHeight="1" s="83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 ht="15.75" customHeight="1" s="83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 ht="15.75" customHeight="1" s="83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 ht="15.75" customHeight="1" s="83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 ht="15.75" customHeight="1" s="83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 ht="15.75" customHeight="1" s="83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 ht="15.75" customHeight="1" s="83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 ht="15.75" customHeight="1" s="83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 ht="15.75" customHeight="1" s="83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 ht="15.75" customHeight="1" s="8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 ht="15.75" customHeight="1" s="83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 ht="15.75" customHeight="1" s="83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 ht="15.75" customHeight="1" s="83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 ht="15.75" customHeight="1" s="83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 ht="15.75" customHeight="1" s="83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 ht="15.75" customHeight="1" s="83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 ht="15.75" customHeight="1" s="83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 ht="15.75" customHeight="1" s="83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 ht="15.75" customHeight="1" s="83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 ht="15.75" customHeight="1" s="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 ht="15.75" customHeight="1" s="83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 ht="15.75" customHeight="1" s="83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 ht="15.75" customHeight="1" s="83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 ht="15.75" customHeight="1" s="83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 ht="15.75" customHeight="1" s="83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 ht="15.75" customHeight="1" s="83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 ht="15.75" customHeight="1" s="83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 ht="15.75" customHeight="1" s="83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 ht="15.75" customHeight="1" s="83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 ht="15.75" customHeight="1" s="8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 ht="15.75" customHeight="1" s="83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 ht="15.75" customHeight="1" s="83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 ht="15.75" customHeight="1" s="83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 ht="15.75" customHeight="1" s="83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 ht="15.75" customHeight="1" s="83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 ht="15.75" customHeight="1" s="83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 ht="15.75" customHeight="1" s="83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 ht="15.75" customHeight="1" s="83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 ht="15.75" customHeight="1" s="83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 ht="15.75" customHeight="1" s="8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 ht="15.75" customHeight="1" s="83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 ht="15.75" customHeight="1" s="83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 ht="15.75" customHeight="1" s="83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 ht="15.75" customHeight="1" s="83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 ht="15.75" customHeight="1" s="83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 ht="15.75" customHeight="1" s="83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 ht="15.75" customHeight="1" s="83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 ht="15.75" customHeight="1" s="83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 ht="15.75" customHeight="1" s="83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 ht="15.75" customHeight="1" s="8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 ht="15.75" customHeight="1" s="83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 ht="15.75" customHeight="1" s="83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 ht="15.75" customHeight="1" s="83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 ht="15.75" customHeight="1" s="83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 ht="15.75" customHeight="1" s="83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 ht="15.75" customHeight="1" s="83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 ht="15.75" customHeight="1" s="83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 ht="15.75" customHeight="1" s="83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 ht="15.75" customHeight="1" s="83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 ht="15.75" customHeight="1" s="8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 ht="15.75" customHeight="1" s="83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 ht="15.75" customHeight="1" s="83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 ht="15.75" customHeight="1" s="83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 ht="15.75" customHeight="1" s="83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 ht="15.75" customHeight="1" s="83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 ht="15.75" customHeight="1" s="83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 ht="15.75" customHeight="1" s="83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 ht="15.75" customHeight="1" s="83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 ht="15.75" customHeight="1" s="83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 ht="15.75" customHeight="1" s="8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 ht="15.75" customHeight="1" s="83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 ht="15.75" customHeight="1" s="83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 ht="15.75" customHeight="1" s="83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 ht="15.75" customHeight="1" s="83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 ht="15.75" customHeight="1" s="83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 ht="15.75" customHeight="1" s="83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 ht="15.75" customHeight="1" s="83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 ht="15.75" customHeight="1" s="83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 ht="15.75" customHeight="1" s="83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 ht="15.75" customHeight="1" s="8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 ht="15.75" customHeight="1" s="83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 ht="15.75" customHeight="1" s="83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 ht="15.75" customHeight="1" s="83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 ht="15.75" customHeight="1" s="83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 ht="15.75" customHeight="1" s="83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 ht="15.75" customHeight="1" s="83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 ht="15.75" customHeight="1" s="83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 ht="15.75" customHeight="1" s="83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 ht="15.75" customHeight="1" s="83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 ht="15.75" customHeight="1" s="8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 ht="15.75" customHeight="1" s="83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 ht="15.75" customHeight="1" s="83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 ht="15.75" customHeight="1" s="83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 ht="15.75" customHeight="1" s="83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 ht="15.75" customHeight="1" s="83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 ht="15.75" customHeight="1" s="83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 ht="15.75" customHeight="1" s="83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 ht="15.75" customHeight="1" s="83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 ht="15.75" customHeight="1" s="83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 ht="15.75" customHeight="1" s="8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 ht="15.75" customHeight="1" s="83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 ht="15.75" customHeight="1" s="83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 ht="15.75" customHeight="1" s="83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 ht="15.75" customHeight="1" s="83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 ht="15.75" customHeight="1" s="83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 ht="15.75" customHeight="1" s="83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 ht="15.75" customHeight="1" s="83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 ht="15.75" customHeight="1" s="83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 ht="15.75" customHeight="1" s="83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 ht="15.75" customHeight="1" s="8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 ht="15.75" customHeight="1" s="83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 ht="15.75" customHeight="1" s="83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 ht="15.75" customHeight="1" s="83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 ht="15.75" customHeight="1" s="83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 ht="15.75" customHeight="1" s="83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 ht="15.75" customHeight="1" s="83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 ht="15.75" customHeight="1" s="83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 ht="15.75" customHeight="1" s="83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 ht="15.75" customHeight="1" s="83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 ht="15.75" customHeight="1" s="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 ht="15.75" customHeight="1" s="83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 ht="15.75" customHeight="1" s="83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 ht="15.75" customHeight="1" s="83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 ht="15.75" customHeight="1" s="83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 ht="15.75" customHeight="1" s="83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 ht="15.75" customHeight="1" s="83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 ht="15.75" customHeight="1" s="83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 ht="15.75" customHeight="1" s="83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 ht="15.75" customHeight="1" s="83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 ht="15.75" customHeight="1" s="8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 ht="15.75" customHeight="1" s="83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 ht="15.75" customHeight="1" s="83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 ht="15.75" customHeight="1" s="83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 ht="15.75" customHeight="1" s="83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 ht="15.75" customHeight="1" s="83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 ht="15.75" customHeight="1" s="83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 ht="15.75" customHeight="1" s="83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 ht="15.75" customHeight="1" s="83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 ht="15.75" customHeight="1" s="83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 ht="15.75" customHeight="1" s="8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 ht="15.75" customHeight="1" s="83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 ht="15.75" customHeight="1" s="83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 ht="15.75" customHeight="1" s="83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 ht="15.75" customHeight="1" s="83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 ht="15.75" customHeight="1" s="83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 ht="15.75" customHeight="1" s="83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 ht="15.75" customHeight="1" s="83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 ht="15.75" customHeight="1" s="83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 ht="15.75" customHeight="1" s="83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 ht="15.75" customHeight="1" s="8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 ht="15.75" customHeight="1" s="83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 ht="15.75" customHeight="1" s="83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 ht="15.75" customHeight="1" s="83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 ht="15.75" customHeight="1" s="83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 ht="15.75" customHeight="1" s="83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 ht="15.75" customHeight="1" s="83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 ht="15.75" customHeight="1" s="83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 ht="15.75" customHeight="1" s="83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 ht="15.75" customHeight="1" s="83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 ht="15.75" customHeight="1" s="8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 ht="15.75" customHeight="1" s="83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 ht="15.75" customHeight="1" s="83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 ht="15.75" customHeight="1" s="83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 ht="15.75" customHeight="1" s="83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 ht="15.75" customHeight="1" s="83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 ht="15.75" customHeight="1" s="83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 ht="15.75" customHeight="1" s="83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 ht="15.75" customHeight="1" s="83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 ht="15.75" customHeight="1" s="83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 ht="15.75" customHeight="1" s="8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 ht="15.75" customHeight="1" s="83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 ht="15.75" customHeight="1" s="83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 ht="15.75" customHeight="1" s="83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 ht="15.75" customHeight="1" s="83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 ht="15.75" customHeight="1" s="83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 ht="15.75" customHeight="1" s="83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 ht="15.75" customHeight="1" s="83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 ht="15.75" customHeight="1" s="83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 ht="15.75" customHeight="1" s="83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 ht="15.75" customHeight="1" s="8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 ht="15.75" customHeight="1" s="83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 ht="15.75" customHeight="1" s="83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 ht="15.75" customHeight="1" s="83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 ht="15.75" customHeight="1" s="83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 ht="15.75" customHeight="1" s="83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 ht="15.75" customHeight="1" s="83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 ht="15.75" customHeight="1" s="83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 ht="15.75" customHeight="1" s="83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 ht="15.75" customHeight="1" s="83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 ht="15.75" customHeight="1" s="8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 ht="15.75" customHeight="1" s="83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 ht="15.75" customHeight="1" s="83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 ht="15.75" customHeight="1" s="83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 ht="15.75" customHeight="1" s="83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 ht="15.75" customHeight="1" s="83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 ht="15.75" customHeight="1" s="83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 ht="15.75" customHeight="1" s="83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 ht="15.75" customHeight="1" s="83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 ht="15.75" customHeight="1" s="83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 ht="15.75" customHeight="1" s="8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 ht="15.75" customHeight="1" s="83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 ht="15.75" customHeight="1" s="83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 ht="15.75" customHeight="1" s="83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 ht="15.75" customHeight="1" s="83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 ht="15.75" customHeight="1" s="83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 ht="15.75" customHeight="1" s="83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 ht="15.75" customHeight="1" s="83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 ht="15.75" customHeight="1" s="83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 ht="15.75" customHeight="1" s="83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 ht="15.75" customHeight="1" s="8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 ht="15.75" customHeight="1" s="83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 ht="15.75" customHeight="1" s="83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 ht="15.75" customHeight="1" s="83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 ht="15.75" customHeight="1" s="83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 ht="15.75" customHeight="1" s="83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 ht="15.75" customHeight="1" s="83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 ht="15.75" customHeight="1" s="83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 ht="15.75" customHeight="1" s="83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 ht="15.75" customHeight="1" s="83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 ht="15.75" customHeight="1" s="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 ht="15.75" customHeight="1" s="83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 ht="15.75" customHeight="1" s="83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 ht="15.75" customHeight="1" s="83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 ht="15.75" customHeight="1" s="83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 ht="15.75" customHeight="1" s="83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 ht="15.75" customHeight="1" s="83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 ht="15.75" customHeight="1" s="83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 ht="15.75" customHeight="1" s="83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 ht="15.75" customHeight="1" s="83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 ht="15.75" customHeight="1" s="8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 ht="15.75" customHeight="1" s="83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 ht="15.75" customHeight="1" s="83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 ht="15.75" customHeight="1" s="83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 ht="15.75" customHeight="1" s="83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 ht="15.75" customHeight="1" s="83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 ht="15.75" customHeight="1" s="83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 ht="15.75" customHeight="1" s="83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 ht="15.75" customHeight="1" s="83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 ht="15.75" customHeight="1" s="83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 ht="15.75" customHeight="1" s="8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 ht="15.75" customHeight="1" s="83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 ht="15.75" customHeight="1" s="83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 ht="15.75" customHeight="1" s="83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 ht="15.75" customHeight="1" s="83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 ht="15.75" customHeight="1" s="83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 ht="15.75" customHeight="1" s="83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 ht="15.75" customHeight="1" s="83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 ht="15.75" customHeight="1" s="83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 ht="15.75" customHeight="1" s="83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 ht="15.75" customHeight="1" s="8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 ht="15.75" customHeight="1" s="83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 ht="15.75" customHeight="1" s="83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 ht="15.75" customHeight="1" s="83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 ht="15.75" customHeight="1" s="83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 ht="15.75" customHeight="1" s="83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 ht="15.75" customHeight="1" s="83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 ht="15.75" customHeight="1" s="83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 ht="15.75" customHeight="1" s="83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 ht="15.75" customHeight="1" s="83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 ht="15.75" customHeight="1" s="8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 ht="15.75" customHeight="1" s="83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 ht="15.75" customHeight="1" s="83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 ht="15.75" customHeight="1" s="83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 ht="15.75" customHeight="1" s="83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 ht="15.75" customHeight="1" s="83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 ht="15.75" customHeight="1" s="83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 ht="15.75" customHeight="1" s="83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 ht="15.75" customHeight="1" s="83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 ht="15.75" customHeight="1" s="83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 ht="15.75" customHeight="1" s="8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 ht="15.75" customHeight="1" s="83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 ht="15.75" customHeight="1" s="83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 ht="15.75" customHeight="1" s="83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 ht="15.75" customHeight="1" s="83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 ht="15.75" customHeight="1" s="83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 ht="15.75" customHeight="1" s="83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 ht="15.75" customHeight="1" s="83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 ht="15.75" customHeight="1" s="83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 ht="15.75" customHeight="1" s="83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 ht="15.75" customHeight="1" s="8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 ht="15.75" customHeight="1" s="83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 ht="15.75" customHeight="1" s="83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 ht="15.75" customHeight="1" s="83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 ht="15.75" customHeight="1" s="83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 ht="15.75" customHeight="1" s="83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 ht="15.75" customHeight="1" s="83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 ht="15.75" customHeight="1" s="83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 ht="15.75" customHeight="1" s="83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 ht="15.75" customHeight="1" s="83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 ht="15.75" customHeight="1" s="8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 ht="15.75" customHeight="1" s="83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 ht="15.75" customHeight="1" s="83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 ht="15.75" customHeight="1" s="83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 ht="15.75" customHeight="1" s="83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 ht="15.75" customHeight="1" s="83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 ht="15.75" customHeight="1" s="83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 ht="15.75" customHeight="1" s="83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 ht="15.75" customHeight="1" s="83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 ht="15.75" customHeight="1" s="83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 ht="15.75" customHeight="1" s="8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 ht="15.75" customHeight="1" s="83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 ht="15.75" customHeight="1" s="83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 ht="15.75" customHeight="1" s="83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 ht="15.75" customHeight="1" s="83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 ht="15.75" customHeight="1" s="83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 ht="15.75" customHeight="1" s="83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 ht="15.75" customHeight="1" s="83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 ht="15.75" customHeight="1" s="83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 ht="15.75" customHeight="1" s="83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 ht="15.75" customHeight="1" s="8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 ht="15.75" customHeight="1" s="83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 ht="15.75" customHeight="1" s="83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 ht="15.75" customHeight="1" s="83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 ht="15.75" customHeight="1" s="83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 ht="15.75" customHeight="1" s="83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 ht="15.75" customHeight="1" s="83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 ht="15.75" customHeight="1" s="83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 ht="15.75" customHeight="1" s="83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 ht="15.75" customHeight="1" s="83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 ht="15.75" customHeight="1" s="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 ht="15.75" customHeight="1" s="83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 ht="15.75" customHeight="1" s="83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 ht="15.75" customHeight="1" s="83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 ht="15.75" customHeight="1" s="83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 ht="15.75" customHeight="1" s="83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 ht="15.75" customHeight="1" s="83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 ht="15.75" customHeight="1" s="83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 ht="15.75" customHeight="1" s="83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 ht="15.75" customHeight="1" s="83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 ht="15.75" customHeight="1" s="8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 ht="15.75" customHeight="1" s="83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 ht="15.75" customHeight="1" s="83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 ht="15.75" customHeight="1" s="83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 ht="15.75" customHeight="1" s="83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 ht="15.75" customHeight="1" s="83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 ht="15.75" customHeight="1" s="83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 ht="15.75" customHeight="1" s="83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 ht="15.75" customHeight="1" s="83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 ht="15.75" customHeight="1" s="83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 ht="15.75" customHeight="1" s="8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 ht="15.75" customHeight="1" s="83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 ht="15.75" customHeight="1" s="83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 ht="15.75" customHeight="1" s="83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 ht="15.75" customHeight="1" s="83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 ht="15.75" customHeight="1" s="83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 ht="15.75" customHeight="1" s="83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 ht="15.75" customHeight="1" s="83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 ht="15.75" customHeight="1" s="83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 ht="15.75" customHeight="1" s="83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 ht="15.75" customHeight="1" s="8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 ht="15.75" customHeight="1" s="83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 ht="15.75" customHeight="1" s="83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 ht="15.75" customHeight="1" s="83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 ht="15.75" customHeight="1" s="83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 ht="15.75" customHeight="1" s="83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 ht="15.75" customHeight="1" s="83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 ht="15.75" customHeight="1" s="83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 ht="15.75" customHeight="1" s="83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 ht="15.75" customHeight="1" s="83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 ht="15.75" customHeight="1" s="8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 ht="15.75" customHeight="1" s="83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 ht="15.75" customHeight="1" s="83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 ht="15.75" customHeight="1" s="83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 ht="15.75" customHeight="1" s="83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 ht="15.75" customHeight="1" s="83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 ht="15.75" customHeight="1" s="83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 ht="15.75" customHeight="1" s="83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 ht="15.75" customHeight="1" s="83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 ht="15.75" customHeight="1" s="83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 ht="15.75" customHeight="1" s="8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 ht="15.75" customHeight="1" s="83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 ht="15.75" customHeight="1" s="83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 ht="15.75" customHeight="1" s="83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 ht="15.75" customHeight="1" s="83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 ht="15.75" customHeight="1" s="83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 ht="15.75" customHeight="1" s="83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 ht="15.75" customHeight="1" s="83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 ht="15.75" customHeight="1" s="83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 ht="15.75" customHeight="1" s="83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 ht="15.75" customHeight="1" s="8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 ht="15.75" customHeight="1" s="83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 ht="15.75" customHeight="1" s="83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 ht="15.75" customHeight="1" s="83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 ht="15.75" customHeight="1" s="83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 ht="15.75" customHeight="1" s="83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 ht="15.75" customHeight="1" s="83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 ht="15.75" customHeight="1" s="83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 ht="15.75" customHeight="1" s="83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 ht="15.75" customHeight="1" s="83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 ht="15.75" customHeight="1" s="8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 ht="15.75" customHeight="1" s="83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 ht="15.75" customHeight="1" s="83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 ht="15.75" customHeight="1" s="83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 ht="15.75" customHeight="1" s="83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 ht="15.75" customHeight="1" s="83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 ht="15.75" customHeight="1" s="83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 ht="15.75" customHeight="1" s="83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 ht="15.75" customHeight="1" s="83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 ht="15.75" customHeight="1" s="83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 ht="15.75" customHeight="1" s="8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 ht="15.75" customHeight="1" s="83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 ht="15.75" customHeight="1" s="83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 ht="15.75" customHeight="1" s="83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 ht="15.75" customHeight="1" s="83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 ht="15.75" customHeight="1" s="83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 ht="15.75" customHeight="1" s="83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 ht="15.75" customHeight="1" s="83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 ht="15.75" customHeight="1" s="83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 ht="15.75" customHeight="1" s="83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 ht="15.75" customHeight="1" s="8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 ht="15.75" customHeight="1" s="83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 ht="15.75" customHeight="1" s="83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 ht="15.75" customHeight="1" s="83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 ht="15.75" customHeight="1" s="83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 ht="15.75" customHeight="1" s="83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 ht="15.75" customHeight="1" s="83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 ht="15.75" customHeight="1" s="83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 ht="15.75" customHeight="1" s="83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 ht="15.75" customHeight="1" s="83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 ht="15.75" customHeight="1" s="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 ht="15.75" customHeight="1" s="83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 ht="15.75" customHeight="1" s="83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 ht="15.75" customHeight="1" s="83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 ht="15.75" customHeight="1" s="83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 ht="15.75" customHeight="1" s="83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 ht="15.75" customHeight="1" s="83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 ht="15.75" customHeight="1" s="83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 ht="15.75" customHeight="1" s="83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 ht="15.75" customHeight="1" s="83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 ht="15.75" customHeight="1" s="8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 ht="15.75" customHeight="1" s="83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 ht="15.75" customHeight="1" s="83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 ht="15.75" customHeight="1" s="83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 ht="15.75" customHeight="1" s="83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 ht="15.75" customHeight="1" s="83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 ht="15.75" customHeight="1" s="83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 ht="15.75" customHeight="1" s="83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 ht="15.75" customHeight="1" s="83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 ht="15.75" customHeight="1" s="83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 ht="15.75" customHeight="1" s="8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 ht="15.75" customHeight="1" s="83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 ht="15.75" customHeight="1" s="83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 ht="15.75" customHeight="1" s="83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 ht="15.75" customHeight="1" s="83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 ht="15.75" customHeight="1" s="83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 ht="15.75" customHeight="1" s="83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 ht="15.75" customHeight="1" s="83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 ht="15.75" customHeight="1" s="83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 ht="15.75" customHeight="1" s="83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 ht="15.75" customHeight="1" s="8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 ht="15.75" customHeight="1" s="83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 ht="15.75" customHeight="1" s="83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 ht="15.75" customHeight="1" s="83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 ht="15.75" customHeight="1" s="83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 ht="15.75" customHeight="1" s="83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 ht="15.75" customHeight="1" s="83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 ht="15.75" customHeight="1" s="83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 ht="15.75" customHeight="1" s="83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 ht="15.75" customHeight="1" s="83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 ht="15.75" customHeight="1" s="8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 ht="15.75" customHeight="1" s="83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 ht="15.75" customHeight="1" s="83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 ht="15.75" customHeight="1" s="83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 ht="15.75" customHeight="1" s="83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 ht="15.75" customHeight="1" s="83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 ht="15.75" customHeight="1" s="83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 ht="15.75" customHeight="1" s="83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 ht="15.75" customHeight="1" s="83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 ht="15.75" customHeight="1" s="83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 ht="15.75" customHeight="1" s="8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 ht="15.75" customHeight="1" s="83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 ht="15.75" customHeight="1" s="83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 ht="15.75" customHeight="1" s="83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 ht="15.75" customHeight="1" s="83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 ht="15.75" customHeight="1" s="83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 ht="15.75" customHeight="1" s="83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 ht="15.75" customHeight="1" s="83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 ht="15.75" customHeight="1" s="83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 ht="15.75" customHeight="1" s="83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 ht="15.75" customHeight="1" s="8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 ht="15.75" customHeight="1" s="83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 ht="15.75" customHeight="1" s="83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 ht="15.75" customHeight="1" s="83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 ht="15.75" customHeight="1" s="83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 ht="15.75" customHeight="1" s="83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 ht="15.75" customHeight="1" s="83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 ht="15.75" customHeight="1" s="83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 ht="15.75" customHeight="1" s="83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 ht="15.75" customHeight="1" s="83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 ht="15.75" customHeight="1" s="8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 ht="15.75" customHeight="1" s="83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 ht="15.75" customHeight="1" s="83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 ht="15.75" customHeight="1" s="83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 ht="15.75" customHeight="1" s="83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 ht="15.75" customHeight="1" s="83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 ht="15.75" customHeight="1" s="83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 ht="15.75" customHeight="1" s="83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 ht="15.75" customHeight="1" s="83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 ht="15.75" customHeight="1" s="83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 ht="15.75" customHeight="1" s="8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 ht="15.75" customHeight="1" s="83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 ht="15.75" customHeight="1" s="83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 ht="15.75" customHeight="1" s="83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 ht="15.75" customHeight="1" s="83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 ht="15.75" customHeight="1" s="83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 ht="15.75" customHeight="1" s="83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 ht="15.75" customHeight="1" s="83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 ht="15.75" customHeight="1" s="83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 ht="15.75" customHeight="1" s="83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 ht="15.75" customHeight="1" s="8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 ht="15.75" customHeight="1" s="83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 ht="15.75" customHeight="1" s="83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 ht="15.75" customHeight="1" s="83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 ht="15.75" customHeight="1" s="83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 ht="15.75" customHeight="1" s="83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 ht="15.75" customHeight="1" s="83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 ht="15.75" customHeight="1" s="83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 ht="15.75" customHeight="1" s="83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 ht="15.75" customHeight="1" s="83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 ht="15.75" customHeight="1" s="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 ht="15.75" customHeight="1" s="83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 ht="15.75" customHeight="1" s="83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 ht="15.75" customHeight="1" s="83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 ht="15.75" customHeight="1" s="83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 ht="15.75" customHeight="1" s="83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 ht="15.75" customHeight="1" s="83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 ht="15.75" customHeight="1" s="83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 ht="15.75" customHeight="1" s="83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 ht="15.75" customHeight="1" s="83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 ht="15.75" customHeight="1" s="8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 ht="15.75" customHeight="1" s="83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 ht="15.75" customHeight="1" s="83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 ht="15.75" customHeight="1" s="83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 ht="15.75" customHeight="1" s="83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 ht="15.75" customHeight="1" s="83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 ht="15.75" customHeight="1" s="83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 ht="15.75" customHeight="1" s="83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 ht="15.75" customHeight="1" s="83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 ht="15.75" customHeight="1" s="83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 ht="15.75" customHeight="1" s="8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 ht="15.75" customHeight="1" s="83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 ht="15.75" customHeight="1" s="83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 ht="15.75" customHeight="1" s="83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 ht="15.75" customHeight="1" s="83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 ht="15.75" customHeight="1" s="83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 ht="15.75" customHeight="1" s="83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 ht="15.75" customHeight="1" s="83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 ht="15.75" customHeight="1" s="83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 ht="15.75" customHeight="1" s="83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 ht="15.75" customHeight="1" s="8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 ht="15.75" customHeight="1" s="83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 ht="15.75" customHeight="1" s="83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 ht="15.75" customHeight="1" s="83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 ht="15.75" customHeight="1" s="83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 ht="15.75" customHeight="1" s="83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 ht="15.75" customHeight="1" s="83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 ht="15.75" customHeight="1" s="83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 ht="15.75" customHeight="1" s="83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 ht="15.75" customHeight="1" s="83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 ht="15.75" customHeight="1" s="8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 ht="15.75" customHeight="1" s="83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 ht="15.75" customHeight="1" s="83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 ht="15.75" customHeight="1" s="83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 ht="15.75" customHeight="1" s="83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 ht="15.75" customHeight="1" s="83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 ht="15.75" customHeight="1" s="83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 ht="15.75" customHeight="1" s="83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 ht="15.75" customHeight="1" s="83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 ht="15.75" customHeight="1" s="83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 ht="15.75" customHeight="1" s="8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 ht="15.75" customHeight="1" s="83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 ht="15.75" customHeight="1" s="83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 ht="15.75" customHeight="1" s="83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 ht="15.75" customHeight="1" s="83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 ht="15.75" customHeight="1" s="83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 ht="15.75" customHeight="1" s="83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 ht="15.75" customHeight="1" s="83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 ht="15.75" customHeight="1" s="83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 ht="15.75" customHeight="1" s="83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 ht="15.75" customHeight="1" s="8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 ht="15.75" customHeight="1" s="83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 ht="15.75" customHeight="1" s="83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 ht="15.75" customHeight="1" s="83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 ht="15.75" customHeight="1" s="83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 ht="15.75" customHeight="1" s="83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 ht="15.75" customHeight="1" s="83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 ht="15.75" customHeight="1" s="83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 ht="15.75" customHeight="1" s="83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 ht="15.75" customHeight="1" s="83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 ht="15.75" customHeight="1" s="8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 ht="15.75" customHeight="1" s="83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 ht="15.75" customHeight="1" s="83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 ht="15.75" customHeight="1" s="83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 ht="15.75" customHeight="1" s="83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 ht="15.75" customHeight="1" s="83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 ht="15.75" customHeight="1" s="83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 ht="15.75" customHeight="1" s="83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 ht="15.75" customHeight="1" s="83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 ht="15.75" customHeight="1" s="83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 ht="15.75" customHeight="1" s="8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 ht="15.75" customHeight="1" s="83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 ht="15.75" customHeight="1" s="83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 ht="15.75" customHeight="1" s="83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 ht="15.75" customHeight="1" s="83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 ht="15.75" customHeight="1" s="83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 ht="15.75" customHeight="1" s="83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 ht="15.75" customHeight="1" s="83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 ht="15.75" customHeight="1" s="83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 ht="15.75" customHeight="1" s="83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 ht="15.75" customHeight="1" s="8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 ht="15.75" customHeight="1" s="83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 ht="15.75" customHeight="1" s="83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 ht="15.75" customHeight="1" s="83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 ht="15.75" customHeight="1" s="83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 ht="15.75" customHeight="1" s="83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 ht="15.75" customHeight="1" s="83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 ht="15.75" customHeight="1" s="83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 ht="15.75" customHeight="1" s="83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 ht="15.75" customHeight="1" s="83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 ht="15.75" customHeight="1" s="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 ht="15.75" customHeight="1" s="83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 ht="15.75" customHeight="1" s="83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 ht="15.75" customHeight="1" s="83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 ht="15.75" customHeight="1" s="83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 ht="15.75" customHeight="1" s="83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 ht="15.75" customHeight="1" s="83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 ht="15.75" customHeight="1" s="83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 ht="15.75" customHeight="1" s="83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 ht="15.75" customHeight="1" s="83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 ht="15.75" customHeight="1" s="8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 ht="15.75" customHeight="1" s="83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 ht="15.75" customHeight="1" s="83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 ht="15.75" customHeight="1" s="83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 ht="15.75" customHeight="1" s="83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 ht="15.75" customHeight="1" s="83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 ht="15.75" customHeight="1" s="83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 ht="15.75" customHeight="1" s="83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tabColor rgb="00E4E7EC"/>
    <outlinePr summaryBelow="0" summaryRight="0"/>
    <pageSetUpPr/>
  </sheetPr>
  <dimension ref="A1:M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4.43" defaultRowHeight="15" customHeight="1"/>
  <cols>
    <col width="21.71" customWidth="1" style="83" min="4" max="4"/>
    <col width="20.57" customWidth="1" style="83" min="6" max="6"/>
    <col width="29.86" customWidth="1" style="83" min="7" max="7"/>
    <col width="24.29" customWidth="1" style="83" min="8" max="8"/>
    <col width="41.14" customWidth="1" style="83" min="9" max="9"/>
    <col width="18.71" customWidth="1" style="83" min="10" max="10"/>
    <col width="17.71" customWidth="1" style="83" min="11" max="11"/>
    <col width="29.71" customWidth="1" style="83" min="12" max="12"/>
  </cols>
  <sheetData>
    <row r="1" ht="26" customHeight="1" s="83">
      <c r="A1" s="203" t="inlineStr">
        <is>
          <t>Recruiter Name</t>
        </is>
      </c>
      <c r="B1" s="203" t="inlineStr">
        <is>
          <t>Date</t>
        </is>
      </c>
      <c r="C1" s="203" t="inlineStr">
        <is>
          <t>Month</t>
        </is>
      </c>
      <c r="D1" s="203" t="inlineStr">
        <is>
          <t>Candidate Name</t>
        </is>
      </c>
      <c r="E1" s="203" t="inlineStr">
        <is>
          <t>Contact Number</t>
        </is>
      </c>
      <c r="F1" s="203" t="inlineStr">
        <is>
          <t>Current Location</t>
        </is>
      </c>
      <c r="G1" s="203" t="inlineStr">
        <is>
          <t>Req Title</t>
        </is>
      </c>
      <c r="H1" s="203" t="inlineStr">
        <is>
          <t>Screening Status</t>
        </is>
      </c>
      <c r="I1" s="203" t="inlineStr">
        <is>
          <t>Comments</t>
        </is>
      </c>
      <c r="J1" s="203" t="inlineStr">
        <is>
          <t>Current Salary</t>
        </is>
      </c>
      <c r="K1" s="203" t="inlineStr">
        <is>
          <t>Expected Salary</t>
        </is>
      </c>
      <c r="L1" s="203" t="inlineStr">
        <is>
          <t>NP</t>
        </is>
      </c>
      <c r="M1" s="204" t="inlineStr">
        <is>
          <t>Additional Notes</t>
        </is>
      </c>
    </row>
    <row r="2">
      <c r="A2" s="80" t="inlineStr">
        <is>
          <t>Sarath</t>
        </is>
      </c>
      <c r="B2" s="10" t="n">
        <v>46247</v>
      </c>
      <c r="C2" s="80" t="inlineStr">
        <is>
          <t>August</t>
        </is>
      </c>
      <c r="D2" s="80" t="inlineStr">
        <is>
          <t>Sibiraj Munirathinam</t>
        </is>
      </c>
      <c r="E2" s="80" t="n">
        <v>8667747225</v>
      </c>
      <c r="F2" s="80" t="inlineStr">
        <is>
          <t>Chennai</t>
        </is>
      </c>
      <c r="G2" s="80" t="inlineStr">
        <is>
          <t>Full Stack Developer</t>
        </is>
      </c>
      <c r="H2" s="49" t="inlineStr">
        <is>
          <t>ZN Submission</t>
        </is>
      </c>
      <c r="I2" s="80" t="inlineStr">
        <is>
          <t>Client Review</t>
        </is>
      </c>
      <c r="J2" s="80" t="inlineStr">
        <is>
          <t>9 LPA</t>
        </is>
      </c>
      <c r="K2" s="80" t="inlineStr">
        <is>
          <t>12 LPA</t>
        </is>
      </c>
      <c r="L2" s="80" t="inlineStr">
        <is>
          <t>Immediate</t>
        </is>
      </c>
    </row>
    <row r="3">
      <c r="A3" s="80" t="inlineStr">
        <is>
          <t>Sarath</t>
        </is>
      </c>
      <c r="B3" s="10" t="n">
        <v>46247</v>
      </c>
      <c r="C3" s="80" t="inlineStr">
        <is>
          <t>August</t>
        </is>
      </c>
      <c r="D3" s="80" t="inlineStr">
        <is>
          <t>Karthik Kumar</t>
        </is>
      </c>
      <c r="E3" s="80" t="n">
        <v>8144847070</v>
      </c>
      <c r="F3" s="80" t="inlineStr">
        <is>
          <t>Chennai</t>
        </is>
      </c>
      <c r="G3" s="80" t="inlineStr">
        <is>
          <t>Full Stack Developer</t>
        </is>
      </c>
      <c r="H3" s="49" t="inlineStr">
        <is>
          <t>Telephonic Screening</t>
        </is>
      </c>
      <c r="I3" s="80" t="inlineStr">
        <is>
          <t>Hold</t>
        </is>
      </c>
      <c r="J3" s="80" t="inlineStr">
        <is>
          <t>6.69 LPA</t>
        </is>
      </c>
      <c r="K3" s="80" t="inlineStr">
        <is>
          <t>12 LPA</t>
        </is>
      </c>
      <c r="L3" s="80" t="inlineStr">
        <is>
          <t>1 Week(LWD 19th Aug)</t>
        </is>
      </c>
    </row>
    <row r="4">
      <c r="A4" s="80" t="inlineStr">
        <is>
          <t>Sarath</t>
        </is>
      </c>
      <c r="B4" s="10" t="n">
        <v>46247</v>
      </c>
      <c r="C4" s="80" t="inlineStr">
        <is>
          <t>August</t>
        </is>
      </c>
      <c r="D4" s="80" t="inlineStr">
        <is>
          <t>Rogesh</t>
        </is>
      </c>
      <c r="E4" s="80" t="n">
        <v>7867884456</v>
      </c>
      <c r="F4" s="80" t="inlineStr">
        <is>
          <t>Chennai</t>
        </is>
      </c>
      <c r="G4" s="80" t="inlineStr">
        <is>
          <t>Full Stack Developer</t>
        </is>
      </c>
      <c r="H4" s="49" t="inlineStr">
        <is>
          <t>Telephonic Screening</t>
        </is>
      </c>
      <c r="I4" s="80" t="inlineStr">
        <is>
          <t>Hold</t>
        </is>
      </c>
      <c r="J4" s="80" t="inlineStr">
        <is>
          <t>4 LPA</t>
        </is>
      </c>
      <c r="K4" s="80" t="inlineStr">
        <is>
          <t>8 LPA</t>
        </is>
      </c>
      <c r="L4" s="80" t="inlineStr">
        <is>
          <t>20 Days(LWD 4th Sep)</t>
        </is>
      </c>
    </row>
    <row r="5">
      <c r="A5" s="80" t="inlineStr">
        <is>
          <t>Sarath</t>
        </is>
      </c>
      <c r="B5" s="10" t="n">
        <v>46247</v>
      </c>
      <c r="C5" s="80" t="inlineStr">
        <is>
          <t>August</t>
        </is>
      </c>
      <c r="D5" s="80" t="inlineStr">
        <is>
          <t>Malaikkannan</t>
        </is>
      </c>
      <c r="E5" s="23" t="n">
        <v>9025190373</v>
      </c>
      <c r="F5" s="80" t="inlineStr">
        <is>
          <t>Chennai</t>
        </is>
      </c>
      <c r="G5" s="80" t="inlineStr">
        <is>
          <t>Full Stack Developer</t>
        </is>
      </c>
      <c r="H5" s="49" t="inlineStr">
        <is>
          <t>Telephonic Screening</t>
        </is>
      </c>
      <c r="I5" s="80" t="inlineStr">
        <is>
          <t>Already Zeronorth processed</t>
        </is>
      </c>
    </row>
    <row r="6">
      <c r="A6" s="80" t="inlineStr">
        <is>
          <t>Sarath</t>
        </is>
      </c>
      <c r="B6" s="10" t="n">
        <v>46247</v>
      </c>
      <c r="C6" s="80" t="inlineStr">
        <is>
          <t>August</t>
        </is>
      </c>
      <c r="D6" s="80" t="inlineStr">
        <is>
          <t>Mubbanthal Surya</t>
        </is>
      </c>
      <c r="E6" s="80" t="inlineStr">
        <is>
          <t>91598 04806</t>
        </is>
      </c>
      <c r="F6" s="80" t="inlineStr">
        <is>
          <t>Chennai</t>
        </is>
      </c>
      <c r="G6" s="80" t="inlineStr">
        <is>
          <t>Full Stack Developer</t>
        </is>
      </c>
      <c r="H6" s="49" t="inlineStr">
        <is>
          <t>ZN Submission</t>
        </is>
      </c>
      <c r="I6" s="80" t="inlineStr">
        <is>
          <t>Client Review</t>
        </is>
      </c>
      <c r="J6" s="80" t="inlineStr">
        <is>
          <t>6.92 LPA</t>
        </is>
      </c>
      <c r="K6" s="80" t="inlineStr">
        <is>
          <t>12 LPA</t>
        </is>
      </c>
      <c r="L6" s="80" t="inlineStr">
        <is>
          <t>1 Month(Negotiable)</t>
        </is>
      </c>
    </row>
    <row r="7">
      <c r="A7" s="80" t="inlineStr">
        <is>
          <t>Sarath</t>
        </is>
      </c>
      <c r="B7" s="10" t="n">
        <v>46247</v>
      </c>
      <c r="C7" s="80" t="inlineStr">
        <is>
          <t>August</t>
        </is>
      </c>
      <c r="D7" s="80" t="inlineStr">
        <is>
          <t>Govardhan</t>
        </is>
      </c>
      <c r="E7" s="80" t="n">
        <v>6382276063</v>
      </c>
      <c r="F7" s="80" t="inlineStr">
        <is>
          <t>Chennai</t>
        </is>
      </c>
      <c r="G7" s="80" t="inlineStr">
        <is>
          <t>Full Stack Developer</t>
        </is>
      </c>
      <c r="H7" s="49" t="inlineStr">
        <is>
          <t>ZN Submission</t>
        </is>
      </c>
      <c r="I7" s="80" t="inlineStr">
        <is>
          <t>Client Review</t>
        </is>
      </c>
      <c r="J7" s="80" t="inlineStr">
        <is>
          <t>19 LPA</t>
        </is>
      </c>
      <c r="K7" s="80" t="inlineStr">
        <is>
          <t>30 LPA(Negotiable)</t>
        </is>
      </c>
      <c r="L7" s="80" t="inlineStr">
        <is>
          <t>1 Month(LWD 15th Sep)</t>
        </is>
      </c>
    </row>
    <row r="8">
      <c r="A8" s="80" t="inlineStr">
        <is>
          <t>Rujuta</t>
        </is>
      </c>
      <c r="B8" s="10" t="n">
        <v>46247</v>
      </c>
      <c r="C8" s="80" t="inlineStr">
        <is>
          <t>August</t>
        </is>
      </c>
      <c r="D8" s="80" t="inlineStr">
        <is>
          <t>Saravana Ganesh S</t>
        </is>
      </c>
      <c r="E8" s="80" t="n">
        <v>8903327739</v>
      </c>
      <c r="F8" s="80" t="inlineStr">
        <is>
          <t>Chennai</t>
        </is>
      </c>
      <c r="G8" s="80" t="inlineStr">
        <is>
          <t>Full Stack Developer</t>
        </is>
      </c>
      <c r="H8" s="49" t="inlineStr">
        <is>
          <t>ZN Submission</t>
        </is>
      </c>
      <c r="I8" s="80" t="inlineStr">
        <is>
          <t>Client Review</t>
        </is>
      </c>
      <c r="J8" s="80" t="inlineStr">
        <is>
          <t>15 LPA</t>
        </is>
      </c>
      <c r="K8" s="80" t="inlineStr">
        <is>
          <t>20 LPA</t>
        </is>
      </c>
      <c r="L8" s="80" t="inlineStr">
        <is>
          <t>30 days</t>
        </is>
      </c>
    </row>
    <row r="9">
      <c r="A9" s="80" t="inlineStr">
        <is>
          <t>Rujuta</t>
        </is>
      </c>
      <c r="B9" s="10" t="n">
        <v>46247</v>
      </c>
      <c r="C9" s="80" t="inlineStr">
        <is>
          <t>August</t>
        </is>
      </c>
      <c r="D9" s="80" t="inlineStr">
        <is>
          <t>S Naveen Kumar</t>
        </is>
      </c>
      <c r="E9" s="80" t="n">
        <v>8883179174</v>
      </c>
      <c r="F9" s="80" t="inlineStr">
        <is>
          <t>Bengaluru</t>
        </is>
      </c>
      <c r="G9" s="80" t="inlineStr">
        <is>
          <t>Full Stack Developer</t>
        </is>
      </c>
      <c r="H9" s="49" t="inlineStr">
        <is>
          <t>Telephonic Screening</t>
        </is>
      </c>
      <c r="I9" s="80" t="inlineStr">
        <is>
          <t>Have experience in NEST.JS not in node.js</t>
        </is>
      </c>
    </row>
    <row r="10">
      <c r="A10" s="80" t="inlineStr">
        <is>
          <t>Rujuta</t>
        </is>
      </c>
      <c r="B10" s="10" t="n">
        <v>46247</v>
      </c>
      <c r="C10" s="80" t="inlineStr">
        <is>
          <t>August</t>
        </is>
      </c>
      <c r="D10" s="80" t="inlineStr">
        <is>
          <t>Kishore M</t>
        </is>
      </c>
      <c r="E10" s="80" t="n">
        <v>8098135709</v>
      </c>
      <c r="F10" s="80" t="inlineStr">
        <is>
          <t>Chennai</t>
        </is>
      </c>
      <c r="G10" s="80" t="inlineStr">
        <is>
          <t>Full Stack Developer</t>
        </is>
      </c>
      <c r="H10" s="49" t="inlineStr">
        <is>
          <t>Telephonic Screening</t>
        </is>
      </c>
      <c r="I10" s="80" t="inlineStr">
        <is>
          <t>He will give a call in 10 min</t>
        </is>
      </c>
    </row>
    <row r="11">
      <c r="A11" s="80" t="inlineStr">
        <is>
          <t>Vandana</t>
        </is>
      </c>
      <c r="B11" s="10" t="n">
        <v>46247</v>
      </c>
      <c r="C11" s="80" t="inlineStr">
        <is>
          <t>August</t>
        </is>
      </c>
      <c r="D11" s="80" t="inlineStr">
        <is>
          <t>Hariprakash</t>
        </is>
      </c>
      <c r="E11" s="80" t="n">
        <v>9566602010</v>
      </c>
      <c r="F11" s="80" t="inlineStr">
        <is>
          <t>Velachery</t>
        </is>
      </c>
      <c r="G11" s="80" t="inlineStr">
        <is>
          <t>Full Stack Developer</t>
        </is>
      </c>
      <c r="H11" s="49" t="inlineStr">
        <is>
          <t>ZN Submission</t>
        </is>
      </c>
      <c r="I11" s="80" t="inlineStr">
        <is>
          <t>Jd sent, waiting for acknowlegment.</t>
        </is>
      </c>
      <c r="J11" s="80" t="inlineStr">
        <is>
          <t>13.13LPA</t>
        </is>
      </c>
      <c r="K11" s="80" t="inlineStr">
        <is>
          <t>22LPA</t>
        </is>
      </c>
      <c r="L11" s="80" t="inlineStr">
        <is>
          <t>60 days(30 days)</t>
        </is>
      </c>
    </row>
    <row r="12">
      <c r="A12" s="80" t="inlineStr">
        <is>
          <t>Ananthy</t>
        </is>
      </c>
      <c r="B12" s="10" t="n">
        <v>46247</v>
      </c>
      <c r="C12" s="80" t="inlineStr">
        <is>
          <t>August</t>
        </is>
      </c>
      <c r="D12" s="80" t="inlineStr">
        <is>
          <t>Suriya</t>
        </is>
      </c>
      <c r="E12" s="80" t="n">
        <v>8072901628</v>
      </c>
      <c r="F12" s="80" t="inlineStr">
        <is>
          <t>Chennai</t>
        </is>
      </c>
      <c r="G12" s="80" t="inlineStr">
        <is>
          <t>Full Stack Developer</t>
        </is>
      </c>
      <c r="H12" s="49" t="inlineStr">
        <is>
          <t>Telephonic Screening</t>
        </is>
      </c>
      <c r="I12" s="80" t="inlineStr">
        <is>
          <t>Already have an offer</t>
        </is>
      </c>
    </row>
    <row r="13">
      <c r="A13" s="80" t="inlineStr">
        <is>
          <t>Ananthy</t>
        </is>
      </c>
      <c r="B13" s="10" t="n">
        <v>46247</v>
      </c>
      <c r="C13" s="80" t="inlineStr">
        <is>
          <t>August</t>
        </is>
      </c>
      <c r="D13" s="80" t="inlineStr">
        <is>
          <t>Prashanth S</t>
        </is>
      </c>
      <c r="E13" s="80" t="n">
        <v>8675642703</v>
      </c>
      <c r="G13" s="80" t="inlineStr">
        <is>
          <t>Full Stack Developer</t>
        </is>
      </c>
      <c r="H13" s="49" t="inlineStr">
        <is>
          <t>Telephonic Screening</t>
        </is>
      </c>
      <c r="I13" s="80" t="inlineStr">
        <is>
          <t>No response dropped a message</t>
        </is>
      </c>
    </row>
    <row r="14">
      <c r="A14" s="80" t="inlineStr">
        <is>
          <t>Rujuta</t>
        </is>
      </c>
      <c r="B14" s="10" t="n">
        <v>46247</v>
      </c>
      <c r="C14" s="80" t="inlineStr">
        <is>
          <t>August</t>
        </is>
      </c>
      <c r="D14" s="80" t="inlineStr">
        <is>
          <t>Jayaselva Manikannan</t>
        </is>
      </c>
      <c r="E14" s="80" t="n">
        <v>9445619563</v>
      </c>
      <c r="F14" s="80" t="inlineStr">
        <is>
          <t>Chennai</t>
        </is>
      </c>
      <c r="G14" s="80" t="inlineStr">
        <is>
          <t>Full Stack Developer</t>
        </is>
      </c>
      <c r="H14" s="49" t="inlineStr">
        <is>
          <t>ZN Submission</t>
        </is>
      </c>
      <c r="I14" s="80" t="inlineStr">
        <is>
          <t>Client Review</t>
        </is>
      </c>
      <c r="J14" s="80" t="inlineStr">
        <is>
          <t>17 LPA</t>
        </is>
      </c>
      <c r="K14" s="80" t="inlineStr">
        <is>
          <t>18 LPA</t>
        </is>
      </c>
      <c r="L14" s="80" t="inlineStr">
        <is>
          <t>Immediate</t>
        </is>
      </c>
    </row>
    <row r="15">
      <c r="A15" s="80" t="inlineStr">
        <is>
          <t>Ananthy</t>
        </is>
      </c>
      <c r="B15" s="10" t="n">
        <v>46247</v>
      </c>
      <c r="C15" s="80" t="inlineStr">
        <is>
          <t>August</t>
        </is>
      </c>
      <c r="D15" s="80" t="inlineStr">
        <is>
          <t>Rishi Kumar</t>
        </is>
      </c>
      <c r="E15" s="80" t="n">
        <v>8675642703</v>
      </c>
      <c r="F15" s="80" t="inlineStr">
        <is>
          <t>Chennai</t>
        </is>
      </c>
      <c r="G15" s="80" t="inlineStr">
        <is>
          <t>Full Stack Developer</t>
        </is>
      </c>
      <c r="H15" s="49" t="inlineStr">
        <is>
          <t>Telephonic Screening</t>
        </is>
      </c>
      <c r="I15" s="80" t="inlineStr">
        <is>
          <t>No response dropped a message</t>
        </is>
      </c>
    </row>
    <row r="16">
      <c r="A16" s="80" t="inlineStr">
        <is>
          <t>Ananthy</t>
        </is>
      </c>
      <c r="B16" s="10" t="n">
        <v>46247</v>
      </c>
      <c r="C16" s="80" t="inlineStr">
        <is>
          <t>August</t>
        </is>
      </c>
      <c r="D16" s="80" t="inlineStr">
        <is>
          <t>Vinothkumar K</t>
        </is>
      </c>
      <c r="E16" s="80" t="n">
        <v>8344667595</v>
      </c>
      <c r="F16" s="80" t="inlineStr">
        <is>
          <t>Chennai</t>
        </is>
      </c>
      <c r="G16" s="80" t="inlineStr">
        <is>
          <t>Full Stack Developer</t>
        </is>
      </c>
      <c r="H16" s="49" t="inlineStr">
        <is>
          <t>Telephonic Screening</t>
        </is>
      </c>
      <c r="I16" s="80" t="inlineStr">
        <is>
          <t>No response dropped a message</t>
        </is>
      </c>
    </row>
    <row r="17">
      <c r="A17" s="80" t="inlineStr">
        <is>
          <t>Ananthy</t>
        </is>
      </c>
      <c r="B17" s="10" t="n">
        <v>46247</v>
      </c>
      <c r="C17" s="80" t="inlineStr">
        <is>
          <t>August</t>
        </is>
      </c>
      <c r="D17" s="80" t="inlineStr">
        <is>
          <t>Yuva Charan Reddy Durgam</t>
        </is>
      </c>
      <c r="E17" s="80" t="n">
        <v>9642042370</v>
      </c>
      <c r="F17" s="80" t="inlineStr">
        <is>
          <t>Tirupati</t>
        </is>
      </c>
      <c r="G17" s="80" t="inlineStr">
        <is>
          <t xml:space="preserve">Full Stack Lead </t>
        </is>
      </c>
      <c r="H17" s="49" t="inlineStr">
        <is>
          <t>ZN Submission</t>
        </is>
      </c>
      <c r="I17" s="80" t="inlineStr">
        <is>
          <t>Client Review</t>
        </is>
      </c>
      <c r="J17" s="80" t="inlineStr">
        <is>
          <t>20.5 LPA</t>
        </is>
      </c>
      <c r="K17" s="80" t="inlineStr">
        <is>
          <t>35 LPA</t>
        </is>
      </c>
      <c r="L17" s="80" t="inlineStr">
        <is>
          <t xml:space="preserve">LWD - 18th Sep </t>
        </is>
      </c>
      <c r="M17" s="80" t="inlineStr">
        <is>
          <t xml:space="preserve">Holding an offer of 32 LPA </t>
        </is>
      </c>
    </row>
    <row r="18">
      <c r="A18" s="80" t="inlineStr">
        <is>
          <t xml:space="preserve">Kirthi </t>
        </is>
      </c>
      <c r="B18" s="10" t="n">
        <v>46247</v>
      </c>
      <c r="C18" s="80" t="inlineStr">
        <is>
          <t>August</t>
        </is>
      </c>
      <c r="D18" s="80" t="inlineStr">
        <is>
          <t>Srinivasan Balaji</t>
        </is>
      </c>
      <c r="E18" s="80" t="n">
        <v>9677283538</v>
      </c>
      <c r="F18" s="80" t="inlineStr">
        <is>
          <t>Taramani, Chennai</t>
        </is>
      </c>
      <c r="G18" s="80" t="inlineStr">
        <is>
          <t>Full Stack Developer</t>
        </is>
      </c>
      <c r="H18" s="49" t="inlineStr">
        <is>
          <t>Telephonic Screening</t>
        </is>
      </c>
      <c r="I18" s="80" t="inlineStr">
        <is>
          <t>Jd sent, waiting for acknowlegment.</t>
        </is>
      </c>
      <c r="J18" s="80" t="inlineStr">
        <is>
          <t>11 LPA</t>
        </is>
      </c>
      <c r="K18" s="80" t="inlineStr">
        <is>
          <t>14 LPA</t>
        </is>
      </c>
      <c r="L18" s="80" t="inlineStr">
        <is>
          <t>Serving notice (LWD- 6 Sept)</t>
        </is>
      </c>
    </row>
    <row r="19">
      <c r="A19" s="80" t="inlineStr">
        <is>
          <t xml:space="preserve">Kirthi </t>
        </is>
      </c>
      <c r="B19" s="10" t="n">
        <v>46247</v>
      </c>
      <c r="C19" s="80" t="inlineStr">
        <is>
          <t>August</t>
        </is>
      </c>
      <c r="D19" s="80" t="inlineStr">
        <is>
          <t>Sivasakthi Paramasivam</t>
        </is>
      </c>
      <c r="E19" s="34" t="inlineStr">
        <is>
          <t>90253 18113</t>
        </is>
      </c>
      <c r="G19" s="80" t="inlineStr">
        <is>
          <t>Full Stack Developer</t>
        </is>
      </c>
      <c r="H19" s="49" t="inlineStr">
        <is>
          <t>Telephonic Screening</t>
        </is>
      </c>
    </row>
    <row r="20">
      <c r="A20" s="80" t="inlineStr">
        <is>
          <t>Vandana</t>
        </is>
      </c>
      <c r="B20" s="10" t="n">
        <v>46247</v>
      </c>
      <c r="C20" s="80" t="inlineStr">
        <is>
          <t>August</t>
        </is>
      </c>
      <c r="D20" s="80" t="inlineStr">
        <is>
          <t>Porselvan subramanian</t>
        </is>
      </c>
      <c r="E20" s="80" t="n">
        <v>9087303711</v>
      </c>
      <c r="F20" s="80" t="inlineStr">
        <is>
          <t>Chennai</t>
        </is>
      </c>
      <c r="G20" s="80" t="inlineStr">
        <is>
          <t>Full Stack Developer</t>
        </is>
      </c>
      <c r="H20" s="49" t="inlineStr">
        <is>
          <t>Telephonic Screening</t>
        </is>
      </c>
      <c r="I20" s="80" t="inlineStr">
        <is>
          <t>JD sent awaiting response</t>
        </is>
      </c>
      <c r="J20" s="80" t="inlineStr">
        <is>
          <t>13.5 lpa</t>
        </is>
      </c>
      <c r="K20" s="80" t="inlineStr">
        <is>
          <t>22 LPA</t>
        </is>
      </c>
      <c r="L20" s="80" t="inlineStr">
        <is>
          <t>60 days(30 days)</t>
        </is>
      </c>
      <c r="M20" s="80" t="inlineStr">
        <is>
          <t>Fri 11-6pm,mon 11-6pm</t>
        </is>
      </c>
    </row>
    <row r="21">
      <c r="A21" s="80" t="inlineStr">
        <is>
          <t>Ananthy</t>
        </is>
      </c>
      <c r="B21" s="10" t="n">
        <v>46247</v>
      </c>
      <c r="C21" s="80" t="inlineStr">
        <is>
          <t>August</t>
        </is>
      </c>
      <c r="D21" s="80" t="inlineStr">
        <is>
          <t>M.Navin Kumar</t>
        </is>
      </c>
      <c r="E21" s="80" t="n">
        <v>9486169060</v>
      </c>
      <c r="F21" s="80" t="inlineStr">
        <is>
          <t>Coimbatore</t>
        </is>
      </c>
      <c r="G21" s="80" t="inlineStr">
        <is>
          <t xml:space="preserve">Full Stack Lead </t>
        </is>
      </c>
      <c r="H21" s="49" t="inlineStr">
        <is>
          <t>ZN Submission</t>
        </is>
      </c>
      <c r="I21" s="80" t="inlineStr">
        <is>
          <t>Client Review</t>
        </is>
      </c>
      <c r="J21" s="80" t="inlineStr">
        <is>
          <t>32.8 LPA</t>
        </is>
      </c>
      <c r="K21" s="80" t="inlineStr">
        <is>
          <t>35 LPA</t>
        </is>
      </c>
      <c r="L21" s="80" t="inlineStr">
        <is>
          <t>In bench - can join in 15 days</t>
        </is>
      </c>
    </row>
    <row r="22">
      <c r="A22" s="80" t="inlineStr">
        <is>
          <t>Vandana</t>
        </is>
      </c>
      <c r="B22" s="10" t="n">
        <v>46247</v>
      </c>
      <c r="C22" s="80" t="inlineStr">
        <is>
          <t>August</t>
        </is>
      </c>
      <c r="D22" s="80" t="inlineStr">
        <is>
          <t>Chanukya</t>
        </is>
      </c>
      <c r="E22" s="80" t="n">
        <v>6363579655</v>
      </c>
      <c r="F22" s="80" t="inlineStr">
        <is>
          <t>Bangalore</t>
        </is>
      </c>
      <c r="G22" s="80" t="inlineStr">
        <is>
          <t>Full Stack Developer</t>
        </is>
      </c>
      <c r="H22" s="49" t="inlineStr">
        <is>
          <t>Telephonic Screening</t>
        </is>
      </c>
      <c r="I22" s="80" t="inlineStr">
        <is>
          <t>Not interested to relocate to chennai</t>
        </is>
      </c>
    </row>
    <row r="23">
      <c r="A23" s="80" t="inlineStr">
        <is>
          <t>Sarath</t>
        </is>
      </c>
      <c r="B23" s="10" t="n">
        <v>46247</v>
      </c>
      <c r="C23" s="80" t="inlineStr">
        <is>
          <t>August</t>
        </is>
      </c>
      <c r="D23" s="80" t="inlineStr">
        <is>
          <t>Pavan Kumar Reddy</t>
        </is>
      </c>
      <c r="E23" s="80" t="n">
        <v>8884664703</v>
      </c>
      <c r="F23" s="80" t="inlineStr">
        <is>
          <t>Bangalore</t>
        </is>
      </c>
      <c r="G23" s="80" t="inlineStr">
        <is>
          <t xml:space="preserve">Full Stack Lead </t>
        </is>
      </c>
      <c r="H23" s="49" t="inlineStr">
        <is>
          <t>ZN Submission</t>
        </is>
      </c>
      <c r="J23" s="80" t="inlineStr">
        <is>
          <t>19 LPA</t>
        </is>
      </c>
      <c r="K23" s="80" t="inlineStr">
        <is>
          <t>26 LPA</t>
        </is>
      </c>
      <c r="L23" s="80" t="inlineStr">
        <is>
          <t>45 Days(LWD 30th Sep)</t>
        </is>
      </c>
    </row>
    <row r="24">
      <c r="A24" s="80" t="inlineStr">
        <is>
          <t>Sarath</t>
        </is>
      </c>
      <c r="B24" s="10" t="n">
        <v>46247</v>
      </c>
      <c r="C24" s="80" t="inlineStr">
        <is>
          <t>August</t>
        </is>
      </c>
      <c r="D24" s="80" t="inlineStr">
        <is>
          <t xml:space="preserve">Jeevananthan </t>
        </is>
      </c>
      <c r="E24" s="80" t="n">
        <v>8778197268</v>
      </c>
      <c r="F24" s="80" t="inlineStr">
        <is>
          <t>Chennai</t>
        </is>
      </c>
      <c r="G24" s="80" t="inlineStr">
        <is>
          <t>Full Stack Developer</t>
        </is>
      </c>
      <c r="H24" s="49" t="inlineStr">
        <is>
          <t>ZN Submission</t>
        </is>
      </c>
      <c r="I24" s="80" t="inlineStr">
        <is>
          <t>Client Review</t>
        </is>
      </c>
    </row>
    <row r="25">
      <c r="A25" s="80" t="inlineStr">
        <is>
          <t>Vandana</t>
        </is>
      </c>
      <c r="B25" s="10" t="n">
        <v>46247</v>
      </c>
      <c r="C25" s="80" t="inlineStr">
        <is>
          <t>August</t>
        </is>
      </c>
      <c r="D25" s="80" t="inlineStr">
        <is>
          <t>Jahnavi</t>
        </is>
      </c>
      <c r="E25" s="80" t="n">
        <v>6302654442</v>
      </c>
      <c r="F25" s="80" t="inlineStr">
        <is>
          <t>Ongole</t>
        </is>
      </c>
      <c r="G25" s="80" t="inlineStr">
        <is>
          <t>Full Stack Developer</t>
        </is>
      </c>
      <c r="H25" s="49" t="inlineStr">
        <is>
          <t>ZN Submission</t>
        </is>
      </c>
      <c r="I25" s="80" t="inlineStr">
        <is>
          <t>JD sent awaiting for response</t>
        </is>
      </c>
      <c r="J25" s="80" t="inlineStr">
        <is>
          <t xml:space="preserve">18lpa </t>
        </is>
      </c>
      <c r="K25" s="80" t="inlineStr">
        <is>
          <t xml:space="preserve">22lpa </t>
        </is>
      </c>
      <c r="L25" s="80" t="inlineStr">
        <is>
          <t>30 days(23 days )</t>
        </is>
      </c>
      <c r="M25" s="80" t="inlineStr">
        <is>
          <t xml:space="preserve">friday 4 to 7 ,sat,mon  anytime is ok </t>
        </is>
      </c>
    </row>
    <row r="26">
      <c r="A26" s="80" t="inlineStr">
        <is>
          <t>Vandana</t>
        </is>
      </c>
      <c r="B26" s="10" t="n">
        <v>46247</v>
      </c>
      <c r="C26" s="80" t="inlineStr">
        <is>
          <t>August</t>
        </is>
      </c>
      <c r="D26" s="80" t="inlineStr">
        <is>
          <t>Gokulakrishnan</t>
        </is>
      </c>
      <c r="E26" s="80" t="n">
        <v>9487435083</v>
      </c>
      <c r="F26" s="80" t="inlineStr">
        <is>
          <t>Salem</t>
        </is>
      </c>
      <c r="G26" s="80" t="inlineStr">
        <is>
          <t>Full Stack Developer</t>
        </is>
      </c>
      <c r="H26" s="49" t="inlineStr">
        <is>
          <t>ZN Submission</t>
        </is>
      </c>
      <c r="I26" s="80" t="inlineStr">
        <is>
          <t>JD sent awaiting for response</t>
        </is>
      </c>
      <c r="J26" s="80" t="inlineStr">
        <is>
          <t xml:space="preserve">7 lpa </t>
        </is>
      </c>
      <c r="K26" s="80" t="inlineStr">
        <is>
          <t>14lpa</t>
        </is>
      </c>
      <c r="L26" s="80" t="inlineStr">
        <is>
          <t xml:space="preserve">30 days </t>
        </is>
      </c>
      <c r="M26" s="80" t="inlineStr">
        <is>
          <t>2to 5 pm,sat 12 to 3 pm</t>
        </is>
      </c>
    </row>
    <row r="27">
      <c r="A27" s="80" t="inlineStr">
        <is>
          <t>Ananthy</t>
        </is>
      </c>
      <c r="B27" s="10" t="n">
        <v>46247</v>
      </c>
      <c r="C27" s="80" t="inlineStr">
        <is>
          <t>August</t>
        </is>
      </c>
      <c r="D27" s="80" t="inlineStr">
        <is>
          <t>Sakthi Mukesh D</t>
        </is>
      </c>
      <c r="E27" s="80" t="n">
        <v>8056183418</v>
      </c>
      <c r="F27" s="80" t="inlineStr">
        <is>
          <t>Chennai</t>
        </is>
      </c>
      <c r="G27" s="80" t="inlineStr">
        <is>
          <t>Full Stack Developer</t>
        </is>
      </c>
      <c r="H27" s="49" t="inlineStr">
        <is>
          <t>ZN Submission</t>
        </is>
      </c>
      <c r="I27" s="80" t="inlineStr">
        <is>
          <t>Client Review</t>
        </is>
      </c>
      <c r="J27" s="80" t="inlineStr">
        <is>
          <t>12 LPA</t>
        </is>
      </c>
      <c r="K27" s="80" t="inlineStr">
        <is>
          <t>16 LPA (nego)</t>
        </is>
      </c>
      <c r="L27" s="80" t="inlineStr">
        <is>
          <t>LWD - 21st Aug</t>
        </is>
      </c>
    </row>
    <row r="28">
      <c r="A28" s="80" t="inlineStr">
        <is>
          <t>Sarath</t>
        </is>
      </c>
      <c r="B28" s="10" t="n">
        <v>46247</v>
      </c>
      <c r="C28" s="80" t="inlineStr">
        <is>
          <t>August</t>
        </is>
      </c>
      <c r="D28" s="80" t="inlineStr">
        <is>
          <t>Kathiravan</t>
        </is>
      </c>
      <c r="E28" s="40" t="n">
        <v>8883939533</v>
      </c>
      <c r="F28" s="80" t="inlineStr">
        <is>
          <t>Chennai</t>
        </is>
      </c>
      <c r="G28" s="80" t="inlineStr">
        <is>
          <t>Full Stack Developer</t>
        </is>
      </c>
      <c r="H28" s="49" t="inlineStr">
        <is>
          <t>ZN Submission</t>
        </is>
      </c>
      <c r="I28" s="80" t="inlineStr">
        <is>
          <t>Client Review</t>
        </is>
      </c>
    </row>
    <row r="29">
      <c r="A29" s="80" t="inlineStr">
        <is>
          <t>Ananthy</t>
        </is>
      </c>
      <c r="B29" s="10" t="n">
        <v>46247</v>
      </c>
      <c r="C29" s="80" t="inlineStr">
        <is>
          <t>August</t>
        </is>
      </c>
      <c r="D29" s="80" t="inlineStr">
        <is>
          <t>Anilbabu B</t>
        </is>
      </c>
      <c r="E29" s="80" t="n">
        <v>9400119796</v>
      </c>
      <c r="F29" s="80" t="inlineStr">
        <is>
          <t>Chennai</t>
        </is>
      </c>
      <c r="G29" s="80" t="inlineStr">
        <is>
          <t>Full Stack Developer</t>
        </is>
      </c>
      <c r="H29" s="49" t="inlineStr">
        <is>
          <t>Telephonic Screening</t>
        </is>
      </c>
      <c r="I29" s="80" t="inlineStr">
        <is>
          <t xml:space="preserve">Less react experience </t>
        </is>
      </c>
    </row>
    <row r="30">
      <c r="A30" s="80" t="inlineStr">
        <is>
          <t>Ananthy</t>
        </is>
      </c>
      <c r="B30" s="10" t="n">
        <v>46247</v>
      </c>
      <c r="C30" s="80" t="inlineStr">
        <is>
          <t>August</t>
        </is>
      </c>
      <c r="D30" s="80" t="inlineStr">
        <is>
          <t>Duraipandi R</t>
        </is>
      </c>
      <c r="E30" s="80" t="n">
        <v>6381729867</v>
      </c>
      <c r="F30" s="80" t="inlineStr">
        <is>
          <t>Chennai</t>
        </is>
      </c>
      <c r="G30" s="80" t="inlineStr">
        <is>
          <t>Full Stack Developer</t>
        </is>
      </c>
      <c r="H30" s="49" t="inlineStr">
        <is>
          <t>ZN Interview</t>
        </is>
      </c>
      <c r="I30" s="80" t="inlineStr">
        <is>
          <t>L1 - 2nd Oct - 11am</t>
        </is>
      </c>
      <c r="J30" s="80" t="inlineStr">
        <is>
          <t>8 LPA</t>
        </is>
      </c>
      <c r="K30" s="80" t="inlineStr">
        <is>
          <t>15 LPA (nego)</t>
        </is>
      </c>
      <c r="L30" s="80" t="inlineStr">
        <is>
          <t>LWD - 30th Sep</t>
        </is>
      </c>
    </row>
    <row r="31">
      <c r="A31" s="80" t="inlineStr">
        <is>
          <t>Ananthy</t>
        </is>
      </c>
      <c r="B31" s="10" t="n">
        <v>46247</v>
      </c>
      <c r="C31" s="80" t="inlineStr">
        <is>
          <t>August</t>
        </is>
      </c>
      <c r="D31" s="80" t="inlineStr">
        <is>
          <t>Arunprakash S</t>
        </is>
      </c>
      <c r="E31" s="80" t="n">
        <v>9092846515</v>
      </c>
      <c r="F31" s="80" t="inlineStr">
        <is>
          <t>Pallikaranai</t>
        </is>
      </c>
      <c r="G31" s="80" t="inlineStr">
        <is>
          <t>Full Stack Developer</t>
        </is>
      </c>
      <c r="H31" s="49" t="inlineStr">
        <is>
          <t>Telephonic Screening</t>
        </is>
      </c>
      <c r="I31" s="80" t="inlineStr">
        <is>
          <t>No response dropped a message</t>
        </is>
      </c>
    </row>
    <row r="32">
      <c r="A32" s="80" t="inlineStr">
        <is>
          <t>Ananthy</t>
        </is>
      </c>
      <c r="B32" s="10" t="n">
        <v>46247</v>
      </c>
      <c r="C32" s="80" t="inlineStr">
        <is>
          <t>August</t>
        </is>
      </c>
      <c r="D32" s="80" t="inlineStr">
        <is>
          <t>G Santhosh</t>
        </is>
      </c>
      <c r="E32" s="80" t="n">
        <v>9677509283</v>
      </c>
      <c r="F32" s="80" t="inlineStr">
        <is>
          <t>Coimbatore</t>
        </is>
      </c>
      <c r="G32" s="80" t="inlineStr">
        <is>
          <t>Full Stack Developer</t>
        </is>
      </c>
      <c r="H32" s="49" t="inlineStr">
        <is>
          <t>Telephonic Screening</t>
        </is>
      </c>
      <c r="I32" s="80" t="inlineStr">
        <is>
          <t>Longer notice</t>
        </is>
      </c>
      <c r="J32" s="80" t="inlineStr">
        <is>
          <t>9 LPA</t>
        </is>
      </c>
      <c r="K32" s="80" t="inlineStr">
        <is>
          <t>13 LPA</t>
        </is>
      </c>
      <c r="L32" s="80" t="inlineStr">
        <is>
          <t>60 days</t>
        </is>
      </c>
    </row>
    <row r="33">
      <c r="A33" s="80" t="inlineStr">
        <is>
          <t>Ananthy</t>
        </is>
      </c>
      <c r="B33" s="10" t="n">
        <v>46247</v>
      </c>
      <c r="C33" s="80" t="inlineStr">
        <is>
          <t>August</t>
        </is>
      </c>
      <c r="D33" s="80" t="inlineStr">
        <is>
          <t>syed sharukh</t>
        </is>
      </c>
      <c r="E33" s="80" t="n">
        <v>9361473254</v>
      </c>
      <c r="F33" s="80" t="inlineStr">
        <is>
          <t>Chennai</t>
        </is>
      </c>
      <c r="G33" s="80" t="inlineStr">
        <is>
          <t>Full Stack Developer</t>
        </is>
      </c>
      <c r="H33" s="49" t="inlineStr">
        <is>
          <t>ZN Interview</t>
        </is>
      </c>
      <c r="I33" s="80" t="inlineStr">
        <is>
          <t xml:space="preserve">L1 - 25th Aug </t>
        </is>
      </c>
      <c r="J33" s="80" t="inlineStr">
        <is>
          <t>11 LPA</t>
        </is>
      </c>
      <c r="K33" s="80" t="inlineStr">
        <is>
          <t>16 LPA</t>
        </is>
      </c>
      <c r="L33" s="80" t="inlineStr">
        <is>
          <t>LWD - 3rd Sep</t>
        </is>
      </c>
    </row>
    <row r="34">
      <c r="A34" s="80" t="inlineStr">
        <is>
          <t>Vandana</t>
        </is>
      </c>
      <c r="B34" s="10" t="n">
        <v>46247</v>
      </c>
      <c r="C34" s="80" t="inlineStr">
        <is>
          <t>August</t>
        </is>
      </c>
      <c r="D34" s="80" t="inlineStr">
        <is>
          <t>Gnanamani</t>
        </is>
      </c>
      <c r="E34" s="80" t="n">
        <v>8940675797</v>
      </c>
      <c r="F34" s="80" t="inlineStr">
        <is>
          <t>Puducherry</t>
        </is>
      </c>
      <c r="G34" s="80" t="inlineStr">
        <is>
          <t xml:space="preserve">Full Stack Lead </t>
        </is>
      </c>
      <c r="H34" s="49" t="inlineStr">
        <is>
          <t>ZN Submission</t>
        </is>
      </c>
      <c r="I34" s="80" t="inlineStr">
        <is>
          <t>Jd sent awaiting for response</t>
        </is>
      </c>
      <c r="J34" s="80" t="inlineStr">
        <is>
          <t>29.95lpa</t>
        </is>
      </c>
      <c r="K34" s="80" t="inlineStr">
        <is>
          <t>32lpa</t>
        </is>
      </c>
      <c r="L34" s="80" t="inlineStr">
        <is>
          <t>60 days(nego to 35 days)</t>
        </is>
      </c>
    </row>
    <row r="35">
      <c r="A35" s="80" t="inlineStr">
        <is>
          <t>Ananthy</t>
        </is>
      </c>
      <c r="B35" s="10" t="n">
        <v>46247</v>
      </c>
      <c r="C35" s="80" t="inlineStr">
        <is>
          <t>August</t>
        </is>
      </c>
      <c r="D35" s="80" t="inlineStr">
        <is>
          <t>Pandiyan k</t>
        </is>
      </c>
      <c r="E35" s="80" t="n">
        <v>9003658149</v>
      </c>
      <c r="F35" s="80" t="inlineStr">
        <is>
          <t>Vyasarpadi</t>
        </is>
      </c>
      <c r="G35" s="80" t="inlineStr">
        <is>
          <t>Full Stack Developer</t>
        </is>
      </c>
      <c r="H35" s="49" t="inlineStr">
        <is>
          <t>Telephonic Screening</t>
        </is>
      </c>
      <c r="I35" s="80" t="inlineStr">
        <is>
          <t>JD sent awaiting response</t>
        </is>
      </c>
      <c r="J35" s="80" t="inlineStr">
        <is>
          <t>7 LPA</t>
        </is>
      </c>
      <c r="K35" s="80" t="inlineStr">
        <is>
          <t>11 LPA</t>
        </is>
      </c>
      <c r="L35" s="80" t="inlineStr">
        <is>
          <t>60 days (nego to 45 days)</t>
        </is>
      </c>
    </row>
    <row r="36">
      <c r="A36" s="80" t="inlineStr">
        <is>
          <t>Ananthy</t>
        </is>
      </c>
      <c r="B36" s="10" t="n">
        <v>46247</v>
      </c>
      <c r="C36" s="80" t="inlineStr">
        <is>
          <t>August</t>
        </is>
      </c>
      <c r="D36" s="80" t="inlineStr">
        <is>
          <t>Aakash Chandra</t>
        </is>
      </c>
      <c r="E36" s="80" t="n">
        <v>7598929634</v>
      </c>
      <c r="F36" s="80" t="inlineStr">
        <is>
          <t>OMR</t>
        </is>
      </c>
      <c r="G36" s="80" t="inlineStr">
        <is>
          <t>Full Stack Developer</t>
        </is>
      </c>
      <c r="H36" s="49" t="inlineStr">
        <is>
          <t>ZN Submission</t>
        </is>
      </c>
      <c r="I36" s="80" t="inlineStr">
        <is>
          <t>Client Review</t>
        </is>
      </c>
      <c r="J36" s="80" t="inlineStr">
        <is>
          <t>8 LPA</t>
        </is>
      </c>
      <c r="K36" s="80" t="inlineStr">
        <is>
          <t>40% hike (nego)</t>
        </is>
      </c>
      <c r="L36" s="80" t="inlineStr">
        <is>
          <t>30 days (nego to 20 day)</t>
        </is>
      </c>
    </row>
    <row r="37">
      <c r="A37" s="80" t="inlineStr">
        <is>
          <t>Ananthy</t>
        </is>
      </c>
      <c r="B37" s="10" t="n">
        <v>46248</v>
      </c>
      <c r="C37" s="80" t="inlineStr">
        <is>
          <t>August</t>
        </is>
      </c>
      <c r="D37" s="80" t="inlineStr">
        <is>
          <t>Yuvarani A</t>
        </is>
      </c>
      <c r="E37" s="80" t="n">
        <v>9047365706</v>
      </c>
      <c r="F37" s="80" t="inlineStr">
        <is>
          <t>Porur</t>
        </is>
      </c>
      <c r="G37" s="80" t="inlineStr">
        <is>
          <t>Full Stack Developer</t>
        </is>
      </c>
      <c r="H37" s="49" t="inlineStr">
        <is>
          <t>Telephonic Screening</t>
        </is>
      </c>
      <c r="I37" s="80" t="inlineStr">
        <is>
          <t>JD sent awaiting response</t>
        </is>
      </c>
      <c r="J37" s="80" t="inlineStr">
        <is>
          <t>20.43 LPA + Variables</t>
        </is>
      </c>
      <c r="K37" s="80" t="inlineStr">
        <is>
          <t>26 LPA (nego)</t>
        </is>
      </c>
      <c r="L37" s="80" t="inlineStr">
        <is>
          <t>60 days (nego to 45 days)</t>
        </is>
      </c>
    </row>
    <row r="38">
      <c r="A38" s="80" t="inlineStr">
        <is>
          <t xml:space="preserve">Kirthi </t>
        </is>
      </c>
      <c r="B38" s="10" t="n">
        <v>46248</v>
      </c>
      <c r="C38" s="80" t="inlineStr">
        <is>
          <t>August</t>
        </is>
      </c>
      <c r="D38" s="80" t="inlineStr">
        <is>
          <t>Santhosh S</t>
        </is>
      </c>
      <c r="E38" s="80" t="n">
        <v>9940691676</v>
      </c>
      <c r="F38" s="80" t="inlineStr">
        <is>
          <t xml:space="preserve">KK Nagar, Chennai </t>
        </is>
      </c>
      <c r="G38" s="80" t="inlineStr">
        <is>
          <t>Full Stack Developer</t>
        </is>
      </c>
      <c r="H38" s="49" t="inlineStr">
        <is>
          <t>Telephonic Screening</t>
        </is>
      </c>
      <c r="I38" s="80" t="inlineStr">
        <is>
          <t>JD sent awaiting response</t>
        </is>
      </c>
      <c r="J38" s="80" t="inlineStr">
        <is>
          <t>17.5 LPA</t>
        </is>
      </c>
      <c r="K38" s="80" t="inlineStr">
        <is>
          <t>24 LPA (nego)</t>
        </is>
      </c>
      <c r="L38" s="80" t="inlineStr">
        <is>
          <t>30 days (negotiable)</t>
        </is>
      </c>
    </row>
    <row r="39">
      <c r="A39" s="80" t="inlineStr">
        <is>
          <t xml:space="preserve">Kirthi </t>
        </is>
      </c>
      <c r="B39" s="10" t="n">
        <v>46248</v>
      </c>
      <c r="C39" s="80" t="inlineStr">
        <is>
          <t>August</t>
        </is>
      </c>
      <c r="D39" s="80" t="inlineStr">
        <is>
          <t>YOESWIN SELVARAJ E</t>
        </is>
      </c>
      <c r="E39" s="80" t="n">
        <v>6382148703</v>
      </c>
      <c r="H39" s="49" t="inlineStr">
        <is>
          <t>Telephonic Screening</t>
        </is>
      </c>
    </row>
    <row r="40">
      <c r="A40" s="80" t="inlineStr">
        <is>
          <t xml:space="preserve">Kirthi </t>
        </is>
      </c>
      <c r="B40" s="10" t="n">
        <v>46248</v>
      </c>
      <c r="C40" s="80" t="inlineStr">
        <is>
          <t>August</t>
        </is>
      </c>
      <c r="D40" s="80" t="inlineStr">
        <is>
          <t>Richard J</t>
        </is>
      </c>
      <c r="E40" s="80" t="n">
        <v>7200395919</v>
      </c>
      <c r="F40" s="80" t="inlineStr">
        <is>
          <t xml:space="preserve">Perungudi, Chennai </t>
        </is>
      </c>
      <c r="G40" s="80" t="inlineStr">
        <is>
          <t>Full Stack Developer</t>
        </is>
      </c>
      <c r="H40" s="49" t="inlineStr">
        <is>
          <t>Telephonic Screening</t>
        </is>
      </c>
      <c r="I40" s="80" t="inlineStr">
        <is>
          <t xml:space="preserve">JD sent awaiting response </t>
        </is>
      </c>
      <c r="J40" s="80" t="inlineStr">
        <is>
          <t>15.72 LPA</t>
        </is>
      </c>
      <c r="K40" s="80" t="inlineStr">
        <is>
          <t>19 LPA</t>
        </is>
      </c>
      <c r="L40" s="80" t="inlineStr">
        <is>
          <t xml:space="preserve">Immediate joiner </t>
        </is>
      </c>
    </row>
    <row r="41">
      <c r="A41" s="80" t="inlineStr">
        <is>
          <t xml:space="preserve">Kirthi </t>
        </is>
      </c>
      <c r="B41" s="10" t="n">
        <v>46248</v>
      </c>
      <c r="C41" s="80" t="inlineStr">
        <is>
          <t>August</t>
        </is>
      </c>
      <c r="D41" s="80" t="inlineStr">
        <is>
          <t>PRABURAJ P</t>
        </is>
      </c>
      <c r="E41" s="80" t="n">
        <v>9003323065</v>
      </c>
      <c r="H41" s="49" t="inlineStr">
        <is>
          <t>Telephonic Screening</t>
        </is>
      </c>
    </row>
    <row r="42">
      <c r="A42" s="80" t="inlineStr">
        <is>
          <t xml:space="preserve">Kirthi </t>
        </is>
      </c>
      <c r="B42" s="10" t="n">
        <v>46248</v>
      </c>
      <c r="C42" s="80" t="inlineStr">
        <is>
          <t>August</t>
        </is>
      </c>
      <c r="D42" s="80" t="inlineStr">
        <is>
          <t>VIDHYA K</t>
        </is>
      </c>
      <c r="E42" s="80" t="n">
        <v>8973387874</v>
      </c>
      <c r="F42" s="80" t="inlineStr">
        <is>
          <t xml:space="preserve">Porur, Chennai </t>
        </is>
      </c>
      <c r="G42" s="80" t="inlineStr">
        <is>
          <t xml:space="preserve">Full Stack Lead </t>
        </is>
      </c>
      <c r="H42" s="49" t="inlineStr">
        <is>
          <t>Telephonic Screening</t>
        </is>
      </c>
      <c r="I42" s="80" t="inlineStr">
        <is>
          <t xml:space="preserve">JD sent awaiting response </t>
        </is>
      </c>
      <c r="J42" s="80" t="inlineStr">
        <is>
          <t>23 LPA</t>
        </is>
      </c>
      <c r="K42" s="80" t="inlineStr">
        <is>
          <t>32 LPA (nego)</t>
        </is>
      </c>
      <c r="L42" s="80" t="inlineStr">
        <is>
          <t>Serving Notice (LWD-Oct 20)</t>
        </is>
      </c>
    </row>
    <row r="43">
      <c r="A43" s="80" t="inlineStr">
        <is>
          <t>Vandana</t>
        </is>
      </c>
      <c r="B43" s="10" t="n">
        <v>46248</v>
      </c>
      <c r="C43" s="80" t="inlineStr">
        <is>
          <t>August</t>
        </is>
      </c>
      <c r="D43" s="39" t="inlineStr">
        <is>
          <t>Rohith</t>
        </is>
      </c>
      <c r="E43" s="80" t="n">
        <v>9494224473</v>
      </c>
      <c r="F43" s="80" t="inlineStr">
        <is>
          <t>Bangalore</t>
        </is>
      </c>
      <c r="G43" s="80" t="inlineStr">
        <is>
          <t>Full Stack Developer</t>
        </is>
      </c>
      <c r="H43" s="49" t="inlineStr">
        <is>
          <t>ZN Submission</t>
        </is>
      </c>
      <c r="I43" s="80" t="inlineStr">
        <is>
          <t>JD sent awaiting for response</t>
        </is>
      </c>
      <c r="J43" s="80" t="inlineStr">
        <is>
          <t>12LPA</t>
        </is>
      </c>
      <c r="K43" s="80" t="inlineStr">
        <is>
          <t>16LPA</t>
        </is>
      </c>
      <c r="L43" s="80" t="inlineStr">
        <is>
          <t>60 days(nego to 30 days)</t>
        </is>
      </c>
    </row>
    <row r="44">
      <c r="A44" s="80" t="inlineStr">
        <is>
          <t>Sarath</t>
        </is>
      </c>
      <c r="B44" s="10" t="n">
        <v>46248</v>
      </c>
      <c r="C44" s="80" t="inlineStr">
        <is>
          <t>August</t>
        </is>
      </c>
      <c r="D44" s="80" t="inlineStr">
        <is>
          <t>Rajesh</t>
        </is>
      </c>
      <c r="E44" s="80" t="n">
        <v>7402160395</v>
      </c>
      <c r="F44" s="80" t="inlineStr">
        <is>
          <t xml:space="preserve">Chennai </t>
        </is>
      </c>
      <c r="G44" s="80" t="inlineStr">
        <is>
          <t>Full Stack Developer</t>
        </is>
      </c>
      <c r="H44" s="49" t="inlineStr">
        <is>
          <t>ZN Submission</t>
        </is>
      </c>
      <c r="I44" s="80" t="inlineStr">
        <is>
          <t>Client Review</t>
        </is>
      </c>
    </row>
    <row r="45">
      <c r="A45" s="80" t="inlineStr">
        <is>
          <t>Sarath</t>
        </is>
      </c>
      <c r="B45" s="10" t="n">
        <v>46248</v>
      </c>
      <c r="C45" s="80" t="inlineStr">
        <is>
          <t>August</t>
        </is>
      </c>
      <c r="D45" s="80" t="inlineStr">
        <is>
          <t>Shabana</t>
        </is>
      </c>
      <c r="E45" s="80" t="n">
        <v>8056548711</v>
      </c>
      <c r="F45" s="80" t="inlineStr">
        <is>
          <t xml:space="preserve">Chennai </t>
        </is>
      </c>
      <c r="G45" s="80" t="inlineStr">
        <is>
          <t>Full Stack Developer</t>
        </is>
      </c>
      <c r="H45" s="49" t="inlineStr">
        <is>
          <t>ZN Submission</t>
        </is>
      </c>
      <c r="I45" s="80" t="inlineStr">
        <is>
          <t>Client Review</t>
        </is>
      </c>
    </row>
    <row r="46">
      <c r="A46" s="80" t="inlineStr">
        <is>
          <t>Ananthy</t>
        </is>
      </c>
      <c r="B46" s="10" t="n">
        <v>46248</v>
      </c>
      <c r="C46" s="80" t="inlineStr">
        <is>
          <t>August</t>
        </is>
      </c>
      <c r="D46" s="80" t="inlineStr">
        <is>
          <t>Ganesh Babu</t>
        </is>
      </c>
      <c r="E46" s="80" t="n">
        <v>8754514868</v>
      </c>
      <c r="H46" s="49" t="inlineStr">
        <is>
          <t>Telephonic Screening</t>
        </is>
      </c>
    </row>
    <row r="47">
      <c r="A47" s="80" t="inlineStr">
        <is>
          <t>Vandana</t>
        </is>
      </c>
      <c r="B47" s="10" t="n">
        <v>46248</v>
      </c>
      <c r="C47" s="80" t="inlineStr">
        <is>
          <t>August</t>
        </is>
      </c>
      <c r="D47" s="80" t="inlineStr">
        <is>
          <t>Mohan Kumar Nulu</t>
        </is>
      </c>
      <c r="E47" s="80" t="n">
        <v>9703364183</v>
      </c>
      <c r="G47" s="80" t="inlineStr">
        <is>
          <t>Full Stack Developer</t>
        </is>
      </c>
      <c r="H47" s="49" t="inlineStr">
        <is>
          <t>Telephonic Screening</t>
        </is>
      </c>
      <c r="I47" s="80" t="inlineStr">
        <is>
          <t>No response dropped a message</t>
        </is>
      </c>
    </row>
    <row r="48">
      <c r="A48" s="80" t="inlineStr">
        <is>
          <t>Sarath</t>
        </is>
      </c>
      <c r="B48" s="10" t="n">
        <v>46248</v>
      </c>
      <c r="C48" s="80" t="inlineStr">
        <is>
          <t>August</t>
        </is>
      </c>
      <c r="D48" s="80" t="inlineStr">
        <is>
          <t>Pasupathi</t>
        </is>
      </c>
      <c r="E48" s="80" t="n">
        <v>6380697669</v>
      </c>
      <c r="F48" s="80" t="inlineStr">
        <is>
          <t xml:space="preserve">Chennai </t>
        </is>
      </c>
      <c r="G48" s="80" t="inlineStr">
        <is>
          <t>Full Stack Developer</t>
        </is>
      </c>
      <c r="H48" s="49" t="inlineStr">
        <is>
          <t>ZN Submission</t>
        </is>
      </c>
      <c r="I48" s="80" t="inlineStr">
        <is>
          <t>Client Review</t>
        </is>
      </c>
    </row>
    <row r="49">
      <c r="A49" s="80" t="inlineStr">
        <is>
          <t>Vandana</t>
        </is>
      </c>
      <c r="B49" s="10" t="n">
        <v>46248</v>
      </c>
      <c r="C49" s="80" t="inlineStr">
        <is>
          <t>August</t>
        </is>
      </c>
      <c r="D49" s="80" t="inlineStr">
        <is>
          <t>Sivakrishna</t>
        </is>
      </c>
      <c r="E49" s="80" t="n">
        <v>9553112597</v>
      </c>
      <c r="F49" s="80" t="inlineStr">
        <is>
          <t>Hyderabad</t>
        </is>
      </c>
      <c r="G49" s="80" t="inlineStr">
        <is>
          <t>Full Stack Developer</t>
        </is>
      </c>
      <c r="H49" s="49" t="inlineStr">
        <is>
          <t>Telephonic Screening</t>
        </is>
      </c>
      <c r="I49" s="80" t="inlineStr">
        <is>
          <t>Looking for opportunities in hyd,and one offer in pipeline yet to attend hr discussion</t>
        </is>
      </c>
    </row>
    <row r="50">
      <c r="A50" s="80" t="inlineStr">
        <is>
          <t>Vandana</t>
        </is>
      </c>
      <c r="B50" s="10" t="n">
        <v>46248</v>
      </c>
      <c r="C50" s="80" t="inlineStr">
        <is>
          <t>August</t>
        </is>
      </c>
      <c r="D50" s="80" t="inlineStr">
        <is>
          <t>Girinath Selvendran</t>
        </is>
      </c>
      <c r="E50" s="80" t="n">
        <v>9942487988</v>
      </c>
      <c r="F50" s="80" t="inlineStr">
        <is>
          <t>Bangalore</t>
        </is>
      </c>
      <c r="G50" s="80" t="inlineStr">
        <is>
          <t>Full Stack Developer</t>
        </is>
      </c>
      <c r="H50" s="49" t="inlineStr">
        <is>
          <t>Telephonic Screening</t>
        </is>
      </c>
      <c r="I50" s="80" t="inlineStr">
        <is>
          <t>Jd sent awaiting for response</t>
        </is>
      </c>
      <c r="J50" s="80" t="inlineStr">
        <is>
          <t>12.6lpa</t>
        </is>
      </c>
      <c r="K50" s="80" t="inlineStr">
        <is>
          <t>20lpa</t>
        </is>
      </c>
      <c r="L50" s="80" t="inlineStr">
        <is>
          <t>13 sep (nego)</t>
        </is>
      </c>
    </row>
    <row r="51">
      <c r="A51" s="80" t="inlineStr">
        <is>
          <t>Ananthy</t>
        </is>
      </c>
      <c r="B51" s="10" t="n">
        <v>46248</v>
      </c>
      <c r="C51" s="80" t="inlineStr">
        <is>
          <t>August</t>
        </is>
      </c>
      <c r="D51" s="80" t="inlineStr">
        <is>
          <t>Antany Tom Felix</t>
        </is>
      </c>
      <c r="E51" s="80" t="n">
        <v>8903259581</v>
      </c>
      <c r="F51" s="80" t="inlineStr">
        <is>
          <t>Madurai</t>
        </is>
      </c>
      <c r="G51" s="80" t="inlineStr">
        <is>
          <t>Full Stack Developer</t>
        </is>
      </c>
      <c r="H51" s="49" t="inlineStr">
        <is>
          <t>Telephonic Screening</t>
        </is>
      </c>
    </row>
    <row r="52">
      <c r="A52" s="80" t="inlineStr">
        <is>
          <t xml:space="preserve">Kirthi </t>
        </is>
      </c>
      <c r="B52" s="10" t="n">
        <v>46248</v>
      </c>
      <c r="C52" s="80" t="inlineStr">
        <is>
          <t>August</t>
        </is>
      </c>
      <c r="D52" s="80" t="inlineStr">
        <is>
          <t>Arun K</t>
        </is>
      </c>
      <c r="E52" s="80" t="n">
        <v>8939737559</v>
      </c>
      <c r="F52" s="80" t="inlineStr">
        <is>
          <t xml:space="preserve">Velachery, Chennai </t>
        </is>
      </c>
      <c r="G52" s="80" t="inlineStr">
        <is>
          <t>Full Stack Developer</t>
        </is>
      </c>
      <c r="H52" s="49" t="inlineStr">
        <is>
          <t>Telephonic Screening</t>
        </is>
      </c>
      <c r="J52" s="80" t="inlineStr">
        <is>
          <t>5 LPA</t>
        </is>
      </c>
      <c r="K52" s="80" t="inlineStr">
        <is>
          <t>10 LPA</t>
        </is>
      </c>
      <c r="L52" s="80" t="inlineStr">
        <is>
          <t>60 days (nego)</t>
        </is>
      </c>
    </row>
    <row r="53">
      <c r="A53" s="80" t="inlineStr">
        <is>
          <t>Sarath</t>
        </is>
      </c>
      <c r="B53" s="10" t="n">
        <v>46256</v>
      </c>
      <c r="C53" s="80" t="inlineStr">
        <is>
          <t>August</t>
        </is>
      </c>
      <c r="D53" s="80" t="inlineStr">
        <is>
          <t>Ankit Mahajan</t>
        </is>
      </c>
      <c r="E53" s="64" t="n">
        <v>7745864231</v>
      </c>
      <c r="F53" s="80" t="inlineStr">
        <is>
          <t>Mumbai</t>
        </is>
      </c>
      <c r="G53" s="64" t="inlineStr">
        <is>
          <t>Voyage Optimization Specialist</t>
        </is>
      </c>
      <c r="H53" s="49" t="inlineStr">
        <is>
          <t>ZN Interview</t>
        </is>
      </c>
      <c r="I53" s="80" t="inlineStr">
        <is>
          <t>L1 Scheduled on 25th Aug</t>
        </is>
      </c>
      <c r="J53" s="64" t="inlineStr">
        <is>
          <t>17 LPA</t>
        </is>
      </c>
      <c r="K53" s="64" t="inlineStr">
        <is>
          <t>25 LPA</t>
        </is>
      </c>
      <c r="L53" s="64" t="inlineStr">
        <is>
          <t>2 Months(Negotiable)</t>
        </is>
      </c>
    </row>
    <row r="54">
      <c r="H54" s="49" t="inlineStr">
        <is>
          <t>Telephonic Screening</t>
        </is>
      </c>
    </row>
  </sheetData>
  <dataValidations count="1">
    <dataValidation sqref="H2:H400" showDropDown="0" showInputMessage="1" showErrorMessage="1" allowBlank="1" errorTitle="Value not in the list" error="Use one of the controlled stage values from the Reference sheet." promptTitle="Screening status" prompt="Use one of the controlled stage values from the Reference sheet." type="list">
      <formula1>=StageNameRef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E4E7EC"/>
    <outlinePr summaryBelow="1" summaryRight="1"/>
    <pageSetUpPr/>
  </sheetPr>
  <dimension ref="A2:H43"/>
  <sheetViews>
    <sheetView workbookViewId="0">
      <selection activeCell="A1" sqref="A1"/>
    </sheetView>
  </sheetViews>
  <sheetFormatPr baseColWidth="8" defaultColWidth="14.43" defaultRowHeight="15" customHeight="1"/>
  <cols>
    <col width="9.710000000000001" customWidth="1" style="83" min="1" max="1"/>
    <col width="29" customWidth="1" style="83" min="2" max="3"/>
    <col width="13.29" customWidth="1" style="83" min="4" max="4"/>
    <col width="34.71" customWidth="1" style="83" min="5" max="5"/>
    <col width="9.140000000000001" customWidth="1" style="83" min="6" max="6"/>
    <col width="23.86" customWidth="1" style="83" min="7" max="7"/>
    <col width="34.71" customWidth="1" style="83" min="8" max="8"/>
    <col width="8.710000000000001" customWidth="1" style="83" min="9" max="26"/>
  </cols>
  <sheetData>
    <row r="2">
      <c r="B2" s="11" t="inlineStr">
        <is>
          <t xml:space="preserve">Total Open Demands </t>
        </is>
      </c>
      <c r="C2" s="8" t="n">
        <v>2</v>
      </c>
    </row>
    <row r="3">
      <c r="B3" s="11" t="inlineStr">
        <is>
          <t>Interview scheduled</t>
        </is>
      </c>
      <c r="C3" s="8" t="inlineStr">
        <is>
          <t>-</t>
        </is>
      </c>
    </row>
    <row r="4">
      <c r="B4" s="11" t="inlineStr">
        <is>
          <t>No of ZN Review / Tech Rejects</t>
        </is>
      </c>
      <c r="C4" s="8" t="inlineStr">
        <is>
          <t>-</t>
        </is>
      </c>
    </row>
    <row r="5">
      <c r="B5" s="11" t="inlineStr">
        <is>
          <t>No of Dropouts</t>
        </is>
      </c>
      <c r="C5" s="8" t="inlineStr">
        <is>
          <t>-</t>
        </is>
      </c>
    </row>
    <row r="6">
      <c r="A6" s="15" t="n"/>
    </row>
    <row r="8">
      <c r="A8" s="17" t="inlineStr">
        <is>
          <t>Sno</t>
        </is>
      </c>
      <c r="B8" s="17" t="inlineStr">
        <is>
          <t>Title</t>
        </is>
      </c>
      <c r="C8" s="17" t="inlineStr">
        <is>
          <t>Name</t>
        </is>
      </c>
      <c r="D8" s="17" t="inlineStr">
        <is>
          <t>Contact #</t>
        </is>
      </c>
      <c r="E8" s="17" t="inlineStr">
        <is>
          <t xml:space="preserve">Status </t>
        </is>
      </c>
      <c r="F8" s="17" t="inlineStr">
        <is>
          <t>CCTC</t>
        </is>
      </c>
      <c r="G8" s="17" t="inlineStr">
        <is>
          <t>ECTC</t>
        </is>
      </c>
      <c r="H8" s="17" t="inlineStr">
        <is>
          <t>Notice Period</t>
        </is>
      </c>
    </row>
    <row r="9" ht="15.75" customHeight="1" s="83">
      <c r="A9" s="40" t="n">
        <v>1</v>
      </c>
      <c r="B9" s="22" t="inlineStr">
        <is>
          <t>Voyage Optimization Specialist</t>
        </is>
      </c>
      <c r="C9" s="24" t="inlineStr">
        <is>
          <t>Ankit Mahajan</t>
        </is>
      </c>
      <c r="D9" s="24" t="n">
        <v>7745864231</v>
      </c>
      <c r="E9" s="40" t="inlineStr">
        <is>
          <t>L2 feedback pending</t>
        </is>
      </c>
      <c r="F9" s="24" t="inlineStr">
        <is>
          <t>17 LPA</t>
        </is>
      </c>
      <c r="G9" s="25" t="inlineStr">
        <is>
          <t>25 LPA</t>
        </is>
      </c>
      <c r="H9" s="24" t="inlineStr">
        <is>
          <t>2 Months(Negotiable)</t>
        </is>
      </c>
    </row>
    <row r="10" ht="15.75" customHeight="1" s="83">
      <c r="A10" s="40" t="n">
        <v>2</v>
      </c>
      <c r="B10" s="40" t="inlineStr">
        <is>
          <t>FullStack(React,Node)</t>
        </is>
      </c>
      <c r="C10" s="40" t="inlineStr">
        <is>
          <t>Porselvan subramanian</t>
        </is>
      </c>
      <c r="D10" s="40" t="n">
        <v>9087303711</v>
      </c>
      <c r="E10" s="40" t="inlineStr">
        <is>
          <t>L1 feedback Pending</t>
        </is>
      </c>
      <c r="F10" s="40" t="inlineStr">
        <is>
          <t>13.5 lpa</t>
        </is>
      </c>
      <c r="G10" s="40" t="inlineStr">
        <is>
          <t>22 LPA</t>
        </is>
      </c>
      <c r="H10" s="40" t="inlineStr">
        <is>
          <t>60 days(30 days)</t>
        </is>
      </c>
    </row>
    <row r="11" ht="15.75" customHeight="1" s="83">
      <c r="A11" s="40" t="n">
        <v>3</v>
      </c>
      <c r="B11" s="40" t="inlineStr">
        <is>
          <t>FullStack(React,Node)</t>
        </is>
      </c>
      <c r="C11" s="40" t="inlineStr">
        <is>
          <t>Duraipandi R</t>
        </is>
      </c>
      <c r="D11" s="40" t="n">
        <v>6381729867</v>
      </c>
      <c r="E11" s="40" t="inlineStr">
        <is>
          <t xml:space="preserve">L1 - 2nd Sep </t>
        </is>
      </c>
      <c r="F11" s="40" t="inlineStr">
        <is>
          <t>8 LPA</t>
        </is>
      </c>
      <c r="G11" s="40" t="inlineStr">
        <is>
          <t>12 LPA</t>
        </is>
      </c>
      <c r="H11" s="40" t="inlineStr">
        <is>
          <t>LWD - 10th Oct (nego)</t>
        </is>
      </c>
    </row>
    <row r="12">
      <c r="A12" s="40" t="n">
        <v>4</v>
      </c>
      <c r="B12" s="40" t="inlineStr">
        <is>
          <t>FullStack(React,Node)</t>
        </is>
      </c>
      <c r="C12" s="40" t="inlineStr">
        <is>
          <t>Mubbanthal Surya</t>
        </is>
      </c>
      <c r="D12" s="40" t="inlineStr">
        <is>
          <t>91598 04806</t>
        </is>
      </c>
      <c r="E12" s="40" t="inlineStr">
        <is>
          <t>L2 TBS</t>
        </is>
      </c>
      <c r="F12" s="40" t="inlineStr">
        <is>
          <t>6.92 LPA</t>
        </is>
      </c>
      <c r="G12" s="40" t="inlineStr">
        <is>
          <t>12 LPA</t>
        </is>
      </c>
      <c r="H12" s="40" t="inlineStr">
        <is>
          <t>1 Month(Negotiable)</t>
        </is>
      </c>
    </row>
    <row r="13" ht="15.75" customHeight="1" s="83">
      <c r="A13" s="40" t="n">
        <v>5</v>
      </c>
      <c r="B13" s="22" t="inlineStr">
        <is>
          <t>Voyage Optimization Specialist</t>
        </is>
      </c>
      <c r="C13" s="64" t="inlineStr">
        <is>
          <t>Vijay Kumar</t>
        </is>
      </c>
      <c r="D13" s="30" t="n">
        <v>8454875754</v>
      </c>
      <c r="E13" s="40" t="inlineStr">
        <is>
          <t>ZN Review</t>
        </is>
      </c>
      <c r="F13" s="64" t="inlineStr">
        <is>
          <t>24 LPA</t>
        </is>
      </c>
      <c r="G13" s="64" t="inlineStr">
        <is>
          <t>As per the company</t>
        </is>
      </c>
      <c r="H13" s="64" t="inlineStr">
        <is>
          <t>Immediate</t>
        </is>
      </c>
    </row>
    <row r="14">
      <c r="A14" s="40" t="n">
        <v>6</v>
      </c>
      <c r="B14" s="40" t="inlineStr">
        <is>
          <t>FullStack Lead (React,Node)</t>
        </is>
      </c>
      <c r="C14" s="40" t="inlineStr">
        <is>
          <t>Yuva Charan Reddy Durgam</t>
        </is>
      </c>
      <c r="D14" s="40" t="n">
        <v>9642042370</v>
      </c>
      <c r="E14" s="40" t="inlineStr">
        <is>
          <t>ZN Review</t>
        </is>
      </c>
      <c r="F14" s="40" t="inlineStr">
        <is>
          <t>20.5 LPA</t>
        </is>
      </c>
      <c r="G14" s="40" t="inlineStr">
        <is>
          <t>35 LPA</t>
        </is>
      </c>
      <c r="H14" s="40" t="inlineStr">
        <is>
          <t>LWD - 18th Sep</t>
        </is>
      </c>
    </row>
    <row r="15">
      <c r="A15" s="40" t="n">
        <v>7</v>
      </c>
      <c r="B15" s="40" t="inlineStr">
        <is>
          <t>FullStack Lead (React,Node)</t>
        </is>
      </c>
      <c r="C15" s="40" t="inlineStr">
        <is>
          <t>Sakthi Mukesh D</t>
        </is>
      </c>
      <c r="D15" s="40" t="n">
        <v>8056183418</v>
      </c>
      <c r="E15" s="40" t="inlineStr">
        <is>
          <t>ZN Review</t>
        </is>
      </c>
      <c r="F15" s="40" t="inlineStr">
        <is>
          <t>12 LPA</t>
        </is>
      </c>
      <c r="G15" s="40" t="inlineStr">
        <is>
          <t>16 LPA</t>
        </is>
      </c>
      <c r="H15" s="40" t="inlineStr">
        <is>
          <t xml:space="preserve">LWD - 21st Aug </t>
        </is>
      </c>
    </row>
    <row r="16">
      <c r="A16" s="40" t="n">
        <v>8</v>
      </c>
      <c r="B16" s="40" t="inlineStr">
        <is>
          <t>FullStack(React,Node)</t>
        </is>
      </c>
      <c r="C16" s="40" t="inlineStr">
        <is>
          <t>M.Navin Kumar</t>
        </is>
      </c>
      <c r="D16" s="40" t="n">
        <v>9486169060</v>
      </c>
      <c r="E16" s="40" t="inlineStr">
        <is>
          <t>ZN Review</t>
        </is>
      </c>
      <c r="F16" s="40" t="inlineStr">
        <is>
          <t>32.8 LPA</t>
        </is>
      </c>
      <c r="G16" s="40" t="inlineStr">
        <is>
          <t>35 LPA</t>
        </is>
      </c>
      <c r="H16" s="40" t="inlineStr">
        <is>
          <t>60 days (In bench can join in 15 days)</t>
        </is>
      </c>
    </row>
    <row r="17">
      <c r="A17" s="40" t="n">
        <v>9</v>
      </c>
      <c r="B17" s="40" t="inlineStr">
        <is>
          <t>FullStack(React,Node)</t>
        </is>
      </c>
      <c r="C17" s="40" t="inlineStr">
        <is>
          <t>Saravana Ganesh S</t>
        </is>
      </c>
      <c r="D17" s="40" t="n">
        <v>8903327739</v>
      </c>
      <c r="E17" s="40" t="inlineStr">
        <is>
          <t>ZN Review</t>
        </is>
      </c>
      <c r="F17" s="40" t="inlineStr">
        <is>
          <t>15 LPA</t>
        </is>
      </c>
      <c r="G17" s="40" t="inlineStr">
        <is>
          <t>20 LPA</t>
        </is>
      </c>
      <c r="H17" s="40" t="inlineStr">
        <is>
          <t>30 days</t>
        </is>
      </c>
    </row>
    <row r="18">
      <c r="A18" s="40" t="n">
        <v>10</v>
      </c>
      <c r="B18" s="40" t="inlineStr">
        <is>
          <t>FullStack(React,Node)</t>
        </is>
      </c>
      <c r="C18" s="40" t="inlineStr">
        <is>
          <t>Jayaselva Manikannan</t>
        </is>
      </c>
      <c r="D18" s="40" t="n">
        <v>9445619563</v>
      </c>
      <c r="E18" s="40" t="inlineStr">
        <is>
          <t>ZN Review</t>
        </is>
      </c>
      <c r="F18" s="40" t="inlineStr">
        <is>
          <t>17 LPA</t>
        </is>
      </c>
      <c r="G18" s="40" t="inlineStr">
        <is>
          <t>18 LPA</t>
        </is>
      </c>
      <c r="H18" s="40" t="inlineStr">
        <is>
          <t>Immediate</t>
        </is>
      </c>
    </row>
    <row r="19">
      <c r="A19" s="40" t="n">
        <v>11</v>
      </c>
      <c r="B19" s="40" t="inlineStr">
        <is>
          <t>FullStack(React,Node)</t>
        </is>
      </c>
      <c r="C19" s="40" t="inlineStr">
        <is>
          <t>Sibiraj Munirathinam</t>
        </is>
      </c>
      <c r="D19" s="40" t="n">
        <v>8667747225</v>
      </c>
      <c r="E19" s="40" t="inlineStr">
        <is>
          <t>ZN Review</t>
        </is>
      </c>
      <c r="F19" s="40" t="inlineStr">
        <is>
          <t>9 LPA</t>
        </is>
      </c>
      <c r="G19" s="40" t="inlineStr">
        <is>
          <t>12 LPA</t>
        </is>
      </c>
      <c r="H19" s="40" t="inlineStr">
        <is>
          <t>Immediate</t>
        </is>
      </c>
    </row>
    <row r="20">
      <c r="A20" s="40" t="n">
        <v>12</v>
      </c>
      <c r="B20" s="40" t="inlineStr">
        <is>
          <t>FullStack(React,Node)</t>
        </is>
      </c>
      <c r="C20" s="40" t="inlineStr">
        <is>
          <t>Pavan Kumar Reddy</t>
        </is>
      </c>
      <c r="D20" s="40" t="n">
        <v>8884664703</v>
      </c>
      <c r="E20" s="40" t="inlineStr">
        <is>
          <t>ZN Review</t>
        </is>
      </c>
      <c r="F20" s="40" t="inlineStr">
        <is>
          <t>19 LPA</t>
        </is>
      </c>
      <c r="G20" s="40" t="inlineStr">
        <is>
          <t>26 LPA</t>
        </is>
      </c>
      <c r="H20" s="40" t="inlineStr">
        <is>
          <t>45 Days(LWD 30th Sep)</t>
        </is>
      </c>
    </row>
    <row r="21">
      <c r="A21" s="40" t="n">
        <v>13</v>
      </c>
      <c r="B21" s="40" t="inlineStr">
        <is>
          <t>FullStack(React,Node)</t>
        </is>
      </c>
      <c r="C21" s="40" t="inlineStr">
        <is>
          <t>Hariprakash</t>
        </is>
      </c>
      <c r="D21" s="40" t="n">
        <v>9566602010</v>
      </c>
      <c r="E21" s="40" t="inlineStr">
        <is>
          <t>ZN Review</t>
        </is>
      </c>
      <c r="F21" s="40" t="inlineStr">
        <is>
          <t>13.13 LPA</t>
        </is>
      </c>
      <c r="G21" s="40" t="inlineStr">
        <is>
          <t>18 LPA-19 LPA</t>
        </is>
      </c>
      <c r="H21" s="40" t="inlineStr">
        <is>
          <t>60 Days(Nego to 30 Days)</t>
        </is>
      </c>
    </row>
    <row r="22">
      <c r="A22" s="40" t="n">
        <v>14</v>
      </c>
      <c r="B22" s="40" t="inlineStr">
        <is>
          <t>FullStack(React,Node)</t>
        </is>
      </c>
      <c r="C22" s="40" t="inlineStr">
        <is>
          <t>Jahnavi</t>
        </is>
      </c>
      <c r="D22" s="40" t="n">
        <v>6302654442</v>
      </c>
      <c r="E22" s="40" t="inlineStr">
        <is>
          <t>ZN Review</t>
        </is>
      </c>
      <c r="F22" s="40" t="inlineStr">
        <is>
          <t>18 LPA</t>
        </is>
      </c>
      <c r="G22" s="40" t="inlineStr">
        <is>
          <t>22 LPA</t>
        </is>
      </c>
      <c r="H22" s="40" t="inlineStr">
        <is>
          <t>1 month (Nego to 23 days)</t>
        </is>
      </c>
    </row>
    <row r="23">
      <c r="A23" s="40" t="n">
        <v>15</v>
      </c>
      <c r="B23" s="40" t="inlineStr">
        <is>
          <t>FullStack(React,Node)</t>
        </is>
      </c>
      <c r="C23" s="40" t="inlineStr">
        <is>
          <t>Kathiravan</t>
        </is>
      </c>
      <c r="D23" s="40" t="n">
        <v>8883939533</v>
      </c>
      <c r="E23" s="40" t="inlineStr">
        <is>
          <t>ZN Review</t>
        </is>
      </c>
      <c r="F23" s="40" t="inlineStr">
        <is>
          <t>5.4 LPA</t>
        </is>
      </c>
      <c r="G23" s="40" t="inlineStr">
        <is>
          <t>40% Hike</t>
        </is>
      </c>
      <c r="H23" s="40" t="inlineStr">
        <is>
          <t>Immediate</t>
        </is>
      </c>
    </row>
    <row r="24">
      <c r="A24" s="40" t="n">
        <v>16</v>
      </c>
      <c r="B24" s="40" t="inlineStr">
        <is>
          <t>FullStack(React,Node)</t>
        </is>
      </c>
      <c r="C24" s="40" t="inlineStr">
        <is>
          <t>Gokulakrishnan</t>
        </is>
      </c>
      <c r="D24" s="40" t="n">
        <v>9487435083</v>
      </c>
      <c r="E24" s="40" t="inlineStr">
        <is>
          <t>ZN Review</t>
        </is>
      </c>
      <c r="F24" s="40" t="inlineStr">
        <is>
          <t>7 LPA</t>
        </is>
      </c>
      <c r="G24" s="40" t="inlineStr">
        <is>
          <t>14 LPA</t>
        </is>
      </c>
      <c r="H24" s="40" t="inlineStr">
        <is>
          <t xml:space="preserve">1 month </t>
        </is>
      </c>
    </row>
    <row r="25">
      <c r="A25" s="40" t="n">
        <v>17</v>
      </c>
      <c r="B25" s="40" t="inlineStr">
        <is>
          <t>FullStack(React,Node)</t>
        </is>
      </c>
      <c r="C25" s="40" t="inlineStr">
        <is>
          <t>Govardhan</t>
        </is>
      </c>
      <c r="D25" s="40" t="n">
        <v>6382276063</v>
      </c>
      <c r="E25" s="40" t="inlineStr">
        <is>
          <t>ZN Review</t>
        </is>
      </c>
      <c r="F25" s="40" t="inlineStr">
        <is>
          <t>19 LPA</t>
        </is>
      </c>
      <c r="G25" s="40" t="inlineStr">
        <is>
          <t>30 LPA(Negotiable)</t>
        </is>
      </c>
      <c r="H25" s="40" t="inlineStr">
        <is>
          <t>1 Month(LWD 15th Sep)</t>
        </is>
      </c>
    </row>
    <row r="26">
      <c r="A26" s="40" t="n">
        <v>18</v>
      </c>
      <c r="B26" s="40" t="inlineStr">
        <is>
          <t>FullStack(React,Node)</t>
        </is>
      </c>
      <c r="C26" s="40" t="inlineStr">
        <is>
          <t>Srinivasan Balaji</t>
        </is>
      </c>
      <c r="D26" s="40" t="n">
        <v>9677283538</v>
      </c>
      <c r="E26" s="40" t="inlineStr">
        <is>
          <t>ZN Review</t>
        </is>
      </c>
      <c r="F26" s="40" t="inlineStr">
        <is>
          <t>11 LPA</t>
        </is>
      </c>
      <c r="G26" s="40" t="inlineStr">
        <is>
          <t>14 LPA</t>
        </is>
      </c>
      <c r="H26" s="40" t="inlineStr">
        <is>
          <t>3 months - Serving notice (LWD- 6 Sept)</t>
        </is>
      </c>
    </row>
    <row r="27" ht="15.75" customHeight="1" s="83">
      <c r="A27" s="40" t="n">
        <v>19</v>
      </c>
      <c r="B27" s="40" t="inlineStr">
        <is>
          <t>FullStack(React,Node)</t>
        </is>
      </c>
      <c r="C27" s="64" t="inlineStr">
        <is>
          <t>Gnanamani</t>
        </is>
      </c>
      <c r="D27" s="64" t="n">
        <v>8940675797</v>
      </c>
      <c r="E27" s="40" t="inlineStr">
        <is>
          <t>ZN Review</t>
        </is>
      </c>
      <c r="F27" s="64" t="inlineStr">
        <is>
          <t>29.95 LPA</t>
        </is>
      </c>
      <c r="G27" s="64" t="inlineStr">
        <is>
          <t>32LPA</t>
        </is>
      </c>
      <c r="H27" s="64" t="inlineStr">
        <is>
          <t>60 Days(nego to 35 days)</t>
        </is>
      </c>
    </row>
    <row r="28" ht="15.75" customHeight="1" s="83">
      <c r="A28" s="40" t="n">
        <v>20</v>
      </c>
      <c r="B28" s="40" t="inlineStr">
        <is>
          <t>FullStack(React,Node)</t>
        </is>
      </c>
      <c r="C28" s="64" t="inlineStr">
        <is>
          <t>Aakash Chandra</t>
        </is>
      </c>
      <c r="D28" s="64" t="n">
        <v>7598929634</v>
      </c>
      <c r="E28" s="40" t="inlineStr">
        <is>
          <t>ZN Review</t>
        </is>
      </c>
      <c r="F28" s="64" t="inlineStr">
        <is>
          <t>8 LPA</t>
        </is>
      </c>
      <c r="G28" s="64" t="inlineStr">
        <is>
          <t>40% Hike (nego)</t>
        </is>
      </c>
      <c r="H28" s="64" t="inlineStr">
        <is>
          <t>LWD - 15th Sep</t>
        </is>
      </c>
    </row>
    <row r="29" ht="15.75" customHeight="1" s="83">
      <c r="A29" s="40" t="n">
        <v>21</v>
      </c>
      <c r="B29" s="40" t="inlineStr">
        <is>
          <t>FullStack(React,Node)</t>
        </is>
      </c>
      <c r="C29" s="64" t="inlineStr">
        <is>
          <t>Rajesh</t>
        </is>
      </c>
      <c r="D29" s="64" t="n">
        <v>7402160395</v>
      </c>
      <c r="E29" s="40" t="inlineStr">
        <is>
          <t>ZN Review</t>
        </is>
      </c>
      <c r="F29" s="64" t="inlineStr">
        <is>
          <t>14 LPA</t>
        </is>
      </c>
      <c r="G29" s="64" t="inlineStr">
        <is>
          <t xml:space="preserve">As per the company </t>
        </is>
      </c>
      <c r="H29" s="64" t="inlineStr">
        <is>
          <t>Immediate</t>
        </is>
      </c>
    </row>
    <row r="30" ht="15.75" customHeight="1" s="83">
      <c r="A30" s="40" t="n">
        <v>22</v>
      </c>
      <c r="B30" s="40" t="inlineStr">
        <is>
          <t>FullStack(React,Node)</t>
        </is>
      </c>
      <c r="C30" s="64" t="inlineStr">
        <is>
          <t>Shabana</t>
        </is>
      </c>
      <c r="D30" s="64" t="n">
        <v>8056548711</v>
      </c>
      <c r="E30" s="40" t="inlineStr">
        <is>
          <t>ZN Review</t>
        </is>
      </c>
      <c r="F30" s="64" t="inlineStr">
        <is>
          <t>25 LPA</t>
        </is>
      </c>
      <c r="G30" s="64" t="inlineStr">
        <is>
          <t>30 LPA(Negotiable)</t>
        </is>
      </c>
      <c r="H30" s="64" t="inlineStr">
        <is>
          <t>15 Days(30th Aug)</t>
        </is>
      </c>
    </row>
    <row r="31" ht="15.75" customHeight="1" s="83">
      <c r="A31" s="40" t="n">
        <v>23</v>
      </c>
      <c r="B31" s="40" t="inlineStr">
        <is>
          <t>FullStack(React,Node)</t>
        </is>
      </c>
      <c r="C31" s="60" t="inlineStr">
        <is>
          <t>Pasupathi</t>
        </is>
      </c>
      <c r="D31" s="60" t="n">
        <v>6380697669</v>
      </c>
      <c r="E31" s="40" t="inlineStr">
        <is>
          <t>ZN Review</t>
        </is>
      </c>
      <c r="F31" s="60" t="inlineStr">
        <is>
          <t>21.33 LPA</t>
        </is>
      </c>
      <c r="G31" s="64" t="inlineStr">
        <is>
          <t>30 LPA(Negotiable)</t>
        </is>
      </c>
      <c r="H31" s="60" t="inlineStr">
        <is>
          <t>15 Days(LWD 25th Aug)</t>
        </is>
      </c>
    </row>
    <row r="32" ht="15.75" customHeight="1" s="83">
      <c r="A32" s="40" t="n">
        <v>24</v>
      </c>
      <c r="B32" s="40" t="inlineStr">
        <is>
          <t>FullStack(React,Node)</t>
        </is>
      </c>
      <c r="C32" s="38" t="inlineStr">
        <is>
          <t>Rohith</t>
        </is>
      </c>
      <c r="D32" s="64" t="n">
        <v>9494224473</v>
      </c>
      <c r="E32" s="40" t="inlineStr">
        <is>
          <t>ZN Review</t>
        </is>
      </c>
      <c r="F32" s="64" t="inlineStr">
        <is>
          <t>12 LPA</t>
        </is>
      </c>
      <c r="G32" s="64" t="inlineStr">
        <is>
          <t>16 LPA</t>
        </is>
      </c>
      <c r="H32" s="64" t="inlineStr">
        <is>
          <t>60 Days(nego to 30 days)</t>
        </is>
      </c>
    </row>
    <row r="33" ht="15.75" customHeight="1" s="83">
      <c r="A33" s="40" t="n">
        <v>25</v>
      </c>
      <c r="B33" s="40" t="inlineStr">
        <is>
          <t>FullStack(React,Node)</t>
        </is>
      </c>
      <c r="C33" s="64" t="inlineStr">
        <is>
          <t>Santhosh S</t>
        </is>
      </c>
      <c r="D33" s="64" t="n">
        <v>9940691676</v>
      </c>
      <c r="E33" s="40" t="inlineStr">
        <is>
          <t>ZN Review</t>
        </is>
      </c>
      <c r="F33" s="64" t="inlineStr">
        <is>
          <t>17.5 LPA</t>
        </is>
      </c>
      <c r="G33" s="64" t="inlineStr">
        <is>
          <t>24 LPA (nego)</t>
        </is>
      </c>
      <c r="H33" s="64" t="inlineStr">
        <is>
          <t>30 days (negotiable)</t>
        </is>
      </c>
    </row>
    <row r="34">
      <c r="A34" s="40" t="n">
        <v>25</v>
      </c>
      <c r="B34" s="64" t="n"/>
      <c r="C34" s="64" t="n"/>
      <c r="D34" s="64" t="n"/>
      <c r="F34" s="64" t="n"/>
      <c r="G34" s="64" t="n"/>
      <c r="H34" s="64" t="n"/>
    </row>
    <row r="35" ht="15.75" customHeight="1" s="83">
      <c r="A35" s="40" t="n">
        <v>26</v>
      </c>
    </row>
    <row r="36" ht="15.75" customHeight="1" s="83">
      <c r="A36" s="40" t="n">
        <v>27</v>
      </c>
    </row>
    <row r="37" ht="15.75" customHeight="1" s="83"/>
    <row r="38" ht="15.75" customHeight="1" s="83"/>
    <row r="39" ht="15.75" customHeight="1" s="83"/>
    <row r="40" ht="15.75" customHeight="1" s="83"/>
    <row r="41" ht="15.75" customHeight="1" s="83">
      <c r="D41" s="80" t="inlineStr">
        <is>
          <t>Rejected</t>
        </is>
      </c>
    </row>
    <row r="42" ht="15.75" customHeight="1" s="83">
      <c r="A42" s="40" t="n">
        <v>1</v>
      </c>
      <c r="B42" s="40" t="inlineStr">
        <is>
          <t>FullStack(React,Node)</t>
        </is>
      </c>
      <c r="C42" s="40" t="inlineStr">
        <is>
          <t>Jeevanantham Sakthivel</t>
        </is>
      </c>
      <c r="D42" s="40" t="n">
        <v>8778197268</v>
      </c>
      <c r="E42" s="40" t="inlineStr">
        <is>
          <t>Got another offer and joined</t>
        </is>
      </c>
      <c r="F42" s="40" t="inlineStr">
        <is>
          <t>8.5 LPA</t>
        </is>
      </c>
      <c r="G42" s="40" t="inlineStr">
        <is>
          <t>16 LPA</t>
        </is>
      </c>
      <c r="H42" s="40" t="inlineStr">
        <is>
          <t>15 Days(LWD 30th Aug)</t>
        </is>
      </c>
    </row>
    <row r="43" ht="15.75" customHeight="1" s="83">
      <c r="A43" s="40" t="n">
        <v>5</v>
      </c>
      <c r="B43" s="40" t="inlineStr">
        <is>
          <t>FullStack(React,Node)</t>
        </is>
      </c>
      <c r="C43" s="40" t="inlineStr">
        <is>
          <t>Syed sharukh</t>
        </is>
      </c>
      <c r="D43" s="40" t="n">
        <v>9361473254</v>
      </c>
      <c r="E43" s="40" t="inlineStr">
        <is>
          <t>L1 reject</t>
        </is>
      </c>
      <c r="F43" s="40" t="inlineStr">
        <is>
          <t>11 LPA</t>
        </is>
      </c>
      <c r="G43" s="40" t="inlineStr">
        <is>
          <t>16 LPA</t>
        </is>
      </c>
      <c r="H43" s="40" t="inlineStr">
        <is>
          <t>LWD - 3rd Sep</t>
        </is>
      </c>
    </row>
    <row r="44" ht="15.75" customHeight="1" s="83"/>
    <row r="45" ht="15.75" customHeight="1" s="83"/>
    <row r="46" ht="15.75" customHeight="1" s="83"/>
    <row r="47" ht="15.75" customHeight="1" s="83"/>
    <row r="48" ht="15.75" customHeight="1" s="83"/>
    <row r="49" ht="15.75" customHeight="1" s="83"/>
    <row r="50" ht="15.75" customHeight="1" s="83"/>
    <row r="51" ht="15.75" customHeight="1" s="83"/>
    <row r="52" ht="15.75" customHeight="1" s="83"/>
    <row r="53" ht="15.75" customHeight="1" s="83"/>
    <row r="54" ht="15.75" customHeight="1" s="83"/>
    <row r="55" ht="15.75" customHeight="1" s="83"/>
    <row r="56" ht="15.75" customHeight="1" s="83"/>
    <row r="57" ht="15.75" customHeight="1" s="83"/>
    <row r="58" ht="15.75" customHeight="1" s="83"/>
    <row r="59" ht="15.75" customHeight="1" s="83"/>
    <row r="60" ht="15.75" customHeight="1" s="83"/>
    <row r="61" ht="15.75" customHeight="1" s="83"/>
    <row r="62" ht="15.75" customHeight="1" s="83"/>
    <row r="63" ht="15.75" customHeight="1" s="83"/>
    <row r="64" ht="15.75" customHeight="1" s="83"/>
    <row r="65" ht="15.75" customHeight="1" s="83"/>
    <row r="66" ht="15.75" customHeight="1" s="83"/>
    <row r="67" ht="15.75" customHeight="1" s="83"/>
    <row r="68" ht="15.75" customHeight="1" s="83"/>
    <row r="69" ht="15.75" customHeight="1" s="83"/>
    <row r="70" ht="15.75" customHeight="1" s="83"/>
    <row r="71" ht="15.75" customHeight="1" s="83"/>
    <row r="72" ht="15.75" customHeight="1" s="83"/>
    <row r="73" ht="15.75" customHeight="1" s="83"/>
    <row r="74" ht="15.75" customHeight="1" s="83"/>
    <row r="75" ht="15.75" customHeight="1" s="83"/>
    <row r="76" ht="15.75" customHeight="1" s="83"/>
    <row r="77" ht="15.75" customHeight="1" s="83"/>
    <row r="78" ht="15.75" customHeight="1" s="83"/>
    <row r="79" ht="15.75" customHeight="1" s="83"/>
    <row r="80" ht="15.75" customHeight="1" s="83"/>
    <row r="81" ht="15.75" customHeight="1" s="83"/>
    <row r="82" ht="15.75" customHeight="1" s="83"/>
    <row r="83" ht="15.75" customHeight="1" s="83"/>
    <row r="84" ht="15.75" customHeight="1" s="83"/>
    <row r="85" ht="15.75" customHeight="1" s="83"/>
    <row r="86" ht="15.75" customHeight="1" s="83"/>
    <row r="87" ht="15.75" customHeight="1" s="83"/>
    <row r="88" ht="15.75" customHeight="1" s="83"/>
    <row r="89" ht="15.75" customHeight="1" s="83"/>
    <row r="90" ht="15.75" customHeight="1" s="83"/>
    <row r="91" ht="15.75" customHeight="1" s="83"/>
    <row r="92" ht="15.75" customHeight="1" s="83"/>
    <row r="93" ht="15.75" customHeight="1" s="83"/>
    <row r="94" ht="15.75" customHeight="1" s="83"/>
    <row r="95" ht="15.75" customHeight="1" s="83"/>
    <row r="96" ht="15.75" customHeight="1" s="83"/>
    <row r="97" ht="15.75" customHeight="1" s="83"/>
    <row r="98" ht="15.75" customHeight="1" s="83"/>
    <row r="99" ht="15.75" customHeight="1" s="83"/>
    <row r="100" ht="15.75" customHeight="1" s="83"/>
    <row r="101" ht="15.75" customHeight="1" s="83"/>
    <row r="102" ht="15.75" customHeight="1" s="83"/>
    <row r="103" ht="15.75" customHeight="1" s="83"/>
    <row r="104" ht="15.75" customHeight="1" s="83"/>
    <row r="105" ht="15.75" customHeight="1" s="83"/>
    <row r="106" ht="15.75" customHeight="1" s="83"/>
    <row r="107" ht="15.75" customHeight="1" s="83"/>
    <row r="108" ht="15.75" customHeight="1" s="83"/>
    <row r="109" ht="15.75" customHeight="1" s="83"/>
    <row r="110" ht="15.75" customHeight="1" s="83"/>
    <row r="111" ht="15.75" customHeight="1" s="83"/>
    <row r="112" ht="15.75" customHeight="1" s="83"/>
    <row r="113" ht="15.75" customHeight="1" s="83"/>
    <row r="114" ht="15.75" customHeight="1" s="83"/>
    <row r="115" ht="15.75" customHeight="1" s="83"/>
    <row r="116" ht="15.75" customHeight="1" s="83"/>
    <row r="117" ht="15.75" customHeight="1" s="83"/>
    <row r="118" ht="15.75" customHeight="1" s="83"/>
    <row r="119" ht="15.75" customHeight="1" s="83"/>
    <row r="120" ht="15.75" customHeight="1" s="83"/>
    <row r="121" ht="15.75" customHeight="1" s="83"/>
    <row r="122" ht="15.75" customHeight="1" s="83"/>
    <row r="123" ht="15.75" customHeight="1" s="83"/>
    <row r="124" ht="15.75" customHeight="1" s="83"/>
    <row r="125" ht="15.75" customHeight="1" s="83"/>
    <row r="126" ht="15.75" customHeight="1" s="83"/>
    <row r="127" ht="15.75" customHeight="1" s="83"/>
    <row r="128" ht="15.75" customHeight="1" s="83"/>
    <row r="129" ht="15.75" customHeight="1" s="83"/>
    <row r="130" ht="15.75" customHeight="1" s="83"/>
    <row r="131" ht="15.75" customHeight="1" s="83"/>
    <row r="132" ht="15.75" customHeight="1" s="83"/>
    <row r="133" ht="15.75" customHeight="1" s="83"/>
    <row r="134" ht="15.75" customHeight="1" s="83"/>
    <row r="135" ht="15.75" customHeight="1" s="83"/>
    <row r="136" ht="15.75" customHeight="1" s="83"/>
    <row r="137" ht="15.75" customHeight="1" s="83"/>
    <row r="138" ht="15.75" customHeight="1" s="83"/>
    <row r="139" ht="15.75" customHeight="1" s="83"/>
    <row r="140" ht="15.75" customHeight="1" s="83"/>
    <row r="141" ht="15.75" customHeight="1" s="83"/>
    <row r="142" ht="15.75" customHeight="1" s="83"/>
    <row r="143" ht="15.75" customHeight="1" s="83"/>
    <row r="144" ht="15.75" customHeight="1" s="83"/>
    <row r="145" ht="15.75" customHeight="1" s="83"/>
    <row r="146" ht="15.75" customHeight="1" s="83"/>
    <row r="147" ht="15.75" customHeight="1" s="83"/>
    <row r="148" ht="15.75" customHeight="1" s="83"/>
    <row r="149" ht="15.75" customHeight="1" s="83"/>
    <row r="150" ht="15.75" customHeight="1" s="83"/>
    <row r="151" ht="15.75" customHeight="1" s="83"/>
    <row r="152" ht="15.75" customHeight="1" s="83"/>
    <row r="153" ht="15.75" customHeight="1" s="83"/>
    <row r="154" ht="15.75" customHeight="1" s="83"/>
    <row r="155" ht="15.75" customHeight="1" s="83"/>
    <row r="156" ht="15.75" customHeight="1" s="83"/>
    <row r="157" ht="15.75" customHeight="1" s="83"/>
    <row r="158" ht="15.75" customHeight="1" s="83"/>
    <row r="159" ht="15.75" customHeight="1" s="83"/>
    <row r="160" ht="15.75" customHeight="1" s="83"/>
    <row r="161" ht="15.75" customHeight="1" s="83"/>
    <row r="162" ht="15.75" customHeight="1" s="83"/>
    <row r="163" ht="15.75" customHeight="1" s="83"/>
    <row r="164" ht="15.75" customHeight="1" s="83"/>
    <row r="165" ht="15.75" customHeight="1" s="83"/>
    <row r="166" ht="15.75" customHeight="1" s="83"/>
    <row r="167" ht="15.75" customHeight="1" s="83"/>
    <row r="168" ht="15.75" customHeight="1" s="83"/>
    <row r="169" ht="15.75" customHeight="1" s="83"/>
    <row r="170" ht="15.75" customHeight="1" s="83"/>
    <row r="171" ht="15.75" customHeight="1" s="83"/>
    <row r="172" ht="15.75" customHeight="1" s="83"/>
    <row r="173" ht="15.75" customHeight="1" s="83"/>
    <row r="174" ht="15.75" customHeight="1" s="83"/>
    <row r="175" ht="15.75" customHeight="1" s="83"/>
    <row r="176" ht="15.75" customHeight="1" s="83"/>
    <row r="177" ht="15.75" customHeight="1" s="83"/>
    <row r="178" ht="15.75" customHeight="1" s="83"/>
    <row r="179" ht="15.75" customHeight="1" s="83"/>
    <row r="180" ht="15.75" customHeight="1" s="83"/>
    <row r="181" ht="15.75" customHeight="1" s="83"/>
    <row r="182" ht="15.75" customHeight="1" s="83"/>
    <row r="183" ht="15.75" customHeight="1" s="83"/>
    <row r="184" ht="15.75" customHeight="1" s="83"/>
    <row r="185" ht="15.75" customHeight="1" s="83"/>
    <row r="186" ht="15.75" customHeight="1" s="83"/>
    <row r="187" ht="15.75" customHeight="1" s="83"/>
    <row r="188" ht="15.75" customHeight="1" s="83"/>
    <row r="189" ht="15.75" customHeight="1" s="83"/>
    <row r="190" ht="15.75" customHeight="1" s="83"/>
    <row r="191" ht="15.75" customHeight="1" s="83"/>
    <row r="192" ht="15.75" customHeight="1" s="83"/>
    <row r="193" ht="15.75" customHeight="1" s="83"/>
    <row r="194" ht="15.75" customHeight="1" s="83"/>
    <row r="195" ht="15.75" customHeight="1" s="83"/>
    <row r="196" ht="15.75" customHeight="1" s="83"/>
    <row r="197" ht="15.75" customHeight="1" s="83"/>
    <row r="198" ht="15.75" customHeight="1" s="83"/>
    <row r="199" ht="15.75" customHeight="1" s="83"/>
    <row r="200" ht="15.75" customHeight="1" s="83"/>
    <row r="201" ht="15.75" customHeight="1" s="83"/>
    <row r="202" ht="15.75" customHeight="1" s="83"/>
    <row r="203" ht="15.75" customHeight="1" s="83"/>
    <row r="204" ht="15.75" customHeight="1" s="83"/>
    <row r="205" ht="15.75" customHeight="1" s="83"/>
    <row r="206" ht="15.75" customHeight="1" s="83"/>
    <row r="207" ht="15.75" customHeight="1" s="83"/>
    <row r="208" ht="15.75" customHeight="1" s="83"/>
    <row r="209" ht="15.75" customHeight="1" s="83"/>
    <row r="210" ht="15.75" customHeight="1" s="83"/>
    <row r="211" ht="15.75" customHeight="1" s="83"/>
    <row r="212" ht="15.75" customHeight="1" s="83"/>
    <row r="213" ht="15.75" customHeight="1" s="83"/>
    <row r="214" ht="15.75" customHeight="1" s="83"/>
    <row r="215" ht="15.75" customHeight="1" s="83"/>
    <row r="216" ht="15.75" customHeight="1" s="83"/>
    <row r="217" ht="15.75" customHeight="1" s="83"/>
    <row r="218" ht="15.75" customHeight="1" s="83"/>
    <row r="219" ht="15.75" customHeight="1" s="83"/>
    <row r="220" ht="15.75" customHeight="1" s="83"/>
    <row r="221" ht="15.75" customHeight="1" s="83"/>
    <row r="222" ht="15.75" customHeight="1" s="83"/>
    <row r="223" ht="15.75" customHeight="1" s="83"/>
    <row r="224" ht="15.75" customHeight="1" s="83"/>
    <row r="225" ht="15.75" customHeight="1" s="83"/>
    <row r="226" ht="15.75" customHeight="1" s="83"/>
    <row r="227" ht="15.75" customHeight="1" s="83"/>
    <row r="228" ht="15.75" customHeight="1" s="83"/>
    <row r="229" ht="15.75" customHeight="1" s="83"/>
    <row r="230" ht="15.75" customHeight="1" s="83"/>
    <row r="231" ht="15.75" customHeight="1" s="83"/>
    <row r="232" ht="15.75" customHeight="1" s="83"/>
    <row r="233" ht="15.75" customHeight="1" s="83"/>
    <row r="234" ht="15.75" customHeight="1" s="83"/>
    <row r="235" ht="15.75" customHeight="1" s="83"/>
    <row r="236" ht="15.75" customHeight="1" s="83"/>
    <row r="237" ht="15.75" customHeight="1" s="83"/>
    <row r="238" ht="15.75" customHeight="1" s="83"/>
    <row r="239" ht="15.75" customHeight="1" s="83"/>
    <row r="240" ht="15.75" customHeight="1" s="83"/>
    <row r="241" ht="15.75" customHeight="1" s="83"/>
    <row r="242" ht="15.75" customHeight="1" s="83"/>
    <row r="243" ht="15.75" customHeight="1" s="83"/>
    <row r="244" ht="15.75" customHeight="1" s="83"/>
    <row r="245" ht="15.75" customHeight="1" s="83"/>
    <row r="246" ht="15.75" customHeight="1" s="83"/>
    <row r="247" ht="15.75" customHeight="1" s="83"/>
    <row r="248" ht="15.75" customHeight="1" s="83"/>
    <row r="249" ht="15.75" customHeight="1" s="83"/>
    <row r="250" ht="15.75" customHeight="1" s="83"/>
    <row r="251" ht="15.75" customHeight="1" s="83"/>
    <row r="252" ht="15.75" customHeight="1" s="83"/>
    <row r="253" ht="15.75" customHeight="1" s="83"/>
    <row r="254" ht="15.75" customHeight="1" s="83"/>
    <row r="255" ht="15.75" customHeight="1" s="83"/>
    <row r="256" ht="15.75" customHeight="1" s="83"/>
    <row r="257" ht="15.75" customHeight="1" s="83"/>
    <row r="258" ht="15.75" customHeight="1" s="83"/>
    <row r="259" ht="15.75" customHeight="1" s="83"/>
    <row r="260" ht="15.75" customHeight="1" s="83"/>
    <row r="261" ht="15.75" customHeight="1" s="83"/>
    <row r="262" ht="15.75" customHeight="1" s="83"/>
    <row r="263" ht="15.75" customHeight="1" s="83"/>
    <row r="264" ht="15.75" customHeight="1" s="83"/>
    <row r="265" ht="15.75" customHeight="1" s="83"/>
    <row r="266" ht="15.75" customHeight="1" s="83"/>
    <row r="267" ht="15.75" customHeight="1" s="83"/>
    <row r="268" ht="15.75" customHeight="1" s="83"/>
    <row r="269" ht="15.75" customHeight="1" s="83"/>
    <row r="270" ht="15.75" customHeight="1" s="83"/>
    <row r="271" ht="15.75" customHeight="1" s="83"/>
    <row r="272" ht="15.75" customHeight="1" s="83"/>
    <row r="273" ht="15.75" customHeight="1" s="83"/>
    <row r="274" ht="15.75" customHeight="1" s="83"/>
    <row r="275" ht="15.75" customHeight="1" s="83"/>
    <row r="276" ht="15.75" customHeight="1" s="83"/>
    <row r="277" ht="15.75" customHeight="1" s="83"/>
    <row r="278" ht="15.75" customHeight="1" s="83"/>
    <row r="279" ht="15.75" customHeight="1" s="83"/>
    <row r="280" ht="15.75" customHeight="1" s="83"/>
    <row r="281" ht="15.75" customHeight="1" s="83"/>
    <row r="282" ht="15.75" customHeight="1" s="83"/>
    <row r="283" ht="15.75" customHeight="1" s="83"/>
    <row r="284" ht="15.75" customHeight="1" s="83"/>
    <row r="285" ht="15.75" customHeight="1" s="83"/>
    <row r="286" ht="15.75" customHeight="1" s="83"/>
    <row r="287" ht="15.75" customHeight="1" s="83"/>
    <row r="288" ht="15.75" customHeight="1" s="83"/>
    <row r="289" ht="15.75" customHeight="1" s="83"/>
    <row r="290" ht="15.75" customHeight="1" s="83"/>
    <row r="291" ht="15.75" customHeight="1" s="83"/>
    <row r="292" ht="15.75" customHeight="1" s="83"/>
    <row r="293" ht="15.75" customHeight="1" s="83"/>
    <row r="294" ht="15.75" customHeight="1" s="83"/>
    <row r="295" ht="15.75" customHeight="1" s="83"/>
    <row r="296" ht="15.75" customHeight="1" s="83"/>
    <row r="297" ht="15.75" customHeight="1" s="83"/>
    <row r="298" ht="15.75" customHeight="1" s="83"/>
    <row r="299" ht="15.75" customHeight="1" s="83"/>
    <row r="300" ht="15.75" customHeight="1" s="83"/>
    <row r="301" ht="15.75" customHeight="1" s="83"/>
    <row r="302" ht="15.75" customHeight="1" s="83"/>
    <row r="303" ht="15.75" customHeight="1" s="83"/>
    <row r="304" ht="15.75" customHeight="1" s="83"/>
    <row r="305" ht="15.75" customHeight="1" s="83"/>
    <row r="306" ht="15.75" customHeight="1" s="83"/>
    <row r="307" ht="15.75" customHeight="1" s="83"/>
    <row r="308" ht="15.75" customHeight="1" s="83"/>
    <row r="309" ht="15.75" customHeight="1" s="83"/>
    <row r="310" ht="15.75" customHeight="1" s="83"/>
    <row r="311" ht="15.75" customHeight="1" s="83"/>
    <row r="312" ht="15.75" customHeight="1" s="83"/>
    <row r="313" ht="15.75" customHeight="1" s="83"/>
    <row r="314" ht="15.75" customHeight="1" s="83"/>
    <row r="315" ht="15.75" customHeight="1" s="83"/>
    <row r="316" ht="15.75" customHeight="1" s="83"/>
    <row r="317" ht="15.75" customHeight="1" s="83"/>
    <row r="318" ht="15.75" customHeight="1" s="83"/>
    <row r="319" ht="15.75" customHeight="1" s="83"/>
    <row r="320" ht="15.75" customHeight="1" s="83"/>
    <row r="321" ht="15.75" customHeight="1" s="83"/>
    <row r="322" ht="15.75" customHeight="1" s="83"/>
    <row r="323" ht="15.75" customHeight="1" s="83"/>
    <row r="324" ht="15.75" customHeight="1" s="83"/>
    <row r="325" ht="15.75" customHeight="1" s="83"/>
    <row r="326" ht="15.75" customHeight="1" s="83"/>
    <row r="327" ht="15.75" customHeight="1" s="83"/>
    <row r="328" ht="15.75" customHeight="1" s="83"/>
    <row r="329" ht="15.75" customHeight="1" s="83"/>
    <row r="330" ht="15.75" customHeight="1" s="83"/>
    <row r="331" ht="15.75" customHeight="1" s="83"/>
    <row r="332" ht="15.75" customHeight="1" s="83"/>
    <row r="333" ht="15.75" customHeight="1" s="83"/>
    <row r="334" ht="15.75" customHeight="1" s="83"/>
    <row r="335" ht="15.75" customHeight="1" s="83"/>
    <row r="336" ht="15.75" customHeight="1" s="83"/>
    <row r="337" ht="15.75" customHeight="1" s="83"/>
    <row r="338" ht="15.75" customHeight="1" s="83"/>
    <row r="339" ht="15.75" customHeight="1" s="83"/>
    <row r="340" ht="15.75" customHeight="1" s="83"/>
    <row r="341" ht="15.75" customHeight="1" s="83"/>
    <row r="342" ht="15.75" customHeight="1" s="83"/>
    <row r="343" ht="15.75" customHeight="1" s="83"/>
    <row r="344" ht="15.75" customHeight="1" s="83"/>
    <row r="345" ht="15.75" customHeight="1" s="83"/>
    <row r="346" ht="15.75" customHeight="1" s="83"/>
    <row r="347" ht="15.75" customHeight="1" s="83"/>
    <row r="348" ht="15.75" customHeight="1" s="83"/>
    <row r="349" ht="15.75" customHeight="1" s="83"/>
    <row r="350" ht="15.75" customHeight="1" s="83"/>
    <row r="351" ht="15.75" customHeight="1" s="83"/>
    <row r="352" ht="15.75" customHeight="1" s="83"/>
    <row r="353" ht="15.75" customHeight="1" s="83"/>
    <row r="354" ht="15.75" customHeight="1" s="83"/>
    <row r="355" ht="15.75" customHeight="1" s="83"/>
    <row r="356" ht="15.75" customHeight="1" s="83"/>
    <row r="357" ht="15.75" customHeight="1" s="83"/>
    <row r="358" ht="15.75" customHeight="1" s="83"/>
    <row r="359" ht="15.75" customHeight="1" s="83"/>
    <row r="360" ht="15.75" customHeight="1" s="83"/>
    <row r="361" ht="15.75" customHeight="1" s="83"/>
    <row r="362" ht="15.75" customHeight="1" s="83"/>
    <row r="363" ht="15.75" customHeight="1" s="83"/>
    <row r="364" ht="15.75" customHeight="1" s="83"/>
    <row r="365" ht="15.75" customHeight="1" s="83"/>
    <row r="366" ht="15.75" customHeight="1" s="83"/>
    <row r="367" ht="15.75" customHeight="1" s="83"/>
    <row r="368" ht="15.75" customHeight="1" s="83"/>
    <row r="369" ht="15.75" customHeight="1" s="83"/>
    <row r="370" ht="15.75" customHeight="1" s="83"/>
    <row r="371" ht="15.75" customHeight="1" s="83"/>
    <row r="372" ht="15.75" customHeight="1" s="83"/>
    <row r="373" ht="15.75" customHeight="1" s="83"/>
    <row r="374" ht="15.75" customHeight="1" s="83"/>
    <row r="375" ht="15.75" customHeight="1" s="83"/>
    <row r="376" ht="15.75" customHeight="1" s="83"/>
    <row r="377" ht="15.75" customHeight="1" s="83"/>
    <row r="378" ht="15.75" customHeight="1" s="83"/>
    <row r="379" ht="15.75" customHeight="1" s="83"/>
    <row r="380" ht="15.75" customHeight="1" s="83"/>
    <row r="381" ht="15.75" customHeight="1" s="83"/>
    <row r="382" ht="15.75" customHeight="1" s="83"/>
    <row r="383" ht="15.75" customHeight="1" s="83"/>
    <row r="384" ht="15.75" customHeight="1" s="83"/>
    <row r="385" ht="15.75" customHeight="1" s="83"/>
    <row r="386" ht="15.75" customHeight="1" s="83"/>
    <row r="387" ht="15.75" customHeight="1" s="83"/>
    <row r="388" ht="15.75" customHeight="1" s="83"/>
    <row r="389" ht="15.75" customHeight="1" s="83"/>
    <row r="390" ht="15.75" customHeight="1" s="83"/>
    <row r="391" ht="15.75" customHeight="1" s="83"/>
    <row r="392" ht="15.75" customHeight="1" s="83"/>
    <row r="393" ht="15.75" customHeight="1" s="83"/>
    <row r="394" ht="15.75" customHeight="1" s="83"/>
    <row r="395" ht="15.75" customHeight="1" s="83"/>
    <row r="396" ht="15.75" customHeight="1" s="83"/>
    <row r="397" ht="15.75" customHeight="1" s="83"/>
    <row r="398" ht="15.75" customHeight="1" s="83"/>
    <row r="399" ht="15.75" customHeight="1" s="83"/>
    <row r="400" ht="15.75" customHeight="1" s="83"/>
    <row r="401" ht="15.75" customHeight="1" s="83"/>
    <row r="402" ht="15.75" customHeight="1" s="83"/>
    <row r="403" ht="15.75" customHeight="1" s="83"/>
    <row r="404" ht="15.75" customHeight="1" s="83"/>
    <row r="405" ht="15.75" customHeight="1" s="83"/>
    <row r="406" ht="15.75" customHeight="1" s="83"/>
    <row r="407" ht="15.75" customHeight="1" s="83"/>
    <row r="408" ht="15.75" customHeight="1" s="83"/>
    <row r="409" ht="15.75" customHeight="1" s="83"/>
    <row r="410" ht="15.75" customHeight="1" s="83"/>
    <row r="411" ht="15.75" customHeight="1" s="83"/>
    <row r="412" ht="15.75" customHeight="1" s="83"/>
    <row r="413" ht="15.75" customHeight="1" s="83"/>
    <row r="414" ht="15.75" customHeight="1" s="83"/>
    <row r="415" ht="15.75" customHeight="1" s="83"/>
    <row r="416" ht="15.75" customHeight="1" s="83"/>
    <row r="417" ht="15.75" customHeight="1" s="83"/>
    <row r="418" ht="15.75" customHeight="1" s="83"/>
    <row r="419" ht="15.75" customHeight="1" s="83"/>
    <row r="420" ht="15.75" customHeight="1" s="83"/>
    <row r="421" ht="15.75" customHeight="1" s="83"/>
    <row r="422" ht="15.75" customHeight="1" s="83"/>
    <row r="423" ht="15.75" customHeight="1" s="83"/>
    <row r="424" ht="15.75" customHeight="1" s="83"/>
    <row r="425" ht="15.75" customHeight="1" s="83"/>
    <row r="426" ht="15.75" customHeight="1" s="83"/>
    <row r="427" ht="15.75" customHeight="1" s="83"/>
    <row r="428" ht="15.75" customHeight="1" s="83"/>
    <row r="429" ht="15.75" customHeight="1" s="83"/>
    <row r="430" ht="15.75" customHeight="1" s="83"/>
    <row r="431" ht="15.75" customHeight="1" s="83"/>
    <row r="432" ht="15.75" customHeight="1" s="83"/>
    <row r="433" ht="15.75" customHeight="1" s="83"/>
    <row r="434" ht="15.75" customHeight="1" s="83"/>
    <row r="435" ht="15.75" customHeight="1" s="83"/>
    <row r="436" ht="15.75" customHeight="1" s="83"/>
    <row r="437" ht="15.75" customHeight="1" s="83"/>
    <row r="438" ht="15.75" customHeight="1" s="83"/>
    <row r="439" ht="15.75" customHeight="1" s="83"/>
    <row r="440" ht="15.75" customHeight="1" s="83"/>
    <row r="441" ht="15.75" customHeight="1" s="83"/>
    <row r="442" ht="15.75" customHeight="1" s="83"/>
    <row r="443" ht="15.75" customHeight="1" s="83"/>
    <row r="444" ht="15.75" customHeight="1" s="83"/>
    <row r="445" ht="15.75" customHeight="1" s="83"/>
    <row r="446" ht="15.75" customHeight="1" s="83"/>
    <row r="447" ht="15.75" customHeight="1" s="83"/>
    <row r="448" ht="15.75" customHeight="1" s="83"/>
    <row r="449" ht="15.75" customHeight="1" s="83"/>
    <row r="450" ht="15.75" customHeight="1" s="83"/>
    <row r="451" ht="15.75" customHeight="1" s="83"/>
    <row r="452" ht="15.75" customHeight="1" s="83"/>
    <row r="453" ht="15.75" customHeight="1" s="83"/>
    <row r="454" ht="15.75" customHeight="1" s="83"/>
    <row r="455" ht="15.75" customHeight="1" s="83"/>
    <row r="456" ht="15.75" customHeight="1" s="83"/>
    <row r="457" ht="15.75" customHeight="1" s="83"/>
    <row r="458" ht="15.75" customHeight="1" s="83"/>
    <row r="459" ht="15.75" customHeight="1" s="83"/>
    <row r="460" ht="15.75" customHeight="1" s="83"/>
    <row r="461" ht="15.75" customHeight="1" s="83"/>
    <row r="462" ht="15.75" customHeight="1" s="83"/>
    <row r="463" ht="15.75" customHeight="1" s="83"/>
    <row r="464" ht="15.75" customHeight="1" s="83"/>
    <row r="465" ht="15.75" customHeight="1" s="83"/>
    <row r="466" ht="15.75" customHeight="1" s="83"/>
    <row r="467" ht="15.75" customHeight="1" s="83"/>
    <row r="468" ht="15.75" customHeight="1" s="83"/>
    <row r="469" ht="15.75" customHeight="1" s="83"/>
    <row r="470" ht="15.75" customHeight="1" s="83"/>
    <row r="471" ht="15.75" customHeight="1" s="83"/>
    <row r="472" ht="15.75" customHeight="1" s="83"/>
    <row r="473" ht="15.75" customHeight="1" s="83"/>
    <row r="474" ht="15.75" customHeight="1" s="83"/>
    <row r="475" ht="15.75" customHeight="1" s="83"/>
    <row r="476" ht="15.75" customHeight="1" s="83"/>
    <row r="477" ht="15.75" customHeight="1" s="83"/>
    <row r="478" ht="15.75" customHeight="1" s="83"/>
    <row r="479" ht="15.75" customHeight="1" s="83"/>
    <row r="480" ht="15.75" customHeight="1" s="83"/>
    <row r="481" ht="15.75" customHeight="1" s="83"/>
    <row r="482" ht="15.75" customHeight="1" s="83"/>
    <row r="483" ht="15.75" customHeight="1" s="83"/>
    <row r="484" ht="15.75" customHeight="1" s="83"/>
    <row r="485" ht="15.75" customHeight="1" s="83"/>
    <row r="486" ht="15.75" customHeight="1" s="83"/>
    <row r="487" ht="15.75" customHeight="1" s="83"/>
    <row r="488" ht="15.75" customHeight="1" s="83"/>
    <row r="489" ht="15.75" customHeight="1" s="83"/>
    <row r="490" ht="15.75" customHeight="1" s="83"/>
    <row r="491" ht="15.75" customHeight="1" s="83"/>
    <row r="492" ht="15.75" customHeight="1" s="83"/>
    <row r="493" ht="15.75" customHeight="1" s="83"/>
    <row r="494" ht="15.75" customHeight="1" s="83"/>
    <row r="495" ht="15.75" customHeight="1" s="83"/>
    <row r="496" ht="15.75" customHeight="1" s="83"/>
    <row r="497" ht="15.75" customHeight="1" s="83"/>
    <row r="498" ht="15.75" customHeight="1" s="83"/>
    <row r="499" ht="15.75" customHeight="1" s="83"/>
    <row r="500" ht="15.75" customHeight="1" s="83"/>
    <row r="501" ht="15.75" customHeight="1" s="83"/>
    <row r="502" ht="15.75" customHeight="1" s="83"/>
    <row r="503" ht="15.75" customHeight="1" s="83"/>
    <row r="504" ht="15.75" customHeight="1" s="83"/>
    <row r="505" ht="15.75" customHeight="1" s="83"/>
    <row r="506" ht="15.75" customHeight="1" s="83"/>
    <row r="507" ht="15.75" customHeight="1" s="83"/>
    <row r="508" ht="15.75" customHeight="1" s="83"/>
    <row r="509" ht="15.75" customHeight="1" s="83"/>
    <row r="510" ht="15.75" customHeight="1" s="83"/>
    <row r="511" ht="15.75" customHeight="1" s="83"/>
    <row r="512" ht="15.75" customHeight="1" s="83"/>
    <row r="513" ht="15.75" customHeight="1" s="83"/>
    <row r="514" ht="15.75" customHeight="1" s="83"/>
    <row r="515" ht="15.75" customHeight="1" s="83"/>
    <row r="516" ht="15.75" customHeight="1" s="83"/>
    <row r="517" ht="15.75" customHeight="1" s="83"/>
    <row r="518" ht="15.75" customHeight="1" s="83"/>
    <row r="519" ht="15.75" customHeight="1" s="83"/>
    <row r="520" ht="15.75" customHeight="1" s="83"/>
    <row r="521" ht="15.75" customHeight="1" s="83"/>
    <row r="522" ht="15.75" customHeight="1" s="83"/>
    <row r="523" ht="15.75" customHeight="1" s="83"/>
    <row r="524" ht="15.75" customHeight="1" s="83"/>
    <row r="525" ht="15.75" customHeight="1" s="83"/>
    <row r="526" ht="15.75" customHeight="1" s="83"/>
    <row r="527" ht="15.75" customHeight="1" s="83"/>
    <row r="528" ht="15.75" customHeight="1" s="83"/>
    <row r="529" ht="15.75" customHeight="1" s="83"/>
    <row r="530" ht="15.75" customHeight="1" s="83"/>
    <row r="531" ht="15.75" customHeight="1" s="83"/>
    <row r="532" ht="15.75" customHeight="1" s="83"/>
    <row r="533" ht="15.75" customHeight="1" s="83"/>
    <row r="534" ht="15.75" customHeight="1" s="83"/>
    <row r="535" ht="15.75" customHeight="1" s="83"/>
    <row r="536" ht="15.75" customHeight="1" s="83"/>
    <row r="537" ht="15.75" customHeight="1" s="83"/>
    <row r="538" ht="15.75" customHeight="1" s="83"/>
    <row r="539" ht="15.75" customHeight="1" s="83"/>
    <row r="540" ht="15.75" customHeight="1" s="83"/>
    <row r="541" ht="15.75" customHeight="1" s="83"/>
    <row r="542" ht="15.75" customHeight="1" s="83"/>
    <row r="543" ht="15.75" customHeight="1" s="83"/>
    <row r="544" ht="15.75" customHeight="1" s="83"/>
    <row r="545" ht="15.75" customHeight="1" s="83"/>
    <row r="546" ht="15.75" customHeight="1" s="83"/>
    <row r="547" ht="15.75" customHeight="1" s="83"/>
    <row r="548" ht="15.75" customHeight="1" s="83"/>
    <row r="549" ht="15.75" customHeight="1" s="83"/>
    <row r="550" ht="15.75" customHeight="1" s="83"/>
    <row r="551" ht="15.75" customHeight="1" s="83"/>
    <row r="552" ht="15.75" customHeight="1" s="83"/>
    <row r="553" ht="15.75" customHeight="1" s="83"/>
    <row r="554" ht="15.75" customHeight="1" s="83"/>
    <row r="555" ht="15.75" customHeight="1" s="83"/>
    <row r="556" ht="15.75" customHeight="1" s="83"/>
    <row r="557" ht="15.75" customHeight="1" s="83"/>
    <row r="558" ht="15.75" customHeight="1" s="83"/>
    <row r="559" ht="15.75" customHeight="1" s="83"/>
    <row r="560" ht="15.75" customHeight="1" s="83"/>
    <row r="561" ht="15.75" customHeight="1" s="83"/>
    <row r="562" ht="15.75" customHeight="1" s="83"/>
    <row r="563" ht="15.75" customHeight="1" s="83"/>
    <row r="564" ht="15.75" customHeight="1" s="83"/>
    <row r="565" ht="15.75" customHeight="1" s="83"/>
    <row r="566" ht="15.75" customHeight="1" s="83"/>
    <row r="567" ht="15.75" customHeight="1" s="83"/>
    <row r="568" ht="15.75" customHeight="1" s="83"/>
    <row r="569" ht="15.75" customHeight="1" s="83"/>
    <row r="570" ht="15.75" customHeight="1" s="83"/>
    <row r="571" ht="15.75" customHeight="1" s="83"/>
    <row r="572" ht="15.75" customHeight="1" s="83"/>
    <row r="573" ht="15.75" customHeight="1" s="83"/>
    <row r="574" ht="15.75" customHeight="1" s="83"/>
    <row r="575" ht="15.75" customHeight="1" s="83"/>
    <row r="576" ht="15.75" customHeight="1" s="83"/>
    <row r="577" ht="15.75" customHeight="1" s="83"/>
    <row r="578" ht="15.75" customHeight="1" s="83"/>
    <row r="579" ht="15.75" customHeight="1" s="83"/>
    <row r="580" ht="15.75" customHeight="1" s="83"/>
    <row r="581" ht="15.75" customHeight="1" s="83"/>
    <row r="582" ht="15.75" customHeight="1" s="83"/>
    <row r="583" ht="15.75" customHeight="1" s="83"/>
    <row r="584" ht="15.75" customHeight="1" s="83"/>
    <row r="585" ht="15.75" customHeight="1" s="83"/>
    <row r="586" ht="15.75" customHeight="1" s="83"/>
    <row r="587" ht="15.75" customHeight="1" s="83"/>
    <row r="588" ht="15.75" customHeight="1" s="83"/>
    <row r="589" ht="15.75" customHeight="1" s="83"/>
    <row r="590" ht="15.75" customHeight="1" s="83"/>
    <row r="591" ht="15.75" customHeight="1" s="83"/>
    <row r="592" ht="15.75" customHeight="1" s="83"/>
    <row r="593" ht="15.75" customHeight="1" s="83"/>
    <row r="594" ht="15.75" customHeight="1" s="83"/>
    <row r="595" ht="15.75" customHeight="1" s="83"/>
    <row r="596" ht="15.75" customHeight="1" s="83"/>
    <row r="597" ht="15.75" customHeight="1" s="83"/>
    <row r="598" ht="15.75" customHeight="1" s="83"/>
    <row r="599" ht="15.75" customHeight="1" s="83"/>
    <row r="600" ht="15.75" customHeight="1" s="83"/>
    <row r="601" ht="15.75" customHeight="1" s="83"/>
    <row r="602" ht="15.75" customHeight="1" s="83"/>
    <row r="603" ht="15.75" customHeight="1" s="83"/>
    <row r="604" ht="15.75" customHeight="1" s="83"/>
    <row r="605" ht="15.75" customHeight="1" s="83"/>
    <row r="606" ht="15.75" customHeight="1" s="83"/>
    <row r="607" ht="15.75" customHeight="1" s="83"/>
    <row r="608" ht="15.75" customHeight="1" s="83"/>
    <row r="609" ht="15.75" customHeight="1" s="83"/>
    <row r="610" ht="15.75" customHeight="1" s="83"/>
    <row r="611" ht="15.75" customHeight="1" s="83"/>
    <row r="612" ht="15.75" customHeight="1" s="83"/>
    <row r="613" ht="15.75" customHeight="1" s="83"/>
    <row r="614" ht="15.75" customHeight="1" s="83"/>
    <row r="615" ht="15.75" customHeight="1" s="83"/>
    <row r="616" ht="15.75" customHeight="1" s="83"/>
    <row r="617" ht="15.75" customHeight="1" s="83"/>
    <row r="618" ht="15.75" customHeight="1" s="83"/>
    <row r="619" ht="15.75" customHeight="1" s="83"/>
    <row r="620" ht="15.75" customHeight="1" s="83"/>
    <row r="621" ht="15.75" customHeight="1" s="83"/>
    <row r="622" ht="15.75" customHeight="1" s="83"/>
    <row r="623" ht="15.75" customHeight="1" s="83"/>
    <row r="624" ht="15.75" customHeight="1" s="83"/>
    <row r="625" ht="15.75" customHeight="1" s="83"/>
    <row r="626" ht="15.75" customHeight="1" s="83"/>
    <row r="627" ht="15.75" customHeight="1" s="83"/>
    <row r="628" ht="15.75" customHeight="1" s="83"/>
    <row r="629" ht="15.75" customHeight="1" s="83"/>
    <row r="630" ht="15.75" customHeight="1" s="83"/>
    <row r="631" ht="15.75" customHeight="1" s="83"/>
    <row r="632" ht="15.75" customHeight="1" s="83"/>
    <row r="633" ht="15.75" customHeight="1" s="83"/>
    <row r="634" ht="15.75" customHeight="1" s="83"/>
    <row r="635" ht="15.75" customHeight="1" s="83"/>
    <row r="636" ht="15.75" customHeight="1" s="83"/>
    <row r="637" ht="15.75" customHeight="1" s="83"/>
    <row r="638" ht="15.75" customHeight="1" s="83"/>
    <row r="639" ht="15.75" customHeight="1" s="83"/>
    <row r="640" ht="15.75" customHeight="1" s="83"/>
    <row r="641" ht="15.75" customHeight="1" s="83"/>
    <row r="642" ht="15.75" customHeight="1" s="83"/>
    <row r="643" ht="15.75" customHeight="1" s="83"/>
    <row r="644" ht="15.75" customHeight="1" s="83"/>
    <row r="645" ht="15.75" customHeight="1" s="83"/>
    <row r="646" ht="15.75" customHeight="1" s="83"/>
    <row r="647" ht="15.75" customHeight="1" s="83"/>
    <row r="648" ht="15.75" customHeight="1" s="83"/>
    <row r="649" ht="15.75" customHeight="1" s="83"/>
    <row r="650" ht="15.75" customHeight="1" s="83"/>
    <row r="651" ht="15.75" customHeight="1" s="83"/>
    <row r="652" ht="15.75" customHeight="1" s="83"/>
    <row r="653" ht="15.75" customHeight="1" s="83"/>
    <row r="654" ht="15.75" customHeight="1" s="83"/>
    <row r="655" ht="15.75" customHeight="1" s="83"/>
    <row r="656" ht="15.75" customHeight="1" s="83"/>
    <row r="657" ht="15.75" customHeight="1" s="83"/>
    <row r="658" ht="15.75" customHeight="1" s="83"/>
    <row r="659" ht="15.75" customHeight="1" s="83"/>
    <row r="660" ht="15.75" customHeight="1" s="83"/>
    <row r="661" ht="15.75" customHeight="1" s="83"/>
    <row r="662" ht="15.75" customHeight="1" s="83"/>
    <row r="663" ht="15.75" customHeight="1" s="83"/>
    <row r="664" ht="15.75" customHeight="1" s="83"/>
    <row r="665" ht="15.75" customHeight="1" s="83"/>
    <row r="666" ht="15.75" customHeight="1" s="83"/>
    <row r="667" ht="15.75" customHeight="1" s="83"/>
    <row r="668" ht="15.75" customHeight="1" s="83"/>
    <row r="669" ht="15.75" customHeight="1" s="83"/>
    <row r="670" ht="15.75" customHeight="1" s="83"/>
    <row r="671" ht="15.75" customHeight="1" s="83"/>
    <row r="672" ht="15.75" customHeight="1" s="83"/>
    <row r="673" ht="15.75" customHeight="1" s="83"/>
    <row r="674" ht="15.75" customHeight="1" s="83"/>
    <row r="675" ht="15.75" customHeight="1" s="83"/>
    <row r="676" ht="15.75" customHeight="1" s="83"/>
    <row r="677" ht="15.75" customHeight="1" s="83"/>
    <row r="678" ht="15.75" customHeight="1" s="83"/>
    <row r="679" ht="15.75" customHeight="1" s="83"/>
    <row r="680" ht="15.75" customHeight="1" s="83"/>
    <row r="681" ht="15.75" customHeight="1" s="83"/>
    <row r="682" ht="15.75" customHeight="1" s="83"/>
    <row r="683" ht="15.75" customHeight="1" s="83"/>
    <row r="684" ht="15.75" customHeight="1" s="83"/>
    <row r="685" ht="15.75" customHeight="1" s="83"/>
    <row r="686" ht="15.75" customHeight="1" s="83"/>
    <row r="687" ht="15.75" customHeight="1" s="83"/>
    <row r="688" ht="15.75" customHeight="1" s="83"/>
    <row r="689" ht="15.75" customHeight="1" s="83"/>
    <row r="690" ht="15.75" customHeight="1" s="83"/>
    <row r="691" ht="15.75" customHeight="1" s="83"/>
    <row r="692" ht="15.75" customHeight="1" s="83"/>
    <row r="693" ht="15.75" customHeight="1" s="83"/>
    <row r="694" ht="15.75" customHeight="1" s="83"/>
    <row r="695" ht="15.75" customHeight="1" s="83"/>
    <row r="696" ht="15.75" customHeight="1" s="83"/>
    <row r="697" ht="15.75" customHeight="1" s="83"/>
    <row r="698" ht="15.75" customHeight="1" s="83"/>
    <row r="699" ht="15.75" customHeight="1" s="83"/>
    <row r="700" ht="15.75" customHeight="1" s="83"/>
    <row r="701" ht="15.75" customHeight="1" s="83"/>
    <row r="702" ht="15.75" customHeight="1" s="83"/>
    <row r="703" ht="15.75" customHeight="1" s="83"/>
    <row r="704" ht="15.75" customHeight="1" s="83"/>
    <row r="705" ht="15.75" customHeight="1" s="83"/>
    <row r="706" ht="15.75" customHeight="1" s="83"/>
    <row r="707" ht="15.75" customHeight="1" s="83"/>
    <row r="708" ht="15.75" customHeight="1" s="83"/>
    <row r="709" ht="15.75" customHeight="1" s="83"/>
    <row r="710" ht="15.75" customHeight="1" s="83"/>
    <row r="711" ht="15.75" customHeight="1" s="83"/>
    <row r="712" ht="15.75" customHeight="1" s="83"/>
    <row r="713" ht="15.75" customHeight="1" s="83"/>
    <row r="714" ht="15.75" customHeight="1" s="83"/>
    <row r="715" ht="15.75" customHeight="1" s="83"/>
    <row r="716" ht="15.75" customHeight="1" s="83"/>
    <row r="717" ht="15.75" customHeight="1" s="83"/>
    <row r="718" ht="15.75" customHeight="1" s="83"/>
    <row r="719" ht="15.75" customHeight="1" s="83"/>
    <row r="720" ht="15.75" customHeight="1" s="83"/>
    <row r="721" ht="15.75" customHeight="1" s="83"/>
    <row r="722" ht="15.75" customHeight="1" s="83"/>
    <row r="723" ht="15.75" customHeight="1" s="83"/>
    <row r="724" ht="15.75" customHeight="1" s="83"/>
    <row r="725" ht="15.75" customHeight="1" s="83"/>
    <row r="726" ht="15.75" customHeight="1" s="83"/>
    <row r="727" ht="15.75" customHeight="1" s="83"/>
    <row r="728" ht="15.75" customHeight="1" s="83"/>
    <row r="729" ht="15.75" customHeight="1" s="83"/>
    <row r="730" ht="15.75" customHeight="1" s="83"/>
    <row r="731" ht="15.75" customHeight="1" s="83"/>
    <row r="732" ht="15.75" customHeight="1" s="83"/>
    <row r="733" ht="15.75" customHeight="1" s="83"/>
    <row r="734" ht="15.75" customHeight="1" s="83"/>
    <row r="735" ht="15.75" customHeight="1" s="83"/>
    <row r="736" ht="15.75" customHeight="1" s="83"/>
    <row r="737" ht="15.75" customHeight="1" s="83"/>
    <row r="738" ht="15.75" customHeight="1" s="83"/>
    <row r="739" ht="15.75" customHeight="1" s="83"/>
    <row r="740" ht="15.75" customHeight="1" s="83"/>
    <row r="741" ht="15.75" customHeight="1" s="83"/>
    <row r="742" ht="15.75" customHeight="1" s="83"/>
    <row r="743" ht="15.75" customHeight="1" s="83"/>
    <row r="744" ht="15.75" customHeight="1" s="83"/>
    <row r="745" ht="15.75" customHeight="1" s="83"/>
    <row r="746" ht="15.75" customHeight="1" s="83"/>
    <row r="747" ht="15.75" customHeight="1" s="83"/>
    <row r="748" ht="15.75" customHeight="1" s="83"/>
    <row r="749" ht="15.75" customHeight="1" s="83"/>
    <row r="750" ht="15.75" customHeight="1" s="83"/>
    <row r="751" ht="15.75" customHeight="1" s="83"/>
    <row r="752" ht="15.75" customHeight="1" s="83"/>
    <row r="753" ht="15.75" customHeight="1" s="83"/>
    <row r="754" ht="15.75" customHeight="1" s="83"/>
    <row r="755" ht="15.75" customHeight="1" s="83"/>
    <row r="756" ht="15.75" customHeight="1" s="83"/>
    <row r="757" ht="15.75" customHeight="1" s="83"/>
    <row r="758" ht="15.75" customHeight="1" s="83"/>
    <row r="759" ht="15.75" customHeight="1" s="83"/>
    <row r="760" ht="15.75" customHeight="1" s="83"/>
    <row r="761" ht="15.75" customHeight="1" s="83"/>
    <row r="762" ht="15.75" customHeight="1" s="83"/>
    <row r="763" ht="15.75" customHeight="1" s="83"/>
    <row r="764" ht="15.75" customHeight="1" s="83"/>
    <row r="765" ht="15.75" customHeight="1" s="83"/>
    <row r="766" ht="15.75" customHeight="1" s="83"/>
    <row r="767" ht="15.75" customHeight="1" s="83"/>
    <row r="768" ht="15.75" customHeight="1" s="83"/>
    <row r="769" ht="15.75" customHeight="1" s="83"/>
    <row r="770" ht="15.75" customHeight="1" s="83"/>
    <row r="771" ht="15.75" customHeight="1" s="83"/>
    <row r="772" ht="15.75" customHeight="1" s="83"/>
    <row r="773" ht="15.75" customHeight="1" s="83"/>
    <row r="774" ht="15.75" customHeight="1" s="83"/>
    <row r="775" ht="15.75" customHeight="1" s="83"/>
    <row r="776" ht="15.75" customHeight="1" s="83"/>
    <row r="777" ht="15.75" customHeight="1" s="83"/>
    <row r="778" ht="15.75" customHeight="1" s="83"/>
    <row r="779" ht="15.75" customHeight="1" s="83"/>
    <row r="780" ht="15.75" customHeight="1" s="83"/>
    <row r="781" ht="15.75" customHeight="1" s="83"/>
    <row r="782" ht="15.75" customHeight="1" s="83"/>
    <row r="783" ht="15.75" customHeight="1" s="83"/>
    <row r="784" ht="15.75" customHeight="1" s="83"/>
    <row r="785" ht="15.75" customHeight="1" s="83"/>
    <row r="786" ht="15.75" customHeight="1" s="83"/>
    <row r="787" ht="15.75" customHeight="1" s="83"/>
    <row r="788" ht="15.75" customHeight="1" s="83"/>
    <row r="789" ht="15.75" customHeight="1" s="83"/>
    <row r="790" ht="15.75" customHeight="1" s="83"/>
    <row r="791" ht="15.75" customHeight="1" s="83"/>
    <row r="792" ht="15.75" customHeight="1" s="83"/>
    <row r="793" ht="15.75" customHeight="1" s="83"/>
    <row r="794" ht="15.75" customHeight="1" s="83"/>
    <row r="795" ht="15.75" customHeight="1" s="83"/>
    <row r="796" ht="15.75" customHeight="1" s="83"/>
    <row r="797" ht="15.75" customHeight="1" s="83"/>
    <row r="798" ht="15.75" customHeight="1" s="83"/>
    <row r="799" ht="15.75" customHeight="1" s="83"/>
    <row r="800" ht="15.75" customHeight="1" s="83"/>
    <row r="801" ht="15.75" customHeight="1" s="83"/>
    <row r="802" ht="15.75" customHeight="1" s="83"/>
    <row r="803" ht="15.75" customHeight="1" s="83"/>
    <row r="804" ht="15.75" customHeight="1" s="83"/>
    <row r="805" ht="15.75" customHeight="1" s="83"/>
    <row r="806" ht="15.75" customHeight="1" s="83"/>
    <row r="807" ht="15.75" customHeight="1" s="83"/>
    <row r="808" ht="15.75" customHeight="1" s="83"/>
    <row r="809" ht="15.75" customHeight="1" s="83"/>
    <row r="810" ht="15.75" customHeight="1" s="83"/>
    <row r="811" ht="15.75" customHeight="1" s="83"/>
    <row r="812" ht="15.75" customHeight="1" s="83"/>
    <row r="813" ht="15.75" customHeight="1" s="83"/>
    <row r="814" ht="15.75" customHeight="1" s="83"/>
    <row r="815" ht="15.75" customHeight="1" s="83"/>
    <row r="816" ht="15.75" customHeight="1" s="83"/>
    <row r="817" ht="15.75" customHeight="1" s="83"/>
    <row r="818" ht="15.75" customHeight="1" s="83"/>
    <row r="819" ht="15.75" customHeight="1" s="83"/>
    <row r="820" ht="15.75" customHeight="1" s="83"/>
    <row r="821" ht="15.75" customHeight="1" s="83"/>
    <row r="822" ht="15.75" customHeight="1" s="83"/>
    <row r="823" ht="15.75" customHeight="1" s="83"/>
    <row r="824" ht="15.75" customHeight="1" s="83"/>
    <row r="825" ht="15.75" customHeight="1" s="83"/>
    <row r="826" ht="15.75" customHeight="1" s="83"/>
    <row r="827" ht="15.75" customHeight="1" s="83"/>
    <row r="828" ht="15.75" customHeight="1" s="83"/>
    <row r="829" ht="15.75" customHeight="1" s="83"/>
    <row r="830" ht="15.75" customHeight="1" s="83"/>
    <row r="831" ht="15.75" customHeight="1" s="83"/>
    <row r="832" ht="15.75" customHeight="1" s="83"/>
    <row r="833" ht="15.75" customHeight="1" s="83"/>
    <row r="834" ht="15.75" customHeight="1" s="83"/>
    <row r="835" ht="15.75" customHeight="1" s="83"/>
    <row r="836" ht="15.75" customHeight="1" s="83"/>
    <row r="837" ht="15.75" customHeight="1" s="83"/>
    <row r="838" ht="15.75" customHeight="1" s="83"/>
    <row r="839" ht="15.75" customHeight="1" s="83"/>
    <row r="840" ht="15.75" customHeight="1" s="83"/>
    <row r="841" ht="15.75" customHeight="1" s="83"/>
    <row r="842" ht="15.75" customHeight="1" s="83"/>
    <row r="843" ht="15.75" customHeight="1" s="83"/>
    <row r="844" ht="15.75" customHeight="1" s="83"/>
    <row r="845" ht="15.75" customHeight="1" s="83"/>
    <row r="846" ht="15.75" customHeight="1" s="83"/>
    <row r="847" ht="15.75" customHeight="1" s="83"/>
    <row r="848" ht="15.75" customHeight="1" s="83"/>
    <row r="849" ht="15.75" customHeight="1" s="83"/>
    <row r="850" ht="15.75" customHeight="1" s="83"/>
    <row r="851" ht="15.75" customHeight="1" s="83"/>
    <row r="852" ht="15.75" customHeight="1" s="83"/>
    <row r="853" ht="15.75" customHeight="1" s="83"/>
    <row r="854" ht="15.75" customHeight="1" s="83"/>
    <row r="855" ht="15.75" customHeight="1" s="83"/>
    <row r="856" ht="15.75" customHeight="1" s="83"/>
    <row r="857" ht="15.75" customHeight="1" s="83"/>
    <row r="858" ht="15.75" customHeight="1" s="83"/>
    <row r="859" ht="15.75" customHeight="1" s="83"/>
    <row r="860" ht="15.75" customHeight="1" s="83"/>
    <row r="861" ht="15.75" customHeight="1" s="83"/>
    <row r="862" ht="15.75" customHeight="1" s="83"/>
    <row r="863" ht="15.75" customHeight="1" s="83"/>
    <row r="864" ht="15.75" customHeight="1" s="83"/>
    <row r="865" ht="15.75" customHeight="1" s="83"/>
    <row r="866" ht="15.75" customHeight="1" s="83"/>
    <row r="867" ht="15.75" customHeight="1" s="83"/>
    <row r="868" ht="15.75" customHeight="1" s="83"/>
    <row r="869" ht="15.75" customHeight="1" s="83"/>
    <row r="870" ht="15.75" customHeight="1" s="83"/>
    <row r="871" ht="15.75" customHeight="1" s="83"/>
    <row r="872" ht="15.75" customHeight="1" s="83"/>
    <row r="873" ht="15.75" customHeight="1" s="83"/>
    <row r="874" ht="15.75" customHeight="1" s="83"/>
    <row r="875" ht="15.75" customHeight="1" s="83"/>
    <row r="876" ht="15.75" customHeight="1" s="83"/>
    <row r="877" ht="15.75" customHeight="1" s="83"/>
    <row r="878" ht="15.75" customHeight="1" s="83"/>
    <row r="879" ht="15.75" customHeight="1" s="83"/>
    <row r="880" ht="15.75" customHeight="1" s="83"/>
    <row r="881" ht="15.75" customHeight="1" s="83"/>
    <row r="882" ht="15.75" customHeight="1" s="83"/>
    <row r="883" ht="15.75" customHeight="1" s="83"/>
    <row r="884" ht="15.75" customHeight="1" s="83"/>
    <row r="885" ht="15.75" customHeight="1" s="83"/>
    <row r="886" ht="15.75" customHeight="1" s="83"/>
    <row r="887" ht="15.75" customHeight="1" s="83"/>
    <row r="888" ht="15.75" customHeight="1" s="83"/>
    <row r="889" ht="15.75" customHeight="1" s="83"/>
    <row r="890" ht="15.75" customHeight="1" s="83"/>
    <row r="891" ht="15.75" customHeight="1" s="83"/>
    <row r="892" ht="15.75" customHeight="1" s="83"/>
    <row r="893" ht="15.75" customHeight="1" s="83"/>
    <row r="894" ht="15.75" customHeight="1" s="83"/>
    <row r="895" ht="15.75" customHeight="1" s="83"/>
    <row r="896" ht="15.75" customHeight="1" s="83"/>
    <row r="897" ht="15.75" customHeight="1" s="83"/>
    <row r="898" ht="15.75" customHeight="1" s="83"/>
    <row r="899" ht="15.75" customHeight="1" s="83"/>
    <row r="900" ht="15.75" customHeight="1" s="83"/>
    <row r="901" ht="15.75" customHeight="1" s="83"/>
    <row r="902" ht="15.75" customHeight="1" s="83"/>
    <row r="903" ht="15.75" customHeight="1" s="83"/>
    <row r="904" ht="15.75" customHeight="1" s="83"/>
    <row r="905" ht="15.75" customHeight="1" s="83"/>
    <row r="906" ht="15.75" customHeight="1" s="83"/>
    <row r="907" ht="15.75" customHeight="1" s="83"/>
    <row r="908" ht="15.75" customHeight="1" s="83"/>
    <row r="909" ht="15.75" customHeight="1" s="83"/>
    <row r="910" ht="15.75" customHeight="1" s="83"/>
    <row r="911" ht="15.75" customHeight="1" s="83"/>
    <row r="912" ht="15.75" customHeight="1" s="83"/>
    <row r="913" ht="15.75" customHeight="1" s="83"/>
    <row r="914" ht="15.75" customHeight="1" s="83"/>
    <row r="915" ht="15.75" customHeight="1" s="83"/>
    <row r="916" ht="15.75" customHeight="1" s="83"/>
    <row r="917" ht="15.75" customHeight="1" s="83"/>
    <row r="918" ht="15.75" customHeight="1" s="83"/>
    <row r="919" ht="15.75" customHeight="1" s="83"/>
    <row r="920" ht="15.75" customHeight="1" s="83"/>
    <row r="921" ht="15.75" customHeight="1" s="83"/>
    <row r="922" ht="15.75" customHeight="1" s="83"/>
    <row r="923" ht="15.75" customHeight="1" s="83"/>
    <row r="924" ht="15.75" customHeight="1" s="83"/>
    <row r="925" ht="15.75" customHeight="1" s="83"/>
    <row r="926" ht="15.75" customHeight="1" s="83"/>
    <row r="927" ht="15.75" customHeight="1" s="83"/>
    <row r="928" ht="15.75" customHeight="1" s="83"/>
    <row r="929" ht="15.75" customHeight="1" s="83"/>
    <row r="930" ht="15.75" customHeight="1" s="83"/>
    <row r="931" ht="15.75" customHeight="1" s="83"/>
    <row r="932" ht="15.75" customHeight="1" s="83"/>
    <row r="933" ht="15.75" customHeight="1" s="83"/>
    <row r="934" ht="15.75" customHeight="1" s="83"/>
    <row r="935" ht="15.75" customHeight="1" s="83"/>
    <row r="936" ht="15.75" customHeight="1" s="83"/>
    <row r="937" ht="15.75" customHeight="1" s="83"/>
    <row r="938" ht="15.75" customHeight="1" s="83"/>
    <row r="939" ht="15.75" customHeight="1" s="83"/>
    <row r="940" ht="15.75" customHeight="1" s="83"/>
    <row r="941" ht="15.75" customHeight="1" s="83"/>
    <row r="942" ht="15.75" customHeight="1" s="83"/>
    <row r="943" ht="15.75" customHeight="1" s="83"/>
    <row r="944" ht="15.75" customHeight="1" s="83"/>
    <row r="945" ht="15.75" customHeight="1" s="83"/>
    <row r="946" ht="15.75" customHeight="1" s="83"/>
    <row r="947" ht="15.75" customHeight="1" s="83"/>
    <row r="948" ht="15.75" customHeight="1" s="83"/>
    <row r="949" ht="15.75" customHeight="1" s="83"/>
    <row r="950" ht="15.75" customHeight="1" s="83"/>
    <row r="951" ht="15.75" customHeight="1" s="83"/>
    <row r="952" ht="15.75" customHeight="1" s="83"/>
    <row r="953" ht="15.75" customHeight="1" s="83"/>
    <row r="954" ht="15.75" customHeight="1" s="83"/>
    <row r="955" ht="15.75" customHeight="1" s="83"/>
    <row r="956" ht="15.75" customHeight="1" s="83"/>
    <row r="957" ht="15.75" customHeight="1" s="83"/>
    <row r="958" ht="15.75" customHeight="1" s="83"/>
    <row r="959" ht="15.75" customHeight="1" s="83"/>
    <row r="960" ht="15.75" customHeight="1" s="83"/>
    <row r="961" ht="15.75" customHeight="1" s="83"/>
    <row r="962" ht="15.75" customHeight="1" s="83"/>
    <row r="963" ht="15.75" customHeight="1" s="83"/>
    <row r="964" ht="15.75" customHeight="1" s="83"/>
    <row r="965" ht="15.75" customHeight="1" s="83"/>
    <row r="966" ht="15.75" customHeight="1" s="83"/>
    <row r="967" ht="15.75" customHeight="1" s="83"/>
    <row r="968" ht="15.75" customHeight="1" s="83"/>
    <row r="969" ht="15.75" customHeight="1" s="83"/>
    <row r="970" ht="15.75" customHeight="1" s="83"/>
    <row r="971" ht="15.75" customHeight="1" s="83"/>
    <row r="972" ht="15.75" customHeight="1" s="83"/>
    <row r="973" ht="15.75" customHeight="1" s="83"/>
    <row r="974" ht="15.75" customHeight="1" s="83"/>
    <row r="975" ht="15.75" customHeight="1" s="83"/>
    <row r="976" ht="15.75" customHeight="1" s="83"/>
    <row r="977" ht="15.75" customHeight="1" s="83"/>
    <row r="978" ht="15.75" customHeight="1" s="83"/>
    <row r="979" ht="15.75" customHeight="1" s="83"/>
    <row r="980" ht="15.75" customHeight="1" s="83"/>
    <row r="981" ht="15.75" customHeight="1" s="83"/>
    <row r="982" ht="15.75" customHeight="1" s="83"/>
    <row r="983" ht="15.75" customHeight="1" s="83"/>
    <row r="984" ht="15.75" customHeight="1" s="83"/>
    <row r="985" ht="15.75" customHeight="1" s="83"/>
    <row r="986" ht="15.75" customHeight="1" s="83"/>
    <row r="987" ht="15.75" customHeight="1" s="83"/>
    <row r="988" ht="15.75" customHeight="1" s="83"/>
    <row r="989" ht="15.75" customHeight="1" s="83"/>
    <row r="990" ht="15.75" customHeight="1" s="83"/>
    <row r="991" ht="15.75" customHeight="1" s="83"/>
    <row r="992" ht="15.75" customHeight="1" s="83"/>
    <row r="993" ht="15.75" customHeight="1" s="83"/>
    <row r="994" ht="15.75" customHeight="1" s="83"/>
    <row r="995" ht="15.75" customHeight="1" s="83"/>
    <row r="996" ht="15.75" customHeight="1" s="83"/>
    <row r="997" ht="15.75" customHeight="1" s="83"/>
    <row r="998" ht="15.75" customHeight="1" s="83"/>
    <row r="999" ht="15.75" customHeight="1" s="83"/>
    <row r="1000" ht="15.75" customHeight="1" s="8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00E4E7EC"/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7.43" customWidth="1" style="83" min="1" max="1"/>
    <col width="13.86" customWidth="1" style="83" min="2" max="2"/>
    <col width="17.29" customWidth="1" style="83" min="3" max="3"/>
    <col width="27" customWidth="1" style="83" min="4" max="4"/>
    <col width="16.57" customWidth="1" style="83" min="5" max="5"/>
    <col width="35.29" customWidth="1" style="83" min="6" max="6"/>
    <col width="33.29" customWidth="1" style="83" min="7" max="7"/>
    <col width="23" customWidth="1" style="83" min="10" max="10"/>
    <col width="26.86" customWidth="1" style="83" min="11" max="11"/>
    <col width="29.57" customWidth="1" style="83" min="12" max="12"/>
    <col width="33" customWidth="1" style="83" min="13" max="13"/>
    <col width="17.29" customWidth="1" style="83" min="14" max="15"/>
    <col width="19.71" customWidth="1" style="83" min="17" max="17"/>
    <col width="35" customWidth="1" style="83" min="18" max="18"/>
    <col width="29.86" customWidth="1" style="83" min="19" max="19"/>
    <col width="11" customWidth="1" style="83" min="20" max="20"/>
  </cols>
  <sheetData>
    <row r="1">
      <c r="A1" s="5" t="inlineStr">
        <is>
          <t>Vendor</t>
        </is>
      </c>
      <c r="B1" s="5" t="inlineStr">
        <is>
          <t>Requirement</t>
        </is>
      </c>
      <c r="C1" s="5" t="inlineStr">
        <is>
          <t>Date of submission</t>
        </is>
      </c>
      <c r="D1" s="5" t="inlineStr">
        <is>
          <t>Name of the Candidate</t>
        </is>
      </c>
      <c r="E1" s="5" t="inlineStr">
        <is>
          <t>Contact No.</t>
        </is>
      </c>
      <c r="F1" s="5" t="inlineStr">
        <is>
          <t>E-maill ID</t>
        </is>
      </c>
      <c r="G1" s="5" t="inlineStr">
        <is>
          <t>Total Exp</t>
        </is>
      </c>
      <c r="H1" s="5" t="inlineStr">
        <is>
          <t>Relevant Exp</t>
        </is>
      </c>
      <c r="I1" s="5" t="inlineStr">
        <is>
          <t>CTC</t>
        </is>
      </c>
      <c r="J1" s="5" t="inlineStr">
        <is>
          <t>ECTC</t>
        </is>
      </c>
      <c r="K1" s="5" t="inlineStr">
        <is>
          <t>Holding offer</t>
        </is>
      </c>
      <c r="L1" s="5" t="inlineStr">
        <is>
          <t>Notice Period</t>
        </is>
      </c>
      <c r="M1" s="5" t="inlineStr">
        <is>
          <t>Current Company</t>
        </is>
      </c>
      <c r="N1" s="5" t="inlineStr">
        <is>
          <t>Current Location</t>
        </is>
      </c>
      <c r="O1" s="5" t="inlineStr">
        <is>
          <t>Prefrence location</t>
        </is>
      </c>
      <c r="P1" s="5" t="inlineStr">
        <is>
          <t>Education</t>
        </is>
      </c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</row>
    <row r="2">
      <c r="A2" s="19" t="inlineStr">
        <is>
          <t>Kivitronics</t>
        </is>
      </c>
      <c r="B2" s="19" t="inlineStr">
        <is>
          <t>Full Stack Developer</t>
        </is>
      </c>
      <c r="C2" s="20" t="n">
        <v>45666</v>
      </c>
      <c r="D2" s="19" t="inlineStr">
        <is>
          <t>Nirmalkumar Neelamegan</t>
        </is>
      </c>
      <c r="E2" s="19" t="n">
        <v>7339451508</v>
      </c>
      <c r="F2" s="19" t="inlineStr">
        <is>
          <t>nirmalkumarneelamegan15@gmail.com</t>
        </is>
      </c>
      <c r="G2" s="19" t="inlineStr">
        <is>
          <t>4 Years</t>
        </is>
      </c>
      <c r="H2" s="19" t="inlineStr">
        <is>
          <t>4 Years</t>
        </is>
      </c>
      <c r="I2" s="19" t="inlineStr">
        <is>
          <t>8 LPA</t>
        </is>
      </c>
      <c r="J2" s="19" t="inlineStr">
        <is>
          <t>13 LPA</t>
        </is>
      </c>
      <c r="K2" s="19" t="inlineStr">
        <is>
          <t>Not holding</t>
        </is>
      </c>
      <c r="L2" s="19" t="inlineStr">
        <is>
          <t>1 Month</t>
        </is>
      </c>
      <c r="M2" s="19" t="inlineStr">
        <is>
          <t>Excelencia</t>
        </is>
      </c>
      <c r="N2" s="19" t="inlineStr">
        <is>
          <t>Chennai</t>
        </is>
      </c>
      <c r="O2" s="19" t="inlineStr">
        <is>
          <t>Chennai</t>
        </is>
      </c>
      <c r="P2" s="19" t="inlineStr">
        <is>
          <t>Master of Science</t>
        </is>
      </c>
      <c r="Q2" s="32" t="n"/>
      <c r="R2" s="32" t="n"/>
      <c r="S2" s="32" t="n"/>
      <c r="T2" s="32" t="n"/>
      <c r="U2" s="32" t="n"/>
      <c r="V2" s="32" t="n"/>
      <c r="W2" s="32" t="n"/>
      <c r="X2" s="32" t="n"/>
      <c r="Y2" s="32" t="n"/>
      <c r="Z2" s="32" t="n"/>
    </row>
    <row r="3">
      <c r="A3" s="19" t="inlineStr">
        <is>
          <t>Kivitronics</t>
        </is>
      </c>
      <c r="B3" s="19" t="inlineStr">
        <is>
          <t>Full Stack Developer</t>
        </is>
      </c>
      <c r="C3" s="20" t="n">
        <v>45666</v>
      </c>
      <c r="D3" s="26" t="inlineStr">
        <is>
          <t>Elangovan Mathan</t>
        </is>
      </c>
      <c r="E3" s="19" t="n">
        <v>9500866068</v>
      </c>
      <c r="F3" s="27" t="inlineStr">
        <is>
          <t>elangovanmathan@outlook.com</t>
        </is>
      </c>
      <c r="G3" s="19" t="inlineStr">
        <is>
          <t>4 Years</t>
        </is>
      </c>
      <c r="H3" s="19" t="inlineStr">
        <is>
          <t>4 Years</t>
        </is>
      </c>
      <c r="I3" s="19" t="inlineStr">
        <is>
          <t>7.15 LPA</t>
        </is>
      </c>
      <c r="J3" s="19" t="inlineStr">
        <is>
          <t>13.50 LPA</t>
        </is>
      </c>
      <c r="K3" s="19" t="inlineStr">
        <is>
          <t>Not holding</t>
        </is>
      </c>
      <c r="L3" s="19" t="inlineStr">
        <is>
          <t>Immediate</t>
        </is>
      </c>
      <c r="M3" s="26" t="inlineStr">
        <is>
          <t>Cape Electric</t>
        </is>
      </c>
      <c r="N3" s="19" t="inlineStr">
        <is>
          <t>Erode</t>
        </is>
      </c>
      <c r="O3" s="19" t="inlineStr">
        <is>
          <t>Chennai</t>
        </is>
      </c>
      <c r="P3" s="19" t="inlineStr">
        <is>
          <t>B.Tech</t>
        </is>
      </c>
      <c r="Q3" s="32" t="n"/>
      <c r="R3" s="32" t="n"/>
      <c r="S3" s="32" t="n"/>
      <c r="T3" s="32" t="n"/>
      <c r="U3" s="32" t="n"/>
      <c r="V3" s="32" t="n"/>
      <c r="W3" s="32" t="n"/>
      <c r="X3" s="32" t="n"/>
      <c r="Y3" s="32" t="n"/>
      <c r="Z3" s="32" t="n"/>
    </row>
    <row r="4">
      <c r="A4" s="19" t="inlineStr">
        <is>
          <t>Kivitronics</t>
        </is>
      </c>
      <c r="B4" s="19" t="inlineStr">
        <is>
          <t>Full Stack Developer</t>
        </is>
      </c>
      <c r="C4" s="20" t="n">
        <v>45666</v>
      </c>
      <c r="D4" s="26" t="inlineStr">
        <is>
          <t>Sandhya S</t>
        </is>
      </c>
      <c r="E4" s="19" t="n">
        <v>8667092941</v>
      </c>
      <c r="F4" s="27" t="inlineStr">
        <is>
          <t>sandhya.0305s@gmail.com</t>
        </is>
      </c>
      <c r="G4" s="19" t="inlineStr">
        <is>
          <t>4 Years</t>
        </is>
      </c>
      <c r="H4" s="19" t="inlineStr">
        <is>
          <t>4 Years</t>
        </is>
      </c>
      <c r="I4" s="26" t="inlineStr">
        <is>
          <t>10.2 LPA</t>
        </is>
      </c>
      <c r="J4" s="26" t="inlineStr">
        <is>
          <t>16 LPA</t>
        </is>
      </c>
      <c r="K4" s="19" t="inlineStr">
        <is>
          <t>Not holding</t>
        </is>
      </c>
      <c r="L4" s="19" t="inlineStr">
        <is>
          <t>2 Months</t>
        </is>
      </c>
      <c r="M4" s="19" t="inlineStr">
        <is>
          <t>Agilysys</t>
        </is>
      </c>
      <c r="N4" s="19" t="inlineStr">
        <is>
          <t>Chennai</t>
        </is>
      </c>
      <c r="O4" s="19" t="inlineStr">
        <is>
          <t>Chennai</t>
        </is>
      </c>
      <c r="P4" s="19" t="inlineStr">
        <is>
          <t>BE - ECE</t>
        </is>
      </c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</row>
    <row r="5">
      <c r="A5" s="19" t="inlineStr">
        <is>
          <t>Kivitronics</t>
        </is>
      </c>
      <c r="B5" s="19" t="inlineStr">
        <is>
          <t>Full Stack Developer</t>
        </is>
      </c>
      <c r="C5" s="20" t="n">
        <v>45666</v>
      </c>
      <c r="D5" s="26" t="inlineStr">
        <is>
          <t>Syed Hameed</t>
        </is>
      </c>
      <c r="E5" s="19" t="n">
        <v>9025729639</v>
      </c>
      <c r="F5" s="27" t="inlineStr">
        <is>
          <t>syedham29@gmail.com</t>
        </is>
      </c>
      <c r="G5" s="19" t="inlineStr">
        <is>
          <t>5 Years</t>
        </is>
      </c>
      <c r="H5" s="19" t="inlineStr">
        <is>
          <t>3 Years</t>
        </is>
      </c>
      <c r="I5" s="26" t="inlineStr">
        <is>
          <t>13 LPA</t>
        </is>
      </c>
      <c r="J5" s="26" t="inlineStr">
        <is>
          <t>As per the company standard</t>
        </is>
      </c>
      <c r="K5" s="19" t="inlineStr">
        <is>
          <t>Not holding</t>
        </is>
      </c>
      <c r="L5" s="19" t="inlineStr">
        <is>
          <t>90 Days(Negotiable to 1month)</t>
        </is>
      </c>
      <c r="M5" s="19" t="inlineStr">
        <is>
          <t>LTI Mindtree</t>
        </is>
      </c>
      <c r="N5" s="19" t="inlineStr">
        <is>
          <t>Chennai</t>
        </is>
      </c>
      <c r="O5" s="19" t="inlineStr">
        <is>
          <t>Chennai</t>
        </is>
      </c>
      <c r="P5" s="19" t="inlineStr">
        <is>
          <t>BCA Computer Application</t>
        </is>
      </c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</row>
    <row r="6">
      <c r="A6" s="19" t="inlineStr">
        <is>
          <t>Kivitronics</t>
        </is>
      </c>
      <c r="B6" s="19" t="inlineStr">
        <is>
          <t>Full Stack Developer</t>
        </is>
      </c>
      <c r="C6" s="205" t="n">
        <v>45672</v>
      </c>
      <c r="D6" s="32" t="inlineStr">
        <is>
          <t>Thulasiram M</t>
        </is>
      </c>
      <c r="E6" s="32" t="n">
        <v>7708735444</v>
      </c>
      <c r="F6" s="33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</row>
    <row r="7">
      <c r="A7" s="19" t="inlineStr">
        <is>
          <t>Kivitronics</t>
        </is>
      </c>
      <c r="B7" s="19" t="inlineStr">
        <is>
          <t>Full Stack Developer</t>
        </is>
      </c>
      <c r="C7" s="205" t="n">
        <v>45672</v>
      </c>
      <c r="D7" s="32" t="inlineStr">
        <is>
          <t>Santhiya Ravi</t>
        </is>
      </c>
      <c r="E7" s="32" t="n">
        <v>8015647157</v>
      </c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</row>
    <row r="8">
      <c r="A8" s="19" t="inlineStr">
        <is>
          <t>Kivitronics</t>
        </is>
      </c>
      <c r="B8" s="19" t="inlineStr">
        <is>
          <t>Full Stack Developer</t>
        </is>
      </c>
      <c r="C8" s="205" t="n">
        <v>45672</v>
      </c>
      <c r="D8" s="32" t="inlineStr">
        <is>
          <t>Arun R</t>
        </is>
      </c>
      <c r="E8" s="32" t="n">
        <v>9384594294</v>
      </c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  <c r="W8" s="32" t="n"/>
      <c r="X8" s="32" t="n"/>
      <c r="Y8" s="32" t="n"/>
      <c r="Z8" s="32" t="n"/>
    </row>
    <row r="9">
      <c r="A9" s="19" t="inlineStr">
        <is>
          <t>Kivitronics</t>
        </is>
      </c>
      <c r="B9" s="19" t="inlineStr">
        <is>
          <t>Full Stack Developer</t>
        </is>
      </c>
      <c r="C9" s="205" t="n">
        <v>45672</v>
      </c>
      <c r="D9" s="32" t="inlineStr">
        <is>
          <t>Vengatesh V</t>
        </is>
      </c>
      <c r="E9" s="32" t="n">
        <v>9788874996</v>
      </c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>
      <c r="A10" s="19" t="inlineStr">
        <is>
          <t>Kivitronics</t>
        </is>
      </c>
      <c r="B10" s="19" t="inlineStr">
        <is>
          <t>Full Stack Developer</t>
        </is>
      </c>
      <c r="C10" s="205" t="n">
        <v>45672</v>
      </c>
      <c r="D10" s="32" t="inlineStr">
        <is>
          <t>Prawin Krishna</t>
        </is>
      </c>
      <c r="E10" s="32" t="n">
        <v>9551741668</v>
      </c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</row>
    <row r="11">
      <c r="A11" s="19" t="inlineStr">
        <is>
          <t>Kivitronics</t>
        </is>
      </c>
      <c r="B11" s="19" t="inlineStr">
        <is>
          <t>Full Stack Developer</t>
        </is>
      </c>
      <c r="C11" s="205" t="n">
        <v>45672</v>
      </c>
      <c r="D11" s="32" t="inlineStr">
        <is>
          <t>Manoj Kumar</t>
        </is>
      </c>
      <c r="E11" s="32" t="n">
        <v>8778178737</v>
      </c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W11" s="32" t="n"/>
      <c r="X11" s="32" t="n"/>
      <c r="Y11" s="32" t="n"/>
      <c r="Z11" s="32" t="n"/>
    </row>
    <row r="12">
      <c r="A12" s="32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2" t="n"/>
      <c r="Y12" s="32" t="n"/>
      <c r="Z12" s="32" t="n"/>
    </row>
    <row r="13">
      <c r="A13" s="32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</row>
    <row r="14">
      <c r="A14" s="32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</row>
    <row r="15">
      <c r="A15" s="32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7" t="inlineStr">
        <is>
          <t>S.No</t>
        </is>
      </c>
      <c r="B16" s="35" t="inlineStr">
        <is>
          <t>Source</t>
        </is>
      </c>
      <c r="C16" s="35" t="inlineStr">
        <is>
          <t>Profile shared on</t>
        </is>
      </c>
      <c r="D16" s="35" t="inlineStr">
        <is>
          <t>Name</t>
        </is>
      </c>
      <c r="E16" s="35" t="inlineStr">
        <is>
          <t>Mobile Number</t>
        </is>
      </c>
      <c r="F16" s="35" t="inlineStr">
        <is>
          <t>Email Id</t>
        </is>
      </c>
      <c r="G16" s="35" t="inlineStr">
        <is>
          <t>Google hangout ID</t>
        </is>
      </c>
      <c r="H16" s="35" t="inlineStr">
        <is>
          <t>Qualification</t>
        </is>
      </c>
      <c r="I16" s="35" t="inlineStr">
        <is>
          <t>Total Exp</t>
        </is>
      </c>
      <c r="J16" s="35" t="inlineStr">
        <is>
          <t>Rel Exp</t>
        </is>
      </c>
      <c r="K16" s="35" t="inlineStr">
        <is>
          <t>Current Company</t>
        </is>
      </c>
      <c r="L16" s="35" t="inlineStr">
        <is>
          <t>Position</t>
        </is>
      </c>
      <c r="M16" s="35" t="inlineStr">
        <is>
          <t>Designation</t>
        </is>
      </c>
      <c r="N16" s="35" t="inlineStr">
        <is>
          <t>Current Location</t>
        </is>
      </c>
      <c r="O16" s="35" t="inlineStr">
        <is>
          <t>Preffered Location</t>
        </is>
      </c>
      <c r="P16" s="35" t="inlineStr">
        <is>
          <t>CCTC</t>
        </is>
      </c>
      <c r="Q16" s="35" t="inlineStr">
        <is>
          <t>ECTC</t>
        </is>
      </c>
      <c r="R16" s="35" t="inlineStr">
        <is>
          <t>NP</t>
        </is>
      </c>
      <c r="S16" s="35" t="inlineStr">
        <is>
          <t>Reason for change</t>
        </is>
      </c>
      <c r="T16" s="40" t="n"/>
      <c r="U16" s="40" t="n"/>
      <c r="V16" s="40" t="n"/>
      <c r="W16" s="40" t="n"/>
      <c r="X16" s="40" t="n"/>
      <c r="Y16" s="40" t="n"/>
      <c r="Z16" s="40" t="n"/>
    </row>
    <row r="17">
      <c r="A17" s="40" t="n">
        <v>1</v>
      </c>
      <c r="B17" s="40" t="inlineStr">
        <is>
          <t>Kivitronics</t>
        </is>
      </c>
      <c r="C17" s="206" t="n">
        <v>46247</v>
      </c>
      <c r="D17" s="40" t="inlineStr">
        <is>
          <t>Yuva Charan Reddy Durgam</t>
        </is>
      </c>
      <c r="E17" s="40" t="n">
        <v>9642042370</v>
      </c>
      <c r="F17" s="40" t="inlineStr">
        <is>
          <t>yuvacharan13@gmail.com</t>
        </is>
      </c>
      <c r="G17" s="40" t="inlineStr">
        <is>
          <t>yuvacharan13@gmail.com</t>
        </is>
      </c>
      <c r="H17" s="40" t="inlineStr">
        <is>
          <t>MCS</t>
        </is>
      </c>
      <c r="I17" s="40" t="inlineStr">
        <is>
          <t>8.2 years</t>
        </is>
      </c>
      <c r="J17" s="40" t="inlineStr">
        <is>
          <t>React 6 y +Node 4y</t>
        </is>
      </c>
      <c r="K17" s="40" t="inlineStr">
        <is>
          <t xml:space="preserve">Virtusa </t>
        </is>
      </c>
      <c r="L17" s="40" t="inlineStr">
        <is>
          <t>FullStack Lead (React,Node)</t>
        </is>
      </c>
      <c r="M17" s="40" t="inlineStr">
        <is>
          <t>Lead Software Engineer</t>
        </is>
      </c>
      <c r="N17" s="40" t="inlineStr">
        <is>
          <t>Tirupati</t>
        </is>
      </c>
      <c r="O17" s="40" t="inlineStr">
        <is>
          <t>Chennai</t>
        </is>
      </c>
      <c r="P17" s="40" t="inlineStr">
        <is>
          <t>20.5 LPA</t>
        </is>
      </c>
      <c r="Q17" s="40" t="inlineStr">
        <is>
          <t>35 LPA</t>
        </is>
      </c>
      <c r="R17" s="40" t="inlineStr">
        <is>
          <t>LWD - 18th Sep</t>
        </is>
      </c>
      <c r="S17" s="40" t="inlineStr">
        <is>
          <t>Career Growth</t>
        </is>
      </c>
      <c r="T17" s="40" t="n"/>
      <c r="U17" s="40" t="n"/>
      <c r="V17" s="40" t="n"/>
      <c r="W17" s="40" t="n"/>
      <c r="X17" s="40" t="n"/>
      <c r="Y17" s="40" t="n"/>
      <c r="Z17" s="40" t="n"/>
    </row>
    <row r="18">
      <c r="A18" s="40" t="n">
        <v>2</v>
      </c>
      <c r="B18" s="40" t="inlineStr">
        <is>
          <t>Kivitronics</t>
        </is>
      </c>
      <c r="C18" s="206" t="n">
        <v>46247</v>
      </c>
      <c r="D18" s="40" t="inlineStr">
        <is>
          <t>Sakthi Mukesh D</t>
        </is>
      </c>
      <c r="E18" s="40" t="n">
        <v>8056183418</v>
      </c>
      <c r="F18" s="40" t="inlineStr">
        <is>
          <t>dsakthimukesh20@gmail.com</t>
        </is>
      </c>
      <c r="G18" s="40" t="inlineStr">
        <is>
          <t>dsakthimukesh20@gmail.com</t>
        </is>
      </c>
      <c r="H18" s="40" t="inlineStr">
        <is>
          <t>B.Tech</t>
        </is>
      </c>
      <c r="I18" s="40" t="inlineStr">
        <is>
          <t>3 yrs</t>
        </is>
      </c>
      <c r="J18" s="40" t="inlineStr">
        <is>
          <t>React 3y + node 3 y</t>
        </is>
      </c>
      <c r="K18" s="40" t="inlineStr">
        <is>
          <t>Avasoft</t>
        </is>
      </c>
      <c r="L18" s="40" t="inlineStr">
        <is>
          <t>FullStack(React,Node)</t>
        </is>
      </c>
      <c r="M18" s="40" t="inlineStr">
        <is>
          <t>Software Engineer - Fullstack</t>
        </is>
      </c>
      <c r="N18" s="40" t="inlineStr">
        <is>
          <t>Chennai</t>
        </is>
      </c>
      <c r="O18" s="40" t="inlineStr">
        <is>
          <t>Chennai</t>
        </is>
      </c>
      <c r="P18" s="40" t="inlineStr">
        <is>
          <t>12 LPA</t>
        </is>
      </c>
      <c r="Q18" s="40" t="inlineStr">
        <is>
          <t>16 LPA</t>
        </is>
      </c>
      <c r="R18" s="40" t="inlineStr">
        <is>
          <t xml:space="preserve">LWD - 21st Aug </t>
        </is>
      </c>
      <c r="S18" s="40" t="inlineStr">
        <is>
          <t>Career Growth</t>
        </is>
      </c>
      <c r="T18" s="40" t="n"/>
      <c r="U18" s="40" t="n"/>
      <c r="V18" s="40" t="n"/>
      <c r="W18" s="40" t="n"/>
      <c r="X18" s="40" t="n"/>
      <c r="Y18" s="40" t="n"/>
      <c r="Z18" s="40" t="n"/>
    </row>
    <row r="19">
      <c r="A19" s="40" t="n">
        <v>3</v>
      </c>
      <c r="B19" s="40" t="inlineStr">
        <is>
          <t>Kivitronics</t>
        </is>
      </c>
      <c r="C19" s="206" t="n">
        <v>46247</v>
      </c>
      <c r="D19" s="40" t="inlineStr">
        <is>
          <t>M.Navin Kumar</t>
        </is>
      </c>
      <c r="E19" s="40" t="n">
        <v>9486169060</v>
      </c>
      <c r="F19" s="40" t="inlineStr">
        <is>
          <t>nawinnawi6@gmail.com</t>
        </is>
      </c>
      <c r="G19" s="40" t="inlineStr">
        <is>
          <t>nawinnawi6@gmail.com</t>
        </is>
      </c>
      <c r="H19" s="40" t="inlineStr">
        <is>
          <t>BE ECE</t>
        </is>
      </c>
      <c r="I19" s="40" t="inlineStr">
        <is>
          <t>9 years</t>
        </is>
      </c>
      <c r="J19" s="40" t="inlineStr">
        <is>
          <t>React 8Y + Node 3 y</t>
        </is>
      </c>
      <c r="K19" s="40" t="inlineStr">
        <is>
          <t>Nagarro</t>
        </is>
      </c>
      <c r="L19" s="40" t="inlineStr">
        <is>
          <t>FullStack Lead (React,Node)</t>
        </is>
      </c>
      <c r="M19" s="40" t="inlineStr">
        <is>
          <t xml:space="preserve">Associate Staff Engineer </t>
        </is>
      </c>
      <c r="N19" s="40" t="inlineStr">
        <is>
          <t>Coimbatore</t>
        </is>
      </c>
      <c r="O19" s="40" t="inlineStr">
        <is>
          <t>Chennai</t>
        </is>
      </c>
      <c r="P19" s="40" t="inlineStr">
        <is>
          <t>32.8 LPA</t>
        </is>
      </c>
      <c r="Q19" s="40" t="inlineStr">
        <is>
          <t>35 LPA</t>
        </is>
      </c>
      <c r="R19" s="40" t="inlineStr">
        <is>
          <t>60 days (In bench can join in 15 days)</t>
        </is>
      </c>
      <c r="S19" s="40" t="inlineStr">
        <is>
          <t>Career Growth</t>
        </is>
      </c>
      <c r="T19" s="40" t="n"/>
      <c r="U19" s="40" t="n"/>
      <c r="V19" s="40" t="n"/>
      <c r="W19" s="40" t="n"/>
      <c r="X19" s="40" t="n"/>
      <c r="Y19" s="40" t="n"/>
      <c r="Z19" s="40" t="n"/>
    </row>
    <row r="20">
      <c r="A20" s="40" t="n">
        <v>4</v>
      </c>
      <c r="B20" s="40" t="inlineStr">
        <is>
          <t>Kivitronics</t>
        </is>
      </c>
      <c r="C20" s="206" t="n">
        <v>46247</v>
      </c>
      <c r="D20" s="40" t="inlineStr">
        <is>
          <t>Saravana Ganesh S</t>
        </is>
      </c>
      <c r="E20" s="40" t="n">
        <v>8903327739</v>
      </c>
      <c r="F20" s="40" t="inlineStr">
        <is>
          <t>saravanaganeshisc@gmail.com</t>
        </is>
      </c>
      <c r="G20" s="40" t="inlineStr">
        <is>
          <t>saravanaganeshisc@gmail.com</t>
        </is>
      </c>
      <c r="H20" s="40" t="inlineStr">
        <is>
          <t>BE EEE</t>
        </is>
      </c>
      <c r="I20" s="40" t="inlineStr">
        <is>
          <t>4.9 years</t>
        </is>
      </c>
      <c r="J20" s="40" t="inlineStr">
        <is>
          <t>React 3Y+Node 4.9Y</t>
        </is>
      </c>
      <c r="K20" s="40" t="inlineStr">
        <is>
          <t xml:space="preserve">Primus Global </t>
        </is>
      </c>
      <c r="L20" s="40" t="inlineStr">
        <is>
          <t>FullStack(React,Node)</t>
        </is>
      </c>
      <c r="M20" s="40" t="inlineStr">
        <is>
          <t>Software Development Engineer</t>
        </is>
      </c>
      <c r="N20" s="40" t="inlineStr">
        <is>
          <t>Chennai</t>
        </is>
      </c>
      <c r="O20" s="40" t="inlineStr">
        <is>
          <t>Chennai</t>
        </is>
      </c>
      <c r="P20" s="40" t="inlineStr">
        <is>
          <t>15 LPA</t>
        </is>
      </c>
      <c r="Q20" s="40" t="inlineStr">
        <is>
          <t>20 LPA</t>
        </is>
      </c>
      <c r="R20" s="40" t="inlineStr">
        <is>
          <t>30 days</t>
        </is>
      </c>
      <c r="S20" s="40" t="inlineStr">
        <is>
          <t>Career Growth</t>
        </is>
      </c>
      <c r="T20" s="40" t="n"/>
      <c r="U20" s="40" t="n"/>
      <c r="V20" s="40" t="n"/>
      <c r="W20" s="40" t="n"/>
      <c r="X20" s="40" t="n"/>
      <c r="Y20" s="40" t="n"/>
      <c r="Z20" s="40" t="n"/>
    </row>
    <row r="21">
      <c r="A21" s="40" t="n">
        <v>5</v>
      </c>
      <c r="B21" s="40" t="inlineStr">
        <is>
          <t>Kivitronics</t>
        </is>
      </c>
      <c r="C21" s="206" t="n">
        <v>46247</v>
      </c>
      <c r="D21" s="40" t="inlineStr">
        <is>
          <t>Jayaselva Manikannan</t>
        </is>
      </c>
      <c r="E21" s="40" t="n">
        <v>9445619563</v>
      </c>
      <c r="F21" s="40" t="inlineStr">
        <is>
          <t>selvajaya6996@gmail.com</t>
        </is>
      </c>
      <c r="G21" s="40" t="inlineStr">
        <is>
          <t>selvajaya6996@gmail.com</t>
        </is>
      </c>
      <c r="H21" s="42" t="inlineStr">
        <is>
          <t>M.Sc</t>
        </is>
      </c>
      <c r="I21" s="40" t="inlineStr">
        <is>
          <t>5.6 years</t>
        </is>
      </c>
      <c r="J21" s="40" t="inlineStr">
        <is>
          <t>React 5.6Y+Node 4.9Y</t>
        </is>
      </c>
      <c r="K21" s="40" t="inlineStr">
        <is>
          <t>Akrivia HCM</t>
        </is>
      </c>
      <c r="L21" s="40" t="inlineStr">
        <is>
          <t>FullStack(React,Node)</t>
        </is>
      </c>
      <c r="M21" s="40" t="inlineStr">
        <is>
          <t xml:space="preserve">FullStack Developer  </t>
        </is>
      </c>
      <c r="N21" s="40" t="inlineStr">
        <is>
          <t>Chennai</t>
        </is>
      </c>
      <c r="O21" s="40" t="inlineStr">
        <is>
          <t>Chennai</t>
        </is>
      </c>
      <c r="P21" s="40" t="inlineStr">
        <is>
          <t>17 LPA</t>
        </is>
      </c>
      <c r="Q21" s="40" t="inlineStr">
        <is>
          <t>18 LPA</t>
        </is>
      </c>
      <c r="R21" s="40" t="inlineStr">
        <is>
          <t>Immediate</t>
        </is>
      </c>
      <c r="S21" s="40" t="inlineStr">
        <is>
          <t>Career Growth</t>
        </is>
      </c>
      <c r="T21" s="40" t="n"/>
      <c r="U21" s="40" t="n"/>
      <c r="V21" s="40" t="n"/>
      <c r="W21" s="40" t="n"/>
      <c r="X21" s="40" t="n"/>
      <c r="Y21" s="40" t="n"/>
      <c r="Z21" s="40" t="n"/>
    </row>
    <row r="22">
      <c r="A22" s="40" t="n">
        <v>6</v>
      </c>
      <c r="B22" s="40" t="inlineStr">
        <is>
          <t>Kivitronics</t>
        </is>
      </c>
      <c r="C22" s="206" t="n">
        <v>46247</v>
      </c>
      <c r="D22" s="40" t="inlineStr">
        <is>
          <t>Sibiraj Munirathinam</t>
        </is>
      </c>
      <c r="E22" s="40" t="n">
        <v>8667747225</v>
      </c>
      <c r="F22" s="40" t="inlineStr">
        <is>
          <t>sibiraj.munirathinam@gmail.com</t>
        </is>
      </c>
      <c r="G22" s="40" t="inlineStr">
        <is>
          <t>sibiraj.munirathinam@gmail.com</t>
        </is>
      </c>
      <c r="H22" s="40" t="inlineStr">
        <is>
          <t>MCA</t>
        </is>
      </c>
      <c r="I22" s="40" t="inlineStr">
        <is>
          <t>4 Years</t>
        </is>
      </c>
      <c r="J22" s="40" t="inlineStr">
        <is>
          <t>React 3Y+ Node 3Y</t>
        </is>
      </c>
      <c r="K22" s="40" t="inlineStr">
        <is>
          <t xml:space="preserve">Camu </t>
        </is>
      </c>
      <c r="L22" s="40" t="inlineStr">
        <is>
          <t>FullStack(React,Node)</t>
        </is>
      </c>
      <c r="M22" s="40" t="inlineStr">
        <is>
          <t>SSE</t>
        </is>
      </c>
      <c r="N22" s="40" t="inlineStr">
        <is>
          <t>Chennai</t>
        </is>
      </c>
      <c r="O22" s="40" t="inlineStr">
        <is>
          <t>Chennai</t>
        </is>
      </c>
      <c r="P22" s="40" t="inlineStr">
        <is>
          <t>9 LPA</t>
        </is>
      </c>
      <c r="Q22" s="40" t="inlineStr">
        <is>
          <t>12 LPA</t>
        </is>
      </c>
      <c r="R22" s="40" t="inlineStr">
        <is>
          <t>Immediate</t>
        </is>
      </c>
      <c r="S22" s="40" t="inlineStr">
        <is>
          <t>Career Growth</t>
        </is>
      </c>
      <c r="T22" s="40" t="n"/>
      <c r="U22" s="40" t="n"/>
      <c r="V22" s="40" t="n"/>
      <c r="W22" s="40" t="n"/>
      <c r="X22" s="40" t="n"/>
      <c r="Y22" s="40" t="n"/>
      <c r="Z22" s="40" t="n"/>
    </row>
    <row r="23">
      <c r="A23" s="40" t="n">
        <v>7</v>
      </c>
      <c r="B23" s="40" t="inlineStr">
        <is>
          <t>Kivitronics</t>
        </is>
      </c>
      <c r="C23" s="206" t="n">
        <v>46247</v>
      </c>
      <c r="D23" s="40" t="inlineStr">
        <is>
          <t>Mubbanthal Surya</t>
        </is>
      </c>
      <c r="E23" s="40" t="inlineStr">
        <is>
          <t>91598 04806</t>
        </is>
      </c>
      <c r="F23" s="40" t="inlineStr">
        <is>
          <t>mubbanthalsurya2022@gmail.com</t>
        </is>
      </c>
      <c r="G23" s="40" t="inlineStr">
        <is>
          <t>mubbanthalsurya2022@gmail.com</t>
        </is>
      </c>
      <c r="H23" s="40" t="inlineStr">
        <is>
          <t>BE Mechanical</t>
        </is>
      </c>
      <c r="I23" s="40" t="inlineStr">
        <is>
          <t>3.8 Years</t>
        </is>
      </c>
      <c r="J23" s="40" t="inlineStr">
        <is>
          <t>React 3.8Y+ Node 3.8Y</t>
        </is>
      </c>
      <c r="K23" s="40" t="inlineStr">
        <is>
          <t>Business Core Solutions</t>
        </is>
      </c>
      <c r="L23" s="40" t="inlineStr">
        <is>
          <t>FullStack(React,Node)</t>
        </is>
      </c>
      <c r="M23" s="40" t="inlineStr">
        <is>
          <t xml:space="preserve">FullStack Developer  </t>
        </is>
      </c>
      <c r="N23" s="40" t="inlineStr">
        <is>
          <t>Tirunelveli</t>
        </is>
      </c>
      <c r="O23" s="40" t="inlineStr">
        <is>
          <t>Chennai</t>
        </is>
      </c>
      <c r="P23" s="40" t="inlineStr">
        <is>
          <t>6.92 LPA</t>
        </is>
      </c>
      <c r="Q23" s="40" t="inlineStr">
        <is>
          <t>12 LPA</t>
        </is>
      </c>
      <c r="R23" s="40" t="inlineStr">
        <is>
          <t>1 Month(Negotiable)</t>
        </is>
      </c>
      <c r="S23" s="40" t="inlineStr">
        <is>
          <t>Career Growth</t>
        </is>
      </c>
      <c r="T23" s="40" t="n"/>
      <c r="U23" s="40" t="n"/>
      <c r="V23" s="40" t="n"/>
      <c r="W23" s="40" t="n"/>
      <c r="X23" s="40" t="n"/>
      <c r="Y23" s="40" t="n"/>
      <c r="Z23" s="40" t="n"/>
    </row>
    <row r="24">
      <c r="A24" s="40" t="n">
        <v>8</v>
      </c>
      <c r="B24" s="40" t="inlineStr">
        <is>
          <t>Kivitronics</t>
        </is>
      </c>
      <c r="C24" s="206" t="n">
        <v>46247</v>
      </c>
      <c r="D24" s="40" t="inlineStr">
        <is>
          <t>Pavan Kumar Reddy</t>
        </is>
      </c>
      <c r="E24" s="40" t="n">
        <v>8884664703</v>
      </c>
      <c r="F24" s="40" t="inlineStr">
        <is>
          <t>pk.reddy1003@gmail.com</t>
        </is>
      </c>
      <c r="G24" s="40" t="inlineStr">
        <is>
          <t>pk.reddy1003@gmail.com</t>
        </is>
      </c>
      <c r="H24" s="40" t="inlineStr">
        <is>
          <t>B.Tech</t>
        </is>
      </c>
      <c r="I24" s="40" t="inlineStr">
        <is>
          <t>9 Years</t>
        </is>
      </c>
      <c r="J24" s="40" t="inlineStr">
        <is>
          <t>React 6Y+ Node 6Y</t>
        </is>
      </c>
      <c r="K24" s="40" t="inlineStr">
        <is>
          <t>HCL</t>
        </is>
      </c>
      <c r="L24" s="40" t="inlineStr">
        <is>
          <t>FullStack Lead(React,Node)</t>
        </is>
      </c>
      <c r="M24" s="40" t="inlineStr">
        <is>
          <t>Sr. FullStack Developer</t>
        </is>
      </c>
      <c r="N24" s="40" t="inlineStr">
        <is>
          <t>Bangalore</t>
        </is>
      </c>
      <c r="O24" s="40" t="inlineStr">
        <is>
          <t>Chennai</t>
        </is>
      </c>
      <c r="P24" s="40" t="inlineStr">
        <is>
          <t>19 LPA</t>
        </is>
      </c>
      <c r="Q24" s="40" t="inlineStr">
        <is>
          <t>26 LPA</t>
        </is>
      </c>
      <c r="R24" s="40" t="inlineStr">
        <is>
          <t>45 Days(LWD 30th Sep)</t>
        </is>
      </c>
      <c r="S24" s="40" t="inlineStr">
        <is>
          <t>Preferring Chennai</t>
        </is>
      </c>
      <c r="T24" s="40" t="n"/>
      <c r="U24" s="40" t="n"/>
      <c r="V24" s="40" t="n"/>
      <c r="W24" s="40" t="n"/>
      <c r="X24" s="40" t="n"/>
      <c r="Y24" s="40" t="n"/>
      <c r="Z24" s="40" t="n"/>
    </row>
    <row r="25">
      <c r="A25" s="40" t="n">
        <v>9</v>
      </c>
      <c r="B25" s="40" t="inlineStr">
        <is>
          <t>Kivitronics</t>
        </is>
      </c>
      <c r="C25" s="206" t="n">
        <v>46247</v>
      </c>
      <c r="D25" s="40" t="inlineStr">
        <is>
          <t>Hariprakash</t>
        </is>
      </c>
      <c r="E25" s="40" t="n">
        <v>9566602010</v>
      </c>
      <c r="F25" s="40" t="inlineStr">
        <is>
          <t>hariprakash.muralitharan@gmail.com</t>
        </is>
      </c>
      <c r="G25" s="40" t="inlineStr">
        <is>
          <t>hariprakash.muralitharan@gmail.com</t>
        </is>
      </c>
      <c r="H25" s="40" t="inlineStr">
        <is>
          <t xml:space="preserve">B.E Mechanical </t>
        </is>
      </c>
      <c r="I25" s="40" t="inlineStr">
        <is>
          <t>3.10 years</t>
        </is>
      </c>
      <c r="J25" s="40" t="inlineStr">
        <is>
          <t>React 3.10Y+Node 1.8Y</t>
        </is>
      </c>
      <c r="K25" s="40" t="inlineStr">
        <is>
          <t>Contentstack</t>
        </is>
      </c>
      <c r="L25" s="40" t="inlineStr">
        <is>
          <t>FullStack(React,Node)</t>
        </is>
      </c>
      <c r="M25" s="40" t="inlineStr">
        <is>
          <t>Software Engineer</t>
        </is>
      </c>
      <c r="N25" s="40" t="inlineStr">
        <is>
          <t>Chennai</t>
        </is>
      </c>
      <c r="O25" s="40" t="inlineStr">
        <is>
          <t>Chennai</t>
        </is>
      </c>
      <c r="P25" s="40" t="inlineStr">
        <is>
          <t>13.13 LPA</t>
        </is>
      </c>
      <c r="Q25" s="40" t="inlineStr">
        <is>
          <t>18 LPA-19 LPA</t>
        </is>
      </c>
      <c r="R25" s="40" t="inlineStr">
        <is>
          <t>60 Days(Nego to 30 Days)</t>
        </is>
      </c>
      <c r="S25" s="40" t="inlineStr">
        <is>
          <t>Career Growth</t>
        </is>
      </c>
      <c r="T25" s="40" t="n"/>
      <c r="U25" s="40" t="n"/>
      <c r="V25" s="40" t="n"/>
      <c r="W25" s="40" t="n"/>
      <c r="X25" s="40" t="n"/>
      <c r="Y25" s="40" t="n"/>
      <c r="Z25" s="40" t="n"/>
    </row>
    <row r="26">
      <c r="A26" s="40" t="n">
        <v>10</v>
      </c>
      <c r="B26" s="40" t="inlineStr">
        <is>
          <t>Kivitronics</t>
        </is>
      </c>
      <c r="C26" s="206" t="n">
        <v>46247</v>
      </c>
      <c r="D26" s="40" t="inlineStr">
        <is>
          <t>Jahnavi</t>
        </is>
      </c>
      <c r="E26" s="40" t="n">
        <v>6302654442</v>
      </c>
      <c r="F26" s="40" t="inlineStr">
        <is>
          <t>jahnavi.1254@gmail.com</t>
        </is>
      </c>
      <c r="G26" s="40" t="inlineStr">
        <is>
          <t>jahnavi.1254@gmail.com</t>
        </is>
      </c>
      <c r="H26" s="40" t="inlineStr">
        <is>
          <t>B.Tech</t>
        </is>
      </c>
      <c r="I26" s="40" t="inlineStr">
        <is>
          <t>5.1 Years</t>
        </is>
      </c>
      <c r="J26" s="40" t="inlineStr">
        <is>
          <t>React 5.1 Y+Node 5.1 Y</t>
        </is>
      </c>
      <c r="K26" s="40" t="inlineStr">
        <is>
          <t>Lloyds Technology Centre</t>
        </is>
      </c>
      <c r="L26" s="40" t="inlineStr">
        <is>
          <t>FullStack(React,Node)</t>
        </is>
      </c>
      <c r="M26" s="40" t="inlineStr">
        <is>
          <t>Software Engineer</t>
        </is>
      </c>
      <c r="N26" s="40" t="inlineStr">
        <is>
          <t>Ongole</t>
        </is>
      </c>
      <c r="O26" s="40" t="inlineStr">
        <is>
          <t>Chennai</t>
        </is>
      </c>
      <c r="P26" s="40" t="inlineStr">
        <is>
          <t>18 LPA</t>
        </is>
      </c>
      <c r="Q26" s="40" t="inlineStr">
        <is>
          <t>22 LPA</t>
        </is>
      </c>
      <c r="R26" s="40" t="inlineStr">
        <is>
          <t>1 month (Nego to 23 days)</t>
        </is>
      </c>
      <c r="S26" s="40" t="inlineStr">
        <is>
          <t>Career Growth</t>
        </is>
      </c>
      <c r="T26" s="40" t="n"/>
      <c r="U26" s="40" t="n"/>
      <c r="V26" s="40" t="n"/>
      <c r="W26" s="40" t="n"/>
      <c r="X26" s="40" t="n"/>
      <c r="Y26" s="40" t="n"/>
      <c r="Z26" s="40" t="n"/>
    </row>
    <row r="27">
      <c r="A27" s="40" t="n">
        <v>11</v>
      </c>
      <c r="B27" s="40" t="inlineStr">
        <is>
          <t>Kivitronics</t>
        </is>
      </c>
      <c r="C27" s="206" t="n">
        <v>46247</v>
      </c>
      <c r="D27" s="40" t="inlineStr">
        <is>
          <t>Kathiravan</t>
        </is>
      </c>
      <c r="E27" s="40" t="n">
        <v>8883939533</v>
      </c>
      <c r="F27" s="40" t="inlineStr">
        <is>
          <t>kathiravanr1520@gmail.com</t>
        </is>
      </c>
      <c r="G27" s="40" t="inlineStr">
        <is>
          <t>kathiravanr1520@gmail.com</t>
        </is>
      </c>
      <c r="H27" s="40" t="inlineStr">
        <is>
          <t>BE CSC</t>
        </is>
      </c>
      <c r="I27" s="40" t="inlineStr">
        <is>
          <t>3.5 Years</t>
        </is>
      </c>
      <c r="J27" s="40" t="inlineStr">
        <is>
          <t>React 3Y+ Node 2Y</t>
        </is>
      </c>
      <c r="K27" s="40" t="inlineStr">
        <is>
          <t>Dextris Infoservice</t>
        </is>
      </c>
      <c r="L27" s="40" t="inlineStr">
        <is>
          <t>FullStack(React,Node)</t>
        </is>
      </c>
      <c r="M27" s="40" t="inlineStr">
        <is>
          <t>Software Developer</t>
        </is>
      </c>
      <c r="N27" s="40" t="inlineStr">
        <is>
          <t>Chennai</t>
        </is>
      </c>
      <c r="O27" s="40" t="inlineStr">
        <is>
          <t>Chennai</t>
        </is>
      </c>
      <c r="P27" s="40" t="inlineStr">
        <is>
          <t>5.4 LPA</t>
        </is>
      </c>
      <c r="Q27" s="40" t="inlineStr">
        <is>
          <t>40% Hike</t>
        </is>
      </c>
      <c r="R27" s="40" t="inlineStr">
        <is>
          <t>Immediate</t>
        </is>
      </c>
      <c r="S27" s="40" t="inlineStr">
        <is>
          <t>Current Project Ended</t>
        </is>
      </c>
      <c r="T27" s="40" t="n"/>
      <c r="U27" s="40" t="n"/>
      <c r="V27" s="40" t="n"/>
      <c r="W27" s="40" t="n"/>
      <c r="X27" s="40" t="n"/>
      <c r="Y27" s="40" t="n"/>
      <c r="Z27" s="40" t="n"/>
    </row>
    <row r="28">
      <c r="A28" s="40" t="n">
        <v>12</v>
      </c>
      <c r="B28" s="40" t="inlineStr">
        <is>
          <t>Kivitronics</t>
        </is>
      </c>
      <c r="C28" s="206" t="n">
        <v>46247</v>
      </c>
      <c r="D28" s="40" t="inlineStr">
        <is>
          <t>Gokulakrishnan</t>
        </is>
      </c>
      <c r="E28" s="40" t="n">
        <v>9487435083</v>
      </c>
      <c r="F28" s="40" t="inlineStr">
        <is>
          <t>gokulakrish23gk@gmail.com</t>
        </is>
      </c>
      <c r="G28" s="40" t="inlineStr">
        <is>
          <t>gokulakrish23gk@gmail.com</t>
        </is>
      </c>
      <c r="H28" s="40" t="inlineStr">
        <is>
          <t xml:space="preserve">B.E Mechanical </t>
        </is>
      </c>
      <c r="I28" s="40" t="inlineStr">
        <is>
          <t>4.1 Years</t>
        </is>
      </c>
      <c r="J28" s="40" t="inlineStr">
        <is>
          <t>React 4.1 Y+Node 4.1 Y</t>
        </is>
      </c>
      <c r="K28" s="40" t="inlineStr">
        <is>
          <t>Bolzano Group</t>
        </is>
      </c>
      <c r="L28" s="40" t="inlineStr">
        <is>
          <t>FullStack(React,Node)</t>
        </is>
      </c>
      <c r="M28" s="40" t="inlineStr">
        <is>
          <t>Full Stack Developer</t>
        </is>
      </c>
      <c r="N28" s="40" t="inlineStr">
        <is>
          <t>Salem</t>
        </is>
      </c>
      <c r="O28" s="40" t="inlineStr">
        <is>
          <t>Chennai</t>
        </is>
      </c>
      <c r="P28" s="40" t="inlineStr">
        <is>
          <t>7 LPA</t>
        </is>
      </c>
      <c r="Q28" s="40" t="inlineStr">
        <is>
          <t>14 LPA</t>
        </is>
      </c>
      <c r="R28" s="40" t="inlineStr">
        <is>
          <t xml:space="preserve">1 month </t>
        </is>
      </c>
      <c r="S28" s="40" t="inlineStr">
        <is>
          <t>Career Growth</t>
        </is>
      </c>
      <c r="T28" s="40" t="n"/>
      <c r="U28" s="40" t="n"/>
      <c r="V28" s="40" t="n"/>
      <c r="W28" s="40" t="n"/>
      <c r="X28" s="40" t="n"/>
      <c r="Y28" s="40" t="n"/>
      <c r="Z28" s="40" t="n"/>
    </row>
    <row r="29">
      <c r="A29" s="40" t="n">
        <v>13</v>
      </c>
      <c r="B29" s="40" t="inlineStr">
        <is>
          <t>Kivitronics</t>
        </is>
      </c>
      <c r="C29" s="206" t="n">
        <v>46247</v>
      </c>
      <c r="D29" s="40" t="inlineStr">
        <is>
          <t>Govardhan</t>
        </is>
      </c>
      <c r="E29" s="40" t="n">
        <v>6382276063</v>
      </c>
      <c r="F29" s="40" t="inlineStr">
        <is>
          <t>govardhanaaleswara88@gmail.com</t>
        </is>
      </c>
      <c r="G29" s="40" t="inlineStr">
        <is>
          <t>govardhanaaleswara88@gmail.com</t>
        </is>
      </c>
      <c r="H29" s="40" t="inlineStr">
        <is>
          <t>BE ECE</t>
        </is>
      </c>
      <c r="I29" s="40" t="inlineStr">
        <is>
          <t>8 Years</t>
        </is>
      </c>
      <c r="J29" s="40" t="inlineStr">
        <is>
          <t>React 3Y + Node 7Y</t>
        </is>
      </c>
      <c r="K29" s="40" t="inlineStr">
        <is>
          <t>Indium Software</t>
        </is>
      </c>
      <c r="L29" s="40" t="inlineStr">
        <is>
          <t>FullStack Lead(React,Node)</t>
        </is>
      </c>
      <c r="M29" s="40" t="inlineStr">
        <is>
          <t>SSE</t>
        </is>
      </c>
      <c r="N29" s="40" t="inlineStr">
        <is>
          <t>Bangalore</t>
        </is>
      </c>
      <c r="O29" s="40" t="inlineStr">
        <is>
          <t>Chennai</t>
        </is>
      </c>
      <c r="P29" s="40" t="inlineStr">
        <is>
          <t>19 LPA</t>
        </is>
      </c>
      <c r="Q29" s="40" t="inlineStr">
        <is>
          <t>30 LPA(Negotiable)</t>
        </is>
      </c>
      <c r="R29" s="40" t="inlineStr">
        <is>
          <t>1 Month(LWD 15th Sep)</t>
        </is>
      </c>
      <c r="S29" s="40" t="inlineStr">
        <is>
          <t>Preferring Chennai</t>
        </is>
      </c>
      <c r="T29" s="40" t="n"/>
      <c r="U29" s="40" t="n"/>
      <c r="V29" s="40" t="n"/>
      <c r="W29" s="40" t="n"/>
      <c r="X29" s="40" t="n"/>
      <c r="Y29" s="40" t="n"/>
      <c r="Z29" s="40" t="n"/>
    </row>
    <row r="30">
      <c r="A30" s="40" t="n">
        <v>14</v>
      </c>
      <c r="B30" s="40" t="inlineStr">
        <is>
          <t>Kivitronics</t>
        </is>
      </c>
      <c r="C30" s="206" t="n">
        <v>46248</v>
      </c>
      <c r="D30" s="40" t="inlineStr">
        <is>
          <t>Srinivasan Balaji</t>
        </is>
      </c>
      <c r="E30" s="40" t="n">
        <v>9677283538</v>
      </c>
      <c r="F30" s="40" t="inlineStr">
        <is>
          <t xml:space="preserve">srinivs0333@gmail.com </t>
        </is>
      </c>
      <c r="G30" s="40" t="inlineStr">
        <is>
          <t xml:space="preserve">srinivs0333@gmail.com </t>
        </is>
      </c>
      <c r="H30" s="40" t="inlineStr">
        <is>
          <t>Bsc CS</t>
        </is>
      </c>
      <c r="I30" s="40" t="inlineStr">
        <is>
          <t>4.1 Years</t>
        </is>
      </c>
      <c r="J30" s="40" t="inlineStr">
        <is>
          <t>React 4 Y + Node 4 Y</t>
        </is>
      </c>
      <c r="K30" s="40" t="inlineStr">
        <is>
          <t>IQVIA</t>
        </is>
      </c>
      <c r="L30" s="40" t="inlineStr">
        <is>
          <t>FullStack(React,Node)</t>
        </is>
      </c>
      <c r="M30" s="40" t="inlineStr">
        <is>
          <t>Software Development Engineer 2 (SDE-2) ·</t>
        </is>
      </c>
      <c r="N30" s="40" t="inlineStr">
        <is>
          <t>Chennai</t>
        </is>
      </c>
      <c r="O30" s="40" t="inlineStr">
        <is>
          <t>Chennai</t>
        </is>
      </c>
      <c r="P30" s="40" t="inlineStr">
        <is>
          <t>11 LPA</t>
        </is>
      </c>
      <c r="Q30" s="40" t="inlineStr">
        <is>
          <t>14 LPA</t>
        </is>
      </c>
      <c r="R30" s="40" t="inlineStr">
        <is>
          <t>3 months(LWD- 6 Sept)</t>
        </is>
      </c>
      <c r="S30" s="40" t="inlineStr">
        <is>
          <t xml:space="preserve">Current Project coming to an end </t>
        </is>
      </c>
      <c r="T30" s="40" t="n"/>
      <c r="U30" s="40" t="n"/>
      <c r="V30" s="40" t="n"/>
      <c r="W30" s="40" t="n"/>
      <c r="X30" s="40" t="n"/>
      <c r="Y30" s="40" t="n"/>
      <c r="Z30" s="40" t="n"/>
    </row>
    <row r="31">
      <c r="A31" s="40" t="n">
        <v>15</v>
      </c>
      <c r="B31" s="40" t="inlineStr">
        <is>
          <t>Kivitronics</t>
        </is>
      </c>
      <c r="C31" s="206" t="n">
        <v>46248</v>
      </c>
      <c r="D31" s="49" t="inlineStr">
        <is>
          <t>Porselvan subramanian</t>
        </is>
      </c>
      <c r="E31" s="49" t="n">
        <v>9087303711</v>
      </c>
      <c r="F31" s="40" t="inlineStr">
        <is>
          <t>spor22333@gmail.com</t>
        </is>
      </c>
      <c r="G31" s="40" t="inlineStr">
        <is>
          <t>spor22333@gmail.com</t>
        </is>
      </c>
      <c r="H31" s="40" t="inlineStr">
        <is>
          <t>M.Sc in Statistics</t>
        </is>
      </c>
      <c r="I31" s="40" t="inlineStr">
        <is>
          <t xml:space="preserve">4.7 Years </t>
        </is>
      </c>
      <c r="J31" s="40" t="inlineStr">
        <is>
          <t>React 3.3Y+Node 4.7 Y</t>
        </is>
      </c>
      <c r="K31" s="40" t="inlineStr">
        <is>
          <t>Altimetrik</t>
        </is>
      </c>
      <c r="L31" s="40" t="inlineStr">
        <is>
          <t>FullStack(React,Node)</t>
        </is>
      </c>
      <c r="M31" s="40" t="inlineStr">
        <is>
          <t>Senior Software Engineer</t>
        </is>
      </c>
      <c r="N31" s="40" t="inlineStr">
        <is>
          <t>Chennai</t>
        </is>
      </c>
      <c r="O31" s="40" t="inlineStr">
        <is>
          <t>Chennai</t>
        </is>
      </c>
      <c r="P31" s="49" t="inlineStr">
        <is>
          <t>13.5 lpa</t>
        </is>
      </c>
      <c r="Q31" s="49" t="inlineStr">
        <is>
          <t>22 LPA</t>
        </is>
      </c>
      <c r="R31" s="49" t="inlineStr">
        <is>
          <t>60 days(30 days)</t>
        </is>
      </c>
      <c r="S31" s="40" t="inlineStr">
        <is>
          <t xml:space="preserve">Career Growth </t>
        </is>
      </c>
      <c r="T31" s="47" t="n"/>
      <c r="U31" s="40" t="n"/>
      <c r="V31" s="40" t="n"/>
      <c r="W31" s="40" t="n"/>
      <c r="X31" s="40" t="n"/>
      <c r="Y31" s="40" t="n"/>
      <c r="Z31" s="40" t="n"/>
    </row>
    <row r="32">
      <c r="A32" s="40" t="n">
        <v>16</v>
      </c>
      <c r="B32" s="40" t="inlineStr">
        <is>
          <t>Kivitronics</t>
        </is>
      </c>
      <c r="C32" s="206" t="n">
        <v>46248</v>
      </c>
      <c r="D32" s="49" t="inlineStr">
        <is>
          <t>Duraipandi R</t>
        </is>
      </c>
      <c r="E32" s="49" t="n">
        <v>6381729867</v>
      </c>
      <c r="F32" s="49" t="inlineStr">
        <is>
          <t>duraisiva1905@gmail.com</t>
        </is>
      </c>
      <c r="G32" s="49" t="inlineStr">
        <is>
          <t>duraisiva1905@gmail.com</t>
        </is>
      </c>
      <c r="H32" s="49" t="inlineStr">
        <is>
          <t>B.E CS</t>
        </is>
      </c>
      <c r="I32" s="49" t="inlineStr">
        <is>
          <t>3 years</t>
        </is>
      </c>
      <c r="J32" s="49" t="inlineStr">
        <is>
          <t>React 3Y + Node 3Y</t>
        </is>
      </c>
      <c r="K32" s="49" t="inlineStr">
        <is>
          <t>Sify Technologies Limited</t>
        </is>
      </c>
      <c r="L32" s="40" t="inlineStr">
        <is>
          <t>FullStack(React,Node)</t>
        </is>
      </c>
      <c r="M32" s="49" t="inlineStr">
        <is>
          <t xml:space="preserve">Fullstack Developer  </t>
        </is>
      </c>
      <c r="N32" s="49" t="inlineStr">
        <is>
          <t>Chennai</t>
        </is>
      </c>
      <c r="O32" s="40" t="inlineStr">
        <is>
          <t>Chennai</t>
        </is>
      </c>
      <c r="P32" s="49" t="inlineStr">
        <is>
          <t>8 LPA</t>
        </is>
      </c>
      <c r="Q32" s="49" t="inlineStr">
        <is>
          <t>12 LPA</t>
        </is>
      </c>
      <c r="R32" s="49" t="inlineStr">
        <is>
          <t>LWD - 10th Oct (nego)</t>
        </is>
      </c>
      <c r="S32" s="40" t="inlineStr">
        <is>
          <t>Career Growth</t>
        </is>
      </c>
      <c r="T32" s="49" t="n"/>
      <c r="U32" s="32" t="n"/>
      <c r="V32" s="32" t="n"/>
      <c r="W32" s="32" t="n"/>
      <c r="X32" s="32" t="n"/>
      <c r="Y32" s="32" t="n"/>
      <c r="Z32" s="32" t="n"/>
    </row>
    <row r="33">
      <c r="A33" s="40" t="n">
        <v>17</v>
      </c>
      <c r="B33" s="40" t="inlineStr">
        <is>
          <t>Kivitronics</t>
        </is>
      </c>
      <c r="C33" s="206" t="n">
        <v>46248</v>
      </c>
      <c r="D33" s="49" t="inlineStr">
        <is>
          <t>syed sharukh</t>
        </is>
      </c>
      <c r="E33" s="49" t="n">
        <v>9361473254</v>
      </c>
      <c r="F33" s="49" t="inlineStr">
        <is>
          <t xml:space="preserve">syedsharukh645@gmail.com </t>
        </is>
      </c>
      <c r="G33" s="49" t="inlineStr">
        <is>
          <t xml:space="preserve">syedsharukh645@gmail.com </t>
        </is>
      </c>
      <c r="H33" s="49" t="inlineStr">
        <is>
          <t>B.Tech</t>
        </is>
      </c>
      <c r="I33" s="49" t="inlineStr">
        <is>
          <t>3 years</t>
        </is>
      </c>
      <c r="J33" s="49" t="inlineStr">
        <is>
          <t>React 3Y + Node 3Y</t>
        </is>
      </c>
      <c r="K33" s="49" t="inlineStr">
        <is>
          <t>Avasoft</t>
        </is>
      </c>
      <c r="L33" s="40" t="inlineStr">
        <is>
          <t>FullStack(React,Node)</t>
        </is>
      </c>
      <c r="M33" s="49" t="inlineStr">
        <is>
          <t>Fullstack Software Engineer</t>
        </is>
      </c>
      <c r="N33" s="49" t="inlineStr">
        <is>
          <t>Chennai</t>
        </is>
      </c>
      <c r="O33" s="40" t="inlineStr">
        <is>
          <t>Chennai</t>
        </is>
      </c>
      <c r="P33" s="49" t="inlineStr">
        <is>
          <t>11 LPA</t>
        </is>
      </c>
      <c r="Q33" s="49" t="inlineStr">
        <is>
          <t>16 LPA</t>
        </is>
      </c>
      <c r="R33" s="49" t="inlineStr">
        <is>
          <t>LWD - 3rd Sep</t>
        </is>
      </c>
      <c r="S33" s="40" t="inlineStr">
        <is>
          <t>Career Growth</t>
        </is>
      </c>
      <c r="T33" s="49" t="n"/>
      <c r="U33" s="32" t="n"/>
      <c r="V33" s="32" t="n"/>
      <c r="W33" s="32" t="n"/>
      <c r="X33" s="32" t="n"/>
      <c r="Y33" s="32" t="n"/>
      <c r="Z33" s="32" t="n"/>
    </row>
    <row r="34">
      <c r="A34" s="40" t="n">
        <v>18</v>
      </c>
      <c r="B34" s="40" t="inlineStr">
        <is>
          <t>Kivitronics</t>
        </is>
      </c>
      <c r="C34" s="206" t="n">
        <v>46248</v>
      </c>
      <c r="D34" s="49" t="inlineStr">
        <is>
          <t>Jeevanantham Sakthivel</t>
        </is>
      </c>
      <c r="E34" s="49" t="n">
        <v>8778197268</v>
      </c>
      <c r="F34" s="49" t="inlineStr">
        <is>
          <t>jeevanantham09031999@gmail.com</t>
        </is>
      </c>
      <c r="G34" s="49" t="inlineStr">
        <is>
          <t>jeevanantham09031999@gmail.com</t>
        </is>
      </c>
      <c r="H34" s="49" t="inlineStr">
        <is>
          <t>BE Mechanical</t>
        </is>
      </c>
      <c r="I34" s="49" t="inlineStr">
        <is>
          <t>4 Years</t>
        </is>
      </c>
      <c r="J34" s="49" t="inlineStr">
        <is>
          <t>React 3Y + Node 3Y</t>
        </is>
      </c>
      <c r="K34" s="49" t="inlineStr">
        <is>
          <t>Grid Dynamics</t>
        </is>
      </c>
      <c r="L34" s="40" t="inlineStr">
        <is>
          <t>FullStack(React,Node)</t>
        </is>
      </c>
      <c r="M34" s="49" t="inlineStr">
        <is>
          <t>Software Engineer</t>
        </is>
      </c>
      <c r="N34" s="40" t="inlineStr">
        <is>
          <t>Chennai</t>
        </is>
      </c>
      <c r="O34" s="40" t="inlineStr">
        <is>
          <t>Chennai</t>
        </is>
      </c>
      <c r="P34" s="49" t="inlineStr">
        <is>
          <t>8.5 LPA</t>
        </is>
      </c>
      <c r="Q34" s="49" t="inlineStr">
        <is>
          <t>16 LPA</t>
        </is>
      </c>
      <c r="R34" s="49" t="inlineStr">
        <is>
          <t>15 Days(LWD 30th Aug)</t>
        </is>
      </c>
      <c r="S34" s="49" t="inlineStr">
        <is>
          <t>Project Ended</t>
        </is>
      </c>
      <c r="T34" s="49" t="n"/>
      <c r="U34" s="32" t="n"/>
      <c r="V34" s="32" t="n"/>
      <c r="W34" s="32" t="n"/>
      <c r="X34" s="32" t="n"/>
      <c r="Y34" s="32" t="n"/>
      <c r="Z34" s="32" t="n"/>
    </row>
    <row r="35">
      <c r="A35" s="64" t="n">
        <v>19</v>
      </c>
      <c r="B35" s="64" t="inlineStr">
        <is>
          <t>Kivitronics</t>
        </is>
      </c>
      <c r="C35" s="207" t="n">
        <v>46248</v>
      </c>
      <c r="D35" s="53" t="inlineStr">
        <is>
          <t>Gnanamani</t>
        </is>
      </c>
      <c r="E35" s="53" t="n">
        <v>8940675797</v>
      </c>
      <c r="F35" s="53" t="inlineStr">
        <is>
          <t>gnanamani894@gmail.com</t>
        </is>
      </c>
      <c r="G35" s="53" t="inlineStr">
        <is>
          <t>gnanamani894@gmail.com</t>
        </is>
      </c>
      <c r="H35" s="53" t="inlineStr">
        <is>
          <t>B.E CSE</t>
        </is>
      </c>
      <c r="I35" s="53" t="inlineStr">
        <is>
          <t>9.6 Years</t>
        </is>
      </c>
      <c r="J35" s="53" t="inlineStr">
        <is>
          <t>React 7Y+ Node  7Y</t>
        </is>
      </c>
      <c r="K35" s="53" t="inlineStr">
        <is>
          <t xml:space="preserve">Integra Software Services </t>
        </is>
      </c>
      <c r="L35" s="64" t="inlineStr">
        <is>
          <t>FullStack Lead (React,Node)</t>
        </is>
      </c>
      <c r="M35" s="53" t="inlineStr">
        <is>
          <t>Technical Lead</t>
        </is>
      </c>
      <c r="N35" s="53" t="inlineStr">
        <is>
          <t>Puducherry</t>
        </is>
      </c>
      <c r="O35" s="53" t="inlineStr">
        <is>
          <t>Chennai</t>
        </is>
      </c>
      <c r="P35" s="53" t="inlineStr">
        <is>
          <t>29.95 LPA</t>
        </is>
      </c>
      <c r="Q35" s="53" t="inlineStr">
        <is>
          <t>32LPA</t>
        </is>
      </c>
      <c r="R35" s="53" t="inlineStr">
        <is>
          <t>60 Days(nego to 35 days)</t>
        </is>
      </c>
      <c r="S35" s="53" t="inlineStr">
        <is>
          <t>Career Growth</t>
        </is>
      </c>
      <c r="T35" s="49" t="n"/>
      <c r="U35" s="32" t="n"/>
      <c r="V35" s="32" t="n"/>
      <c r="W35" s="32" t="n"/>
      <c r="X35" s="32" t="n"/>
      <c r="Y35" s="32" t="n"/>
      <c r="Z35" s="32" t="n"/>
    </row>
    <row r="36">
      <c r="A36" s="64" t="n">
        <v>20</v>
      </c>
      <c r="B36" s="64" t="inlineStr">
        <is>
          <t>Kivitronics</t>
        </is>
      </c>
      <c r="C36" s="207" t="n">
        <v>46247</v>
      </c>
      <c r="D36" s="53" t="inlineStr">
        <is>
          <t>Aakash Chandra</t>
        </is>
      </c>
      <c r="E36" s="53" t="n">
        <v>7598929634</v>
      </c>
      <c r="F36" s="64" t="inlineStr">
        <is>
          <t>aakashchandha@gmail.com</t>
        </is>
      </c>
      <c r="G36" s="64" t="inlineStr">
        <is>
          <t>aakashchandha@gmail.com</t>
        </is>
      </c>
      <c r="H36" s="64" t="inlineStr">
        <is>
          <t>BE CSE</t>
        </is>
      </c>
      <c r="I36" s="64" t="inlineStr">
        <is>
          <t>3.2 yrs</t>
        </is>
      </c>
      <c r="J36" s="64" t="inlineStr">
        <is>
          <t>React 3.2 Y + Node 3.2 y</t>
        </is>
      </c>
      <c r="K36" s="64" t="inlineStr">
        <is>
          <t xml:space="preserve">NXGEN Technology AG </t>
        </is>
      </c>
      <c r="L36" s="64" t="inlineStr">
        <is>
          <t>FullStack(React,Node)</t>
        </is>
      </c>
      <c r="M36" s="64" t="inlineStr">
        <is>
          <t xml:space="preserve">Full Stack Engineer </t>
        </is>
      </c>
      <c r="N36" s="64" t="inlineStr">
        <is>
          <t>Chennai</t>
        </is>
      </c>
      <c r="O36" s="64" t="inlineStr">
        <is>
          <t>Chennai</t>
        </is>
      </c>
      <c r="P36" s="64" t="inlineStr">
        <is>
          <t>8 LPA</t>
        </is>
      </c>
      <c r="Q36" s="64" t="inlineStr">
        <is>
          <t>40% Hike (nego)</t>
        </is>
      </c>
      <c r="R36" s="64" t="inlineStr">
        <is>
          <t>30 days (nego to 20days)</t>
        </is>
      </c>
      <c r="S36" s="64" t="inlineStr">
        <is>
          <t>Career Growth</t>
        </is>
      </c>
      <c r="T36" s="40" t="n"/>
      <c r="U36" s="40" t="n"/>
      <c r="V36" s="40" t="n"/>
      <c r="W36" s="40" t="n"/>
      <c r="X36" s="40" t="n"/>
      <c r="Y36" s="40" t="n"/>
      <c r="Z36" s="40" t="n"/>
    </row>
    <row r="37">
      <c r="A37" s="64" t="n">
        <v>21</v>
      </c>
      <c r="B37" s="64" t="inlineStr">
        <is>
          <t>Kivitronics</t>
        </is>
      </c>
      <c r="C37" s="207" t="n">
        <v>46248</v>
      </c>
      <c r="D37" s="53" t="inlineStr">
        <is>
          <t>Rajesh</t>
        </is>
      </c>
      <c r="E37" s="53" t="n">
        <v>7402160395</v>
      </c>
      <c r="F37" s="53" t="inlineStr">
        <is>
          <t>rajeshdevaraj15@gmail.com</t>
        </is>
      </c>
      <c r="G37" s="53" t="inlineStr">
        <is>
          <t>rajeshdevaraj15@gmail.com</t>
        </is>
      </c>
      <c r="H37" s="53" t="inlineStr">
        <is>
          <t>BE ECE</t>
        </is>
      </c>
      <c r="I37" s="53" t="inlineStr">
        <is>
          <t>8 Years</t>
        </is>
      </c>
      <c r="J37" s="53" t="inlineStr">
        <is>
          <t>React 4Y + Node 4Y</t>
        </is>
      </c>
      <c r="K37" s="53" t="inlineStr">
        <is>
          <t>Cegeka</t>
        </is>
      </c>
      <c r="L37" s="64" t="inlineStr">
        <is>
          <t>FullStack Lead (React,Node)</t>
        </is>
      </c>
      <c r="M37" s="53" t="inlineStr">
        <is>
          <t>SSD</t>
        </is>
      </c>
      <c r="N37" s="53" t="inlineStr">
        <is>
          <t>Chennai</t>
        </is>
      </c>
      <c r="O37" s="53" t="inlineStr">
        <is>
          <t>Chennai</t>
        </is>
      </c>
      <c r="P37" s="53" t="inlineStr">
        <is>
          <t>14 LPA</t>
        </is>
      </c>
      <c r="Q37" s="53" t="inlineStr">
        <is>
          <t xml:space="preserve">As per the company </t>
        </is>
      </c>
      <c r="R37" s="53" t="inlineStr">
        <is>
          <t>Immediate</t>
        </is>
      </c>
      <c r="S37" s="53" t="inlineStr">
        <is>
          <t>Project Ended</t>
        </is>
      </c>
      <c r="T37" s="49" t="n"/>
      <c r="U37" s="32" t="n"/>
      <c r="V37" s="32" t="n"/>
      <c r="W37" s="32" t="n"/>
      <c r="X37" s="32" t="n"/>
      <c r="Y37" s="32" t="n"/>
      <c r="Z37" s="32" t="n"/>
    </row>
    <row r="38">
      <c r="A38" s="64" t="n">
        <v>22</v>
      </c>
      <c r="B38" s="64" t="inlineStr">
        <is>
          <t>Kivitronics</t>
        </is>
      </c>
      <c r="C38" s="207" t="n">
        <v>46248</v>
      </c>
      <c r="D38" s="53" t="inlineStr">
        <is>
          <t>Shabana</t>
        </is>
      </c>
      <c r="E38" s="53" t="n">
        <v>8056548711</v>
      </c>
      <c r="F38" s="53" t="inlineStr">
        <is>
          <t>s.shabana0503@gmail.com</t>
        </is>
      </c>
      <c r="G38" s="53" t="inlineStr">
        <is>
          <t>s.shabana0503@gmail.com</t>
        </is>
      </c>
      <c r="H38" s="53" t="inlineStr">
        <is>
          <t>B.Tech/MBA</t>
        </is>
      </c>
      <c r="I38" s="53" t="inlineStr">
        <is>
          <t>8 Years</t>
        </is>
      </c>
      <c r="J38" s="53" t="inlineStr">
        <is>
          <t>React 6Y+ Node 6Y</t>
        </is>
      </c>
      <c r="K38" s="53" t="inlineStr">
        <is>
          <t>Synechron Technologies</t>
        </is>
      </c>
      <c r="L38" s="64" t="inlineStr">
        <is>
          <t>FullStack Lead (React,Node)</t>
        </is>
      </c>
      <c r="M38" s="53" t="inlineStr">
        <is>
          <t>Senior Associate</t>
        </is>
      </c>
      <c r="N38" s="53" t="inlineStr">
        <is>
          <t>Chennai</t>
        </is>
      </c>
      <c r="O38" s="53" t="inlineStr">
        <is>
          <t>Chennai</t>
        </is>
      </c>
      <c r="P38" s="53" t="inlineStr">
        <is>
          <t>25 LPA</t>
        </is>
      </c>
      <c r="Q38" s="53" t="inlineStr">
        <is>
          <t>30 LPA(Negotiable)</t>
        </is>
      </c>
      <c r="R38" s="53" t="inlineStr">
        <is>
          <t>15 Days(30th Aug)</t>
        </is>
      </c>
      <c r="S38" s="53" t="inlineStr">
        <is>
          <t>Project Ended</t>
        </is>
      </c>
      <c r="T38" s="49" t="n"/>
      <c r="U38" s="32" t="n"/>
      <c r="V38" s="32" t="n"/>
      <c r="W38" s="32" t="n"/>
      <c r="X38" s="32" t="n"/>
      <c r="Y38" s="32" t="n"/>
      <c r="Z38" s="32" t="n"/>
    </row>
    <row r="39">
      <c r="A39" s="64" t="n">
        <v>23</v>
      </c>
      <c r="B39" s="64" t="inlineStr">
        <is>
          <t>Kivitronics</t>
        </is>
      </c>
      <c r="C39" s="207" t="n">
        <v>46248</v>
      </c>
      <c r="D39" s="60" t="inlineStr">
        <is>
          <t>Pasupathi</t>
        </is>
      </c>
      <c r="E39" s="60" t="n">
        <v>6380697669</v>
      </c>
      <c r="F39" s="60" t="inlineStr">
        <is>
          <t>pasupathigunasekaran98@gmail.com</t>
        </is>
      </c>
      <c r="G39" s="60" t="inlineStr">
        <is>
          <t>pasupathigunasekaran98@gmail.com</t>
        </is>
      </c>
      <c r="H39" s="60" t="inlineStr">
        <is>
          <t>BE CS</t>
        </is>
      </c>
      <c r="I39" s="60" t="inlineStr">
        <is>
          <t>7 Years</t>
        </is>
      </c>
      <c r="J39" s="60" t="inlineStr">
        <is>
          <t>React 6Y+Node 5Y</t>
        </is>
      </c>
      <c r="K39" s="60" t="inlineStr">
        <is>
          <t xml:space="preserve">Incedo </t>
        </is>
      </c>
      <c r="L39" s="64" t="inlineStr">
        <is>
          <t>FullStack Lead (React,Node)</t>
        </is>
      </c>
      <c r="M39" s="60" t="inlineStr">
        <is>
          <t>Technical Lead</t>
        </is>
      </c>
      <c r="N39" s="60" t="inlineStr">
        <is>
          <t>Chennai</t>
        </is>
      </c>
      <c r="O39" s="53" t="inlineStr">
        <is>
          <t>Chennai</t>
        </is>
      </c>
      <c r="P39" s="60" t="inlineStr">
        <is>
          <t>21.33 LPA</t>
        </is>
      </c>
      <c r="Q39" s="53" t="inlineStr">
        <is>
          <t>30 LPA(Negotiable)</t>
        </is>
      </c>
      <c r="R39" s="60" t="inlineStr">
        <is>
          <t>15 Days(LWD 25th Aug)</t>
        </is>
      </c>
      <c r="S39" s="60" t="inlineStr">
        <is>
          <t>Project contract ending</t>
        </is>
      </c>
      <c r="T39" s="60" t="n"/>
      <c r="U39" s="61" t="n"/>
      <c r="V39" s="61" t="n"/>
      <c r="W39" s="61" t="n"/>
      <c r="X39" s="61" t="n"/>
      <c r="Y39" s="61" t="n"/>
      <c r="Z39" s="61" t="n"/>
    </row>
    <row r="40">
      <c r="A40" s="53" t="n">
        <v>24</v>
      </c>
      <c r="B40" s="64" t="inlineStr">
        <is>
          <t>Kivitronics</t>
        </is>
      </c>
      <c r="C40" s="208" t="n">
        <v>46248</v>
      </c>
      <c r="D40" s="63" t="inlineStr">
        <is>
          <t>Rohith</t>
        </is>
      </c>
      <c r="E40" s="53" t="n">
        <v>9494224473</v>
      </c>
      <c r="F40" s="53" t="inlineStr">
        <is>
          <t>rohithnaidu01@gmail.com</t>
        </is>
      </c>
      <c r="G40" s="53" t="inlineStr">
        <is>
          <t>rohithnaidu01@gmail.com</t>
        </is>
      </c>
      <c r="H40" s="53" t="inlineStr">
        <is>
          <t>B.Tech</t>
        </is>
      </c>
      <c r="I40" s="53" t="inlineStr">
        <is>
          <t>4.3 Years</t>
        </is>
      </c>
      <c r="J40" s="53" t="inlineStr">
        <is>
          <t>React 4.3 Y+Node 4.3Y</t>
        </is>
      </c>
      <c r="K40" s="53" t="inlineStr">
        <is>
          <t>NTT Data</t>
        </is>
      </c>
      <c r="L40" s="64" t="inlineStr">
        <is>
          <t>FullStack(React,Node)</t>
        </is>
      </c>
      <c r="M40" s="53" t="inlineStr">
        <is>
          <t>MERN Stack Developer</t>
        </is>
      </c>
      <c r="N40" s="53" t="inlineStr">
        <is>
          <t>Bangalore</t>
        </is>
      </c>
      <c r="O40" s="53" t="inlineStr">
        <is>
          <t>Chennai</t>
        </is>
      </c>
      <c r="P40" s="53" t="inlineStr">
        <is>
          <t>12 LPA</t>
        </is>
      </c>
      <c r="Q40" s="53" t="inlineStr">
        <is>
          <t>16 LPA</t>
        </is>
      </c>
      <c r="R40" s="53" t="inlineStr">
        <is>
          <t>60 Days(nego to 30 days)</t>
        </is>
      </c>
      <c r="S40" s="53" t="inlineStr">
        <is>
          <t>Career Growth</t>
        </is>
      </c>
      <c r="T40" s="49" t="n"/>
      <c r="U40" s="40" t="n"/>
      <c r="V40" s="40" t="n"/>
      <c r="W40" s="40" t="n"/>
      <c r="X40" s="40" t="n"/>
      <c r="Y40" s="40" t="n"/>
      <c r="Z40" s="40" t="n"/>
    </row>
    <row r="41">
      <c r="A41" s="64" t="n">
        <v>25</v>
      </c>
      <c r="B41" s="64" t="inlineStr">
        <is>
          <t>Kivitronics</t>
        </is>
      </c>
      <c r="C41" s="207" t="n">
        <v>46248</v>
      </c>
      <c r="D41" s="53" t="inlineStr">
        <is>
          <t>Santhosh S</t>
        </is>
      </c>
      <c r="E41" s="64" t="n">
        <v>9940691676</v>
      </c>
      <c r="F41" s="64" t="inlineStr">
        <is>
          <t>santhoshsridhar00@gmail.com</t>
        </is>
      </c>
      <c r="G41" s="64" t="inlineStr">
        <is>
          <t>santhoshsridhar00@gmail.com</t>
        </is>
      </c>
      <c r="H41" s="64" t="inlineStr">
        <is>
          <t>BE CSC</t>
        </is>
      </c>
      <c r="I41" s="64" t="inlineStr">
        <is>
          <t>4.11 Years</t>
        </is>
      </c>
      <c r="J41" s="64" t="inlineStr">
        <is>
          <t>React 4.11 Y + Node 4.11 Y</t>
        </is>
      </c>
      <c r="K41" s="64" t="inlineStr">
        <is>
          <t>Ideas2IT Technologies</t>
        </is>
      </c>
      <c r="L41" s="64" t="inlineStr">
        <is>
          <t>FullStack(React,Node)</t>
        </is>
      </c>
      <c r="M41" s="64" t="inlineStr">
        <is>
          <t>Senior Software Engineer</t>
        </is>
      </c>
      <c r="N41" s="64" t="inlineStr">
        <is>
          <t xml:space="preserve">Chennai </t>
        </is>
      </c>
      <c r="O41" s="53" t="inlineStr">
        <is>
          <t>Chennai</t>
        </is>
      </c>
      <c r="P41" s="53" t="inlineStr">
        <is>
          <t>17.5 LPA</t>
        </is>
      </c>
      <c r="Q41" s="64" t="inlineStr">
        <is>
          <t>24 LPA (nego)</t>
        </is>
      </c>
      <c r="R41" s="53" t="inlineStr">
        <is>
          <t>30 days (negotiable)</t>
        </is>
      </c>
      <c r="S41" s="53" t="inlineStr">
        <is>
          <t>Career Growth</t>
        </is>
      </c>
      <c r="T41" s="49" t="n"/>
      <c r="U41" s="32" t="n"/>
      <c r="V41" s="32" t="n"/>
      <c r="W41" s="32" t="n"/>
      <c r="X41" s="32" t="n"/>
      <c r="Y41" s="32" t="n"/>
      <c r="Z41" s="32" t="n"/>
    </row>
    <row r="42">
      <c r="A42" s="64" t="n">
        <v>26</v>
      </c>
      <c r="B42" s="64" t="inlineStr">
        <is>
          <t>Kivitronics</t>
        </is>
      </c>
      <c r="C42" s="207" t="n">
        <v>46254</v>
      </c>
      <c r="D42" s="64" t="inlineStr">
        <is>
          <t>Ankit Mahajan</t>
        </is>
      </c>
      <c r="E42" s="64" t="n">
        <v>7745864231</v>
      </c>
      <c r="F42" s="64" t="inlineStr">
        <is>
          <t>ankitmahajan004@gmail.com</t>
        </is>
      </c>
      <c r="G42" s="64" t="inlineStr">
        <is>
          <t>ankitmahajan004@gmail.com</t>
        </is>
      </c>
      <c r="H42" s="64" t="inlineStr">
        <is>
          <t>B.Tech(Nautical Technology)</t>
        </is>
      </c>
      <c r="I42" s="64" t="inlineStr">
        <is>
          <t>8 Years</t>
        </is>
      </c>
      <c r="J42" s="64" t="inlineStr">
        <is>
          <t>8 Years</t>
        </is>
      </c>
      <c r="K42" s="64" t="inlineStr">
        <is>
          <t>Samsara Group</t>
        </is>
      </c>
      <c r="L42" s="64" t="inlineStr">
        <is>
          <t>Voyage Optimization Specialist</t>
        </is>
      </c>
      <c r="M42" s="64" t="inlineStr">
        <is>
          <t>Manager-Shop Broking</t>
        </is>
      </c>
      <c r="N42" s="64" t="inlineStr">
        <is>
          <t>Mumbai</t>
        </is>
      </c>
      <c r="O42" s="64" t="inlineStr">
        <is>
          <t>Mumbai</t>
        </is>
      </c>
      <c r="P42" s="64" t="inlineStr">
        <is>
          <t>17 LPA</t>
        </is>
      </c>
      <c r="Q42" s="64" t="inlineStr">
        <is>
          <t>25 LPA</t>
        </is>
      </c>
      <c r="R42" s="64" t="inlineStr">
        <is>
          <t>2 Months(Negotiable)</t>
        </is>
      </c>
      <c r="S42" s="53" t="inlineStr">
        <is>
          <t>Career Growth</t>
        </is>
      </c>
      <c r="T42" s="64" t="n"/>
      <c r="U42" s="32" t="n"/>
      <c r="V42" s="32" t="n"/>
      <c r="W42" s="32" t="n"/>
      <c r="X42" s="32" t="n"/>
      <c r="Y42" s="32" t="n"/>
      <c r="Z42" s="32" t="n"/>
    </row>
    <row r="43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</row>
    <row r="44">
      <c r="A44" s="32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</row>
    <row r="45">
      <c r="A45" s="32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</row>
    <row r="46">
      <c r="A46" s="32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W46" s="32" t="n"/>
      <c r="X46" s="32" t="n"/>
      <c r="Y46" s="32" t="n"/>
      <c r="Z46" s="32" t="n"/>
    </row>
    <row r="47">
      <c r="A47" s="32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</row>
    <row r="48">
      <c r="A48" s="32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</row>
    <row r="49">
      <c r="A49" s="32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</row>
    <row r="50">
      <c r="A50" s="32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</row>
    <row r="51">
      <c r="A51" s="32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</row>
    <row r="52">
      <c r="A52" s="32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</row>
    <row r="53">
      <c r="A53" s="37" t="inlineStr">
        <is>
          <t>S.No</t>
        </is>
      </c>
      <c r="B53" s="35" t="inlineStr">
        <is>
          <t>Source</t>
        </is>
      </c>
      <c r="C53" s="35" t="inlineStr">
        <is>
          <t>Profile shared on</t>
        </is>
      </c>
      <c r="D53" s="35" t="inlineStr">
        <is>
          <t>Name</t>
        </is>
      </c>
      <c r="E53" s="35" t="inlineStr">
        <is>
          <t>Mobile Number</t>
        </is>
      </c>
      <c r="F53" s="35" t="inlineStr">
        <is>
          <t>Email Id</t>
        </is>
      </c>
      <c r="G53" s="35" t="inlineStr">
        <is>
          <t>Google hangout ID</t>
        </is>
      </c>
      <c r="H53" s="35" t="inlineStr">
        <is>
          <t>Qualification</t>
        </is>
      </c>
      <c r="I53" s="35" t="inlineStr">
        <is>
          <t>Total Exp</t>
        </is>
      </c>
      <c r="J53" s="35" t="inlineStr">
        <is>
          <t>Rel Exp</t>
        </is>
      </c>
      <c r="K53" s="35" t="inlineStr">
        <is>
          <t>Current Company</t>
        </is>
      </c>
      <c r="L53" s="35" t="inlineStr">
        <is>
          <t>Position</t>
        </is>
      </c>
      <c r="M53" s="35" t="inlineStr">
        <is>
          <t>Designation</t>
        </is>
      </c>
      <c r="N53" s="35" t="inlineStr">
        <is>
          <t>Current Location</t>
        </is>
      </c>
      <c r="O53" s="35" t="inlineStr">
        <is>
          <t>Preffered Location</t>
        </is>
      </c>
      <c r="P53" s="35" t="inlineStr">
        <is>
          <t>CCTC</t>
        </is>
      </c>
      <c r="Q53" s="35" t="inlineStr">
        <is>
          <t>ECTC</t>
        </is>
      </c>
      <c r="R53" s="35" t="inlineStr">
        <is>
          <t>NP</t>
        </is>
      </c>
      <c r="S53" s="35" t="inlineStr">
        <is>
          <t>Reason for change</t>
        </is>
      </c>
      <c r="T53" s="40" t="n"/>
      <c r="U53" s="40" t="n"/>
      <c r="V53" s="40" t="n"/>
      <c r="W53" s="40" t="n"/>
      <c r="X53" s="40" t="n"/>
      <c r="Y53" s="40" t="n"/>
      <c r="Z53" s="40" t="n"/>
    </row>
    <row r="54">
      <c r="A54" s="64" t="n">
        <v>1</v>
      </c>
      <c r="B54" s="64" t="inlineStr">
        <is>
          <t>Kivitronics</t>
        </is>
      </c>
      <c r="C54" s="207" t="n">
        <v>46991</v>
      </c>
      <c r="D54" s="64" t="inlineStr">
        <is>
          <t>Vijay Kumar</t>
        </is>
      </c>
      <c r="E54" s="80" t="n">
        <v>8454875754</v>
      </c>
      <c r="F54" s="64" t="inlineStr">
        <is>
          <t>iamvijay16@gmail.com</t>
        </is>
      </c>
      <c r="G54" s="64" t="inlineStr">
        <is>
          <t>iamvijay16@gmail.com</t>
        </is>
      </c>
      <c r="H54" s="64" t="inlineStr">
        <is>
          <t>Diploma in Nautical Science</t>
        </is>
      </c>
      <c r="I54" s="64" t="inlineStr">
        <is>
          <t>11 Years</t>
        </is>
      </c>
      <c r="J54" s="64" t="inlineStr">
        <is>
          <t>Knowledge Only</t>
        </is>
      </c>
      <c r="K54" s="64" t="inlineStr">
        <is>
          <t>BW Fleet Management</t>
        </is>
      </c>
      <c r="L54" s="64" t="inlineStr">
        <is>
          <t>Voyage Optimization Specialist</t>
        </is>
      </c>
      <c r="M54" s="64" t="inlineStr">
        <is>
          <t>2nd Officer</t>
        </is>
      </c>
      <c r="N54" s="64" t="inlineStr">
        <is>
          <t>Mumbai</t>
        </is>
      </c>
      <c r="O54" s="64" t="inlineStr">
        <is>
          <t>Mumbai</t>
        </is>
      </c>
      <c r="P54" s="64" t="inlineStr">
        <is>
          <t>24 LPA</t>
        </is>
      </c>
      <c r="Q54" s="64" t="inlineStr">
        <is>
          <t>As per the company</t>
        </is>
      </c>
      <c r="R54" s="64" t="inlineStr">
        <is>
          <t>Immediate</t>
        </is>
      </c>
      <c r="S54" s="53" t="inlineStr">
        <is>
          <t>Career Growth</t>
        </is>
      </c>
      <c r="T54" s="64" t="n"/>
      <c r="U54" s="32" t="n"/>
      <c r="V54" s="32" t="n"/>
      <c r="W54" s="32" t="n"/>
      <c r="X54" s="32" t="n"/>
      <c r="Y54" s="32" t="n"/>
      <c r="Z54" s="32" t="n"/>
    </row>
    <row r="55">
      <c r="A55" s="64" t="n"/>
      <c r="B55" s="64" t="n"/>
      <c r="C55" s="207" t="n"/>
      <c r="D55" s="53" t="n"/>
      <c r="E55" s="53" t="n"/>
      <c r="F55" s="64" t="n"/>
      <c r="G55" s="64" t="n"/>
      <c r="H55" s="64" t="n"/>
      <c r="I55" s="64" t="n"/>
      <c r="J55" s="64" t="n"/>
      <c r="K55" s="64" t="n"/>
      <c r="L55" s="64" t="n"/>
      <c r="M55" s="64" t="n"/>
      <c r="N55" s="64" t="n"/>
      <c r="O55" s="64" t="n"/>
      <c r="P55" s="64" t="n"/>
      <c r="Q55" s="64" t="n"/>
      <c r="R55" s="64" t="n"/>
      <c r="S55" s="64" t="n"/>
      <c r="T55" s="40" t="n"/>
      <c r="U55" s="40" t="n"/>
      <c r="V55" s="40" t="n"/>
      <c r="W55" s="40" t="n"/>
      <c r="X55" s="40" t="n"/>
      <c r="Y55" s="40" t="n"/>
      <c r="Z55" s="40" t="n"/>
    </row>
    <row r="56">
      <c r="A56" s="64" t="n"/>
      <c r="B56" s="64" t="n"/>
      <c r="C56" s="207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64" t="n"/>
      <c r="M56" s="53" t="n"/>
      <c r="N56" s="53" t="n"/>
      <c r="O56" s="53" t="n"/>
      <c r="P56" s="53" t="n"/>
      <c r="Q56" s="53" t="n"/>
      <c r="R56" s="53" t="n"/>
      <c r="S56" s="53" t="n"/>
      <c r="T56" s="49" t="n"/>
      <c r="U56" s="32" t="n"/>
      <c r="V56" s="32" t="n"/>
      <c r="W56" s="32" t="n"/>
      <c r="X56" s="32" t="n"/>
      <c r="Y56" s="32" t="n"/>
      <c r="Z56" s="32" t="n"/>
    </row>
    <row r="57">
      <c r="A57" s="64" t="n"/>
      <c r="B57" s="64" t="n"/>
      <c r="C57" s="207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64" t="n"/>
      <c r="M57" s="53" t="n"/>
      <c r="N57" s="53" t="n"/>
      <c r="O57" s="53" t="n"/>
      <c r="P57" s="53" t="n"/>
      <c r="Q57" s="53" t="n"/>
      <c r="R57" s="53" t="n"/>
      <c r="S57" s="53" t="n"/>
      <c r="T57" s="49" t="n"/>
      <c r="U57" s="32" t="n"/>
      <c r="V57" s="32" t="n"/>
      <c r="W57" s="32" t="n"/>
      <c r="X57" s="32" t="n"/>
      <c r="Y57" s="32" t="n"/>
      <c r="Z57" s="32" t="n"/>
    </row>
    <row r="58">
      <c r="A58" s="64" t="n"/>
      <c r="B58" s="64" t="n"/>
      <c r="C58" s="207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4" t="n"/>
      <c r="M58" s="60" t="n"/>
      <c r="N58" s="60" t="n"/>
      <c r="O58" s="53" t="n"/>
      <c r="P58" s="60" t="n"/>
      <c r="Q58" s="53" t="n"/>
      <c r="R58" s="60" t="n"/>
      <c r="S58" s="60" t="n"/>
      <c r="T58" s="60" t="n"/>
      <c r="U58" s="61" t="n"/>
      <c r="V58" s="61" t="n"/>
      <c r="W58" s="61" t="n"/>
      <c r="X58" s="61" t="n"/>
      <c r="Y58" s="61" t="n"/>
      <c r="Z58" s="61" t="n"/>
    </row>
    <row r="59">
      <c r="A59" s="53" t="n"/>
      <c r="B59" s="64" t="n"/>
      <c r="C59" s="208" t="n"/>
      <c r="D59" s="63" t="n"/>
      <c r="E59" s="53" t="n"/>
      <c r="F59" s="53" t="n"/>
      <c r="G59" s="53" t="n"/>
      <c r="H59" s="53" t="n"/>
      <c r="I59" s="53" t="n"/>
      <c r="J59" s="53" t="n"/>
      <c r="K59" s="53" t="n"/>
      <c r="L59" s="64" t="n"/>
      <c r="M59" s="53" t="n"/>
      <c r="N59" s="53" t="n"/>
      <c r="O59" s="53" t="n"/>
      <c r="P59" s="53" t="n"/>
      <c r="Q59" s="53" t="n"/>
      <c r="R59" s="53" t="n"/>
      <c r="S59" s="53" t="n"/>
      <c r="T59" s="49" t="n"/>
      <c r="U59" s="40" t="n"/>
      <c r="V59" s="40" t="n"/>
      <c r="W59" s="40" t="n"/>
      <c r="X59" s="40" t="n"/>
      <c r="Y59" s="40" t="n"/>
      <c r="Z59" s="40" t="n"/>
    </row>
    <row r="60">
      <c r="A60" s="64" t="n"/>
      <c r="B60" s="64" t="n"/>
      <c r="C60" s="207" t="n"/>
      <c r="D60" s="53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53" t="n"/>
      <c r="P60" s="53" t="n"/>
      <c r="Q60" s="64" t="n"/>
      <c r="R60" s="53" t="n"/>
      <c r="S60" s="53" t="n"/>
      <c r="T60" s="49" t="n"/>
      <c r="U60" s="32" t="n"/>
      <c r="V60" s="32" t="n"/>
      <c r="W60" s="32" t="n"/>
      <c r="X60" s="32" t="n"/>
      <c r="Y60" s="32" t="n"/>
      <c r="Z60" s="32" t="n"/>
    </row>
    <row r="61">
      <c r="A61" s="32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</row>
    <row r="62">
      <c r="A62" s="32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</row>
    <row r="63">
      <c r="A63" s="32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</row>
    <row r="64">
      <c r="A64" s="32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</row>
    <row r="65">
      <c r="A65" s="32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</row>
    <row r="66">
      <c r="A66" s="32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</row>
    <row r="67">
      <c r="A67" s="32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</row>
    <row r="68">
      <c r="A68" s="32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</row>
    <row r="69">
      <c r="A69" s="32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2" t="n"/>
      <c r="Z69" s="32" t="n"/>
    </row>
    <row r="70">
      <c r="A70" s="32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</row>
    <row r="71">
      <c r="A71" s="32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</row>
    <row r="72">
      <c r="A72" s="32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</row>
    <row r="73">
      <c r="A73" s="32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</row>
    <row r="74">
      <c r="A74" s="32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</row>
    <row r="75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  <c r="Y75" s="32" t="n"/>
      <c r="Z75" s="32" t="n"/>
    </row>
    <row r="76">
      <c r="A76" s="32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  <c r="Y76" s="32" t="n"/>
      <c r="Z76" s="32" t="n"/>
    </row>
    <row r="77">
      <c r="A77" s="32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</row>
    <row r="78">
      <c r="A78" s="32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  <c r="Y78" s="32" t="n"/>
      <c r="Z78" s="32" t="n"/>
    </row>
    <row r="79">
      <c r="A79" s="32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  <c r="Y79" s="32" t="n"/>
      <c r="Z79" s="32" t="n"/>
    </row>
    <row r="80">
      <c r="A80" s="32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  <c r="X80" s="32" t="n"/>
      <c r="Y80" s="32" t="n"/>
      <c r="Z80" s="32" t="n"/>
    </row>
    <row r="81">
      <c r="A81" s="32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  <c r="O81" s="32" t="n"/>
      <c r="P81" s="32" t="n"/>
      <c r="Q81" s="32" t="n"/>
      <c r="R81" s="32" t="n"/>
      <c r="S81" s="32" t="n"/>
      <c r="T81" s="32" t="n"/>
      <c r="U81" s="32" t="n"/>
      <c r="V81" s="32" t="n"/>
      <c r="W81" s="32" t="n"/>
      <c r="X81" s="32" t="n"/>
      <c r="Y81" s="32" t="n"/>
      <c r="Z81" s="32" t="n"/>
    </row>
    <row r="82">
      <c r="A82" s="32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  <c r="O82" s="32" t="n"/>
      <c r="P82" s="32" t="n"/>
      <c r="Q82" s="32" t="n"/>
      <c r="R82" s="32" t="n"/>
      <c r="S82" s="32" t="n"/>
      <c r="T82" s="32" t="n"/>
      <c r="U82" s="32" t="n"/>
      <c r="V82" s="32" t="n"/>
      <c r="W82" s="32" t="n"/>
      <c r="X82" s="32" t="n"/>
      <c r="Y82" s="32" t="n"/>
      <c r="Z82" s="32" t="n"/>
    </row>
    <row r="83">
      <c r="A83" s="32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  <c r="O83" s="32" t="n"/>
      <c r="P83" s="32" t="n"/>
      <c r="Q83" s="32" t="n"/>
      <c r="R83" s="32" t="n"/>
      <c r="S83" s="32" t="n"/>
      <c r="T83" s="32" t="n"/>
      <c r="U83" s="32" t="n"/>
      <c r="V83" s="32" t="n"/>
      <c r="W83" s="32" t="n"/>
      <c r="X83" s="32" t="n"/>
      <c r="Y83" s="32" t="n"/>
      <c r="Z83" s="32" t="n"/>
    </row>
    <row r="84">
      <c r="A84" s="32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  <c r="O84" s="32" t="n"/>
      <c r="P84" s="32" t="n"/>
      <c r="Q84" s="32" t="n"/>
      <c r="R84" s="32" t="n"/>
      <c r="S84" s="32" t="n"/>
      <c r="T84" s="32" t="n"/>
      <c r="U84" s="32" t="n"/>
      <c r="V84" s="32" t="n"/>
      <c r="W84" s="32" t="n"/>
      <c r="X84" s="32" t="n"/>
      <c r="Y84" s="32" t="n"/>
      <c r="Z84" s="32" t="n"/>
    </row>
    <row r="85">
      <c r="A85" s="32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  <c r="O85" s="32" t="n"/>
      <c r="P85" s="32" t="n"/>
      <c r="Q85" s="32" t="n"/>
      <c r="R85" s="32" t="n"/>
      <c r="S85" s="32" t="n"/>
      <c r="T85" s="32" t="n"/>
      <c r="U85" s="32" t="n"/>
      <c r="V85" s="32" t="n"/>
      <c r="W85" s="32" t="n"/>
      <c r="X85" s="32" t="n"/>
      <c r="Y85" s="32" t="n"/>
      <c r="Z85" s="32" t="n"/>
    </row>
    <row r="86">
      <c r="A86" s="32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  <c r="O86" s="32" t="n"/>
      <c r="P86" s="32" t="n"/>
      <c r="Q86" s="32" t="n"/>
      <c r="R86" s="32" t="n"/>
      <c r="S86" s="32" t="n"/>
      <c r="T86" s="32" t="n"/>
      <c r="U86" s="32" t="n"/>
      <c r="V86" s="32" t="n"/>
      <c r="W86" s="32" t="n"/>
      <c r="X86" s="32" t="n"/>
      <c r="Y86" s="32" t="n"/>
      <c r="Z86" s="32" t="n"/>
    </row>
    <row r="87">
      <c r="A87" s="32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  <c r="O87" s="32" t="n"/>
      <c r="P87" s="32" t="n"/>
      <c r="Q87" s="32" t="n"/>
      <c r="R87" s="32" t="n"/>
      <c r="S87" s="32" t="n"/>
      <c r="T87" s="32" t="n"/>
      <c r="U87" s="32" t="n"/>
      <c r="V87" s="32" t="n"/>
      <c r="W87" s="32" t="n"/>
      <c r="X87" s="32" t="n"/>
      <c r="Y87" s="32" t="n"/>
      <c r="Z87" s="32" t="n"/>
    </row>
    <row r="88">
      <c r="A88" s="32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  <c r="O88" s="32" t="n"/>
      <c r="P88" s="32" t="n"/>
      <c r="Q88" s="32" t="n"/>
      <c r="R88" s="32" t="n"/>
      <c r="S88" s="32" t="n"/>
      <c r="T88" s="32" t="n"/>
      <c r="U88" s="32" t="n"/>
      <c r="V88" s="32" t="n"/>
      <c r="W88" s="32" t="n"/>
      <c r="X88" s="32" t="n"/>
      <c r="Y88" s="32" t="n"/>
      <c r="Z88" s="32" t="n"/>
    </row>
    <row r="89">
      <c r="A89" s="32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  <c r="O89" s="32" t="n"/>
      <c r="P89" s="32" t="n"/>
      <c r="Q89" s="32" t="n"/>
      <c r="R89" s="32" t="n"/>
      <c r="S89" s="32" t="n"/>
      <c r="T89" s="32" t="n"/>
      <c r="U89" s="32" t="n"/>
      <c r="V89" s="32" t="n"/>
      <c r="W89" s="32" t="n"/>
      <c r="X89" s="32" t="n"/>
      <c r="Y89" s="32" t="n"/>
      <c r="Z89" s="32" t="n"/>
    </row>
    <row r="90">
      <c r="A90" s="32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  <c r="O90" s="32" t="n"/>
      <c r="P90" s="32" t="n"/>
      <c r="Q90" s="32" t="n"/>
      <c r="R90" s="32" t="n"/>
      <c r="S90" s="32" t="n"/>
      <c r="T90" s="32" t="n"/>
      <c r="U90" s="32" t="n"/>
      <c r="V90" s="32" t="n"/>
      <c r="W90" s="32" t="n"/>
      <c r="X90" s="32" t="n"/>
      <c r="Y90" s="32" t="n"/>
      <c r="Z90" s="32" t="n"/>
    </row>
    <row r="91">
      <c r="A91" s="32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2" t="n"/>
      <c r="W91" s="32" t="n"/>
      <c r="X91" s="32" t="n"/>
      <c r="Y91" s="32" t="n"/>
      <c r="Z91" s="32" t="n"/>
    </row>
    <row r="92">
      <c r="A92" s="32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  <c r="O92" s="32" t="n"/>
      <c r="P92" s="32" t="n"/>
      <c r="Q92" s="32" t="n"/>
      <c r="R92" s="32" t="n"/>
      <c r="S92" s="32" t="n"/>
      <c r="T92" s="32" t="n"/>
      <c r="U92" s="32" t="n"/>
      <c r="V92" s="32" t="n"/>
      <c r="W92" s="32" t="n"/>
      <c r="X92" s="32" t="n"/>
      <c r="Y92" s="32" t="n"/>
      <c r="Z92" s="32" t="n"/>
    </row>
    <row r="93">
      <c r="A93" s="32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  <c r="O93" s="32" t="n"/>
      <c r="P93" s="32" t="n"/>
      <c r="Q93" s="32" t="n"/>
      <c r="R93" s="32" t="n"/>
      <c r="S93" s="32" t="n"/>
      <c r="T93" s="32" t="n"/>
      <c r="U93" s="32" t="n"/>
      <c r="V93" s="32" t="n"/>
      <c r="W93" s="32" t="n"/>
      <c r="X93" s="32" t="n"/>
      <c r="Y93" s="32" t="n"/>
      <c r="Z93" s="32" t="n"/>
    </row>
    <row r="94">
      <c r="A94" s="32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  <c r="O94" s="32" t="n"/>
      <c r="P94" s="32" t="n"/>
      <c r="Q94" s="32" t="n"/>
      <c r="R94" s="32" t="n"/>
      <c r="S94" s="32" t="n"/>
      <c r="T94" s="32" t="n"/>
      <c r="U94" s="32" t="n"/>
      <c r="V94" s="32" t="n"/>
      <c r="W94" s="32" t="n"/>
      <c r="X94" s="32" t="n"/>
      <c r="Y94" s="32" t="n"/>
      <c r="Z94" s="32" t="n"/>
    </row>
    <row r="95">
      <c r="A95" s="32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  <c r="O95" s="32" t="n"/>
      <c r="P95" s="32" t="n"/>
      <c r="Q95" s="32" t="n"/>
      <c r="R95" s="32" t="n"/>
      <c r="S95" s="32" t="n"/>
      <c r="T95" s="32" t="n"/>
      <c r="U95" s="32" t="n"/>
      <c r="V95" s="32" t="n"/>
      <c r="W95" s="32" t="n"/>
      <c r="X95" s="32" t="n"/>
      <c r="Y95" s="32" t="n"/>
      <c r="Z95" s="32" t="n"/>
    </row>
    <row r="96">
      <c r="A96" s="32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  <c r="O96" s="32" t="n"/>
      <c r="P96" s="32" t="n"/>
      <c r="Q96" s="32" t="n"/>
      <c r="R96" s="32" t="n"/>
      <c r="S96" s="32" t="n"/>
      <c r="T96" s="32" t="n"/>
      <c r="U96" s="32" t="n"/>
      <c r="V96" s="32" t="n"/>
      <c r="W96" s="32" t="n"/>
      <c r="X96" s="32" t="n"/>
      <c r="Y96" s="32" t="n"/>
      <c r="Z96" s="32" t="n"/>
    </row>
    <row r="97">
      <c r="A97" s="32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  <c r="O97" s="32" t="n"/>
      <c r="P97" s="32" t="n"/>
      <c r="Q97" s="32" t="n"/>
      <c r="R97" s="32" t="n"/>
      <c r="S97" s="32" t="n"/>
      <c r="T97" s="32" t="n"/>
      <c r="U97" s="32" t="n"/>
      <c r="V97" s="32" t="n"/>
      <c r="W97" s="32" t="n"/>
      <c r="X97" s="32" t="n"/>
      <c r="Y97" s="32" t="n"/>
      <c r="Z97" s="32" t="n"/>
    </row>
    <row r="98">
      <c r="A98" s="32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  <c r="O98" s="32" t="n"/>
      <c r="P98" s="32" t="n"/>
      <c r="Q98" s="32" t="n"/>
      <c r="R98" s="32" t="n"/>
      <c r="S98" s="32" t="n"/>
      <c r="T98" s="32" t="n"/>
      <c r="U98" s="32" t="n"/>
      <c r="V98" s="32" t="n"/>
      <c r="W98" s="32" t="n"/>
      <c r="X98" s="32" t="n"/>
      <c r="Y98" s="32" t="n"/>
      <c r="Z98" s="32" t="n"/>
    </row>
    <row r="99">
      <c r="A99" s="32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  <c r="O99" s="32" t="n"/>
      <c r="P99" s="32" t="n"/>
      <c r="Q99" s="32" t="n"/>
      <c r="R99" s="32" t="n"/>
      <c r="S99" s="32" t="n"/>
      <c r="T99" s="32" t="n"/>
      <c r="U99" s="32" t="n"/>
      <c r="V99" s="32" t="n"/>
      <c r="W99" s="32" t="n"/>
      <c r="X99" s="32" t="n"/>
      <c r="Y99" s="32" t="n"/>
      <c r="Z99" s="32" t="n"/>
    </row>
    <row r="100">
      <c r="A100" s="32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  <c r="O100" s="32" t="n"/>
      <c r="P100" s="32" t="n"/>
      <c r="Q100" s="32" t="n"/>
      <c r="R100" s="32" t="n"/>
      <c r="S100" s="32" t="n"/>
      <c r="T100" s="32" t="n"/>
      <c r="U100" s="32" t="n"/>
      <c r="V100" s="32" t="n"/>
      <c r="W100" s="32" t="n"/>
      <c r="X100" s="32" t="n"/>
      <c r="Y100" s="32" t="n"/>
      <c r="Z100" s="32" t="n"/>
    </row>
    <row r="101">
      <c r="A101" s="32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  <c r="O101" s="32" t="n"/>
      <c r="P101" s="32" t="n"/>
      <c r="Q101" s="32" t="n"/>
      <c r="R101" s="32" t="n"/>
      <c r="S101" s="32" t="n"/>
      <c r="T101" s="32" t="n"/>
      <c r="U101" s="32" t="n"/>
      <c r="V101" s="32" t="n"/>
      <c r="W101" s="32" t="n"/>
      <c r="X101" s="32" t="n"/>
      <c r="Y101" s="32" t="n"/>
      <c r="Z101" s="32" t="n"/>
    </row>
    <row r="102">
      <c r="A102" s="32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  <c r="O102" s="32" t="n"/>
      <c r="P102" s="32" t="n"/>
      <c r="Q102" s="32" t="n"/>
      <c r="R102" s="32" t="n"/>
      <c r="S102" s="32" t="n"/>
      <c r="T102" s="32" t="n"/>
      <c r="U102" s="32" t="n"/>
      <c r="V102" s="32" t="n"/>
      <c r="W102" s="32" t="n"/>
      <c r="X102" s="32" t="n"/>
      <c r="Y102" s="32" t="n"/>
      <c r="Z102" s="32" t="n"/>
    </row>
    <row r="103">
      <c r="A103" s="32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Y103" s="32" t="n"/>
      <c r="Z103" s="32" t="n"/>
    </row>
    <row r="104">
      <c r="A104" s="32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  <c r="O104" s="32" t="n"/>
      <c r="P104" s="32" t="n"/>
      <c r="Q104" s="32" t="n"/>
      <c r="R104" s="32" t="n"/>
      <c r="S104" s="32" t="n"/>
      <c r="T104" s="32" t="n"/>
      <c r="U104" s="32" t="n"/>
      <c r="V104" s="32" t="n"/>
      <c r="W104" s="32" t="n"/>
      <c r="X104" s="32" t="n"/>
      <c r="Y104" s="32" t="n"/>
      <c r="Z104" s="32" t="n"/>
    </row>
    <row r="105">
      <c r="A105" s="32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  <c r="O105" s="32" t="n"/>
      <c r="P105" s="32" t="n"/>
      <c r="Q105" s="32" t="n"/>
      <c r="R105" s="32" t="n"/>
      <c r="S105" s="32" t="n"/>
      <c r="T105" s="32" t="n"/>
      <c r="U105" s="32" t="n"/>
      <c r="V105" s="32" t="n"/>
      <c r="W105" s="32" t="n"/>
      <c r="X105" s="32" t="n"/>
      <c r="Y105" s="32" t="n"/>
      <c r="Z105" s="32" t="n"/>
    </row>
    <row r="106">
      <c r="A106" s="32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2" t="n"/>
      <c r="W106" s="32" t="n"/>
      <c r="X106" s="32" t="n"/>
      <c r="Y106" s="32" t="n"/>
      <c r="Z106" s="32" t="n"/>
    </row>
    <row r="107">
      <c r="A107" s="32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  <c r="O107" s="32" t="n"/>
      <c r="P107" s="32" t="n"/>
      <c r="Q107" s="32" t="n"/>
      <c r="R107" s="32" t="n"/>
      <c r="S107" s="32" t="n"/>
      <c r="T107" s="32" t="n"/>
      <c r="U107" s="32" t="n"/>
      <c r="V107" s="32" t="n"/>
      <c r="W107" s="32" t="n"/>
      <c r="X107" s="32" t="n"/>
      <c r="Y107" s="32" t="n"/>
      <c r="Z107" s="32" t="n"/>
    </row>
    <row r="108">
      <c r="A108" s="32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  <c r="O108" s="32" t="n"/>
      <c r="P108" s="32" t="n"/>
      <c r="Q108" s="32" t="n"/>
      <c r="R108" s="32" t="n"/>
      <c r="S108" s="32" t="n"/>
      <c r="T108" s="32" t="n"/>
      <c r="U108" s="32" t="n"/>
      <c r="V108" s="32" t="n"/>
      <c r="W108" s="32" t="n"/>
      <c r="X108" s="32" t="n"/>
      <c r="Y108" s="32" t="n"/>
      <c r="Z108" s="32" t="n"/>
    </row>
    <row r="109">
      <c r="A109" s="32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  <c r="O109" s="32" t="n"/>
      <c r="P109" s="32" t="n"/>
      <c r="Q109" s="32" t="n"/>
      <c r="R109" s="32" t="n"/>
      <c r="S109" s="32" t="n"/>
      <c r="T109" s="32" t="n"/>
      <c r="U109" s="32" t="n"/>
      <c r="V109" s="32" t="n"/>
      <c r="W109" s="32" t="n"/>
      <c r="X109" s="32" t="n"/>
      <c r="Y109" s="32" t="n"/>
      <c r="Z109" s="32" t="n"/>
    </row>
    <row r="110">
      <c r="A110" s="32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  <c r="O110" s="32" t="n"/>
      <c r="P110" s="32" t="n"/>
      <c r="Q110" s="32" t="n"/>
      <c r="R110" s="32" t="n"/>
      <c r="S110" s="32" t="n"/>
      <c r="T110" s="32" t="n"/>
      <c r="U110" s="32" t="n"/>
      <c r="V110" s="32" t="n"/>
      <c r="W110" s="32" t="n"/>
      <c r="X110" s="32" t="n"/>
      <c r="Y110" s="32" t="n"/>
      <c r="Z110" s="32" t="n"/>
    </row>
    <row r="111">
      <c r="A111" s="32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  <c r="O111" s="32" t="n"/>
      <c r="P111" s="32" t="n"/>
      <c r="Q111" s="32" t="n"/>
      <c r="R111" s="32" t="n"/>
      <c r="S111" s="32" t="n"/>
      <c r="T111" s="32" t="n"/>
      <c r="U111" s="32" t="n"/>
      <c r="V111" s="32" t="n"/>
      <c r="W111" s="32" t="n"/>
      <c r="X111" s="32" t="n"/>
      <c r="Y111" s="32" t="n"/>
      <c r="Z111" s="32" t="n"/>
    </row>
    <row r="112">
      <c r="A112" s="32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  <c r="U112" s="32" t="n"/>
      <c r="V112" s="32" t="n"/>
      <c r="W112" s="32" t="n"/>
      <c r="X112" s="32" t="n"/>
      <c r="Y112" s="32" t="n"/>
      <c r="Z112" s="32" t="n"/>
    </row>
    <row r="113">
      <c r="A113" s="32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  <c r="O113" s="32" t="n"/>
      <c r="P113" s="32" t="n"/>
      <c r="Q113" s="32" t="n"/>
      <c r="R113" s="32" t="n"/>
      <c r="S113" s="32" t="n"/>
      <c r="T113" s="32" t="n"/>
      <c r="U113" s="32" t="n"/>
      <c r="V113" s="32" t="n"/>
      <c r="W113" s="32" t="n"/>
      <c r="X113" s="32" t="n"/>
      <c r="Y113" s="32" t="n"/>
      <c r="Z113" s="32" t="n"/>
    </row>
    <row r="114">
      <c r="A114" s="32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  <c r="O114" s="32" t="n"/>
      <c r="P114" s="32" t="n"/>
      <c r="Q114" s="32" t="n"/>
      <c r="R114" s="32" t="n"/>
      <c r="S114" s="32" t="n"/>
      <c r="T114" s="32" t="n"/>
      <c r="U114" s="32" t="n"/>
      <c r="V114" s="32" t="n"/>
      <c r="W114" s="32" t="n"/>
      <c r="X114" s="32" t="n"/>
      <c r="Y114" s="32" t="n"/>
      <c r="Z114" s="32" t="n"/>
    </row>
    <row r="115">
      <c r="A115" s="32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  <c r="O115" s="32" t="n"/>
      <c r="P115" s="32" t="n"/>
      <c r="Q115" s="32" t="n"/>
      <c r="R115" s="32" t="n"/>
      <c r="S115" s="32" t="n"/>
      <c r="T115" s="32" t="n"/>
      <c r="U115" s="32" t="n"/>
      <c r="V115" s="32" t="n"/>
      <c r="W115" s="32" t="n"/>
      <c r="X115" s="32" t="n"/>
      <c r="Y115" s="32" t="n"/>
      <c r="Z115" s="32" t="n"/>
    </row>
    <row r="116">
      <c r="A116" s="32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  <c r="O116" s="32" t="n"/>
      <c r="P116" s="32" t="n"/>
      <c r="Q116" s="32" t="n"/>
      <c r="R116" s="32" t="n"/>
      <c r="S116" s="32" t="n"/>
      <c r="T116" s="32" t="n"/>
      <c r="U116" s="32" t="n"/>
      <c r="V116" s="32" t="n"/>
      <c r="W116" s="32" t="n"/>
      <c r="X116" s="32" t="n"/>
      <c r="Y116" s="32" t="n"/>
      <c r="Z116" s="32" t="n"/>
    </row>
    <row r="117">
      <c r="A117" s="32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  <c r="O117" s="32" t="n"/>
      <c r="P117" s="32" t="n"/>
      <c r="Q117" s="32" t="n"/>
      <c r="R117" s="32" t="n"/>
      <c r="S117" s="32" t="n"/>
      <c r="T117" s="32" t="n"/>
      <c r="U117" s="32" t="n"/>
      <c r="V117" s="32" t="n"/>
      <c r="W117" s="32" t="n"/>
      <c r="X117" s="32" t="n"/>
      <c r="Y117" s="32" t="n"/>
      <c r="Z117" s="32" t="n"/>
    </row>
    <row r="118">
      <c r="A118" s="32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  <c r="O118" s="32" t="n"/>
      <c r="P118" s="32" t="n"/>
      <c r="Q118" s="32" t="n"/>
      <c r="R118" s="32" t="n"/>
      <c r="S118" s="32" t="n"/>
      <c r="T118" s="32" t="n"/>
      <c r="U118" s="32" t="n"/>
      <c r="V118" s="32" t="n"/>
      <c r="W118" s="32" t="n"/>
      <c r="X118" s="32" t="n"/>
      <c r="Y118" s="32" t="n"/>
      <c r="Z118" s="32" t="n"/>
    </row>
    <row r="119">
      <c r="A119" s="32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  <c r="O119" s="32" t="n"/>
      <c r="P119" s="32" t="n"/>
      <c r="Q119" s="32" t="n"/>
      <c r="R119" s="32" t="n"/>
      <c r="S119" s="32" t="n"/>
      <c r="T119" s="32" t="n"/>
      <c r="U119" s="32" t="n"/>
      <c r="V119" s="32" t="n"/>
      <c r="W119" s="32" t="n"/>
      <c r="X119" s="32" t="n"/>
      <c r="Y119" s="32" t="n"/>
      <c r="Z119" s="32" t="n"/>
    </row>
    <row r="120">
      <c r="A120" s="32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  <c r="O120" s="32" t="n"/>
      <c r="P120" s="32" t="n"/>
      <c r="Q120" s="32" t="n"/>
      <c r="R120" s="32" t="n"/>
      <c r="S120" s="32" t="n"/>
      <c r="T120" s="32" t="n"/>
      <c r="U120" s="32" t="n"/>
      <c r="V120" s="32" t="n"/>
      <c r="W120" s="32" t="n"/>
      <c r="X120" s="32" t="n"/>
      <c r="Y120" s="32" t="n"/>
      <c r="Z120" s="32" t="n"/>
    </row>
    <row r="121">
      <c r="A121" s="32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2" t="n"/>
      <c r="W121" s="32" t="n"/>
      <c r="X121" s="32" t="n"/>
      <c r="Y121" s="32" t="n"/>
      <c r="Z121" s="32" t="n"/>
    </row>
    <row r="122">
      <c r="A122" s="32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  <c r="O122" s="32" t="n"/>
      <c r="P122" s="32" t="n"/>
      <c r="Q122" s="32" t="n"/>
      <c r="R122" s="32" t="n"/>
      <c r="S122" s="32" t="n"/>
      <c r="T122" s="32" t="n"/>
      <c r="U122" s="32" t="n"/>
      <c r="V122" s="32" t="n"/>
      <c r="W122" s="32" t="n"/>
      <c r="X122" s="32" t="n"/>
      <c r="Y122" s="32" t="n"/>
      <c r="Z122" s="32" t="n"/>
    </row>
    <row r="123">
      <c r="A123" s="32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  <c r="O123" s="32" t="n"/>
      <c r="P123" s="32" t="n"/>
      <c r="Q123" s="32" t="n"/>
      <c r="R123" s="32" t="n"/>
      <c r="S123" s="32" t="n"/>
      <c r="T123" s="32" t="n"/>
      <c r="U123" s="32" t="n"/>
      <c r="V123" s="32" t="n"/>
      <c r="W123" s="32" t="n"/>
      <c r="X123" s="32" t="n"/>
      <c r="Y123" s="32" t="n"/>
      <c r="Z123" s="32" t="n"/>
    </row>
    <row r="124">
      <c r="A124" s="32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  <c r="O124" s="32" t="n"/>
      <c r="P124" s="32" t="n"/>
      <c r="Q124" s="32" t="n"/>
      <c r="R124" s="32" t="n"/>
      <c r="S124" s="32" t="n"/>
      <c r="T124" s="32" t="n"/>
      <c r="U124" s="32" t="n"/>
      <c r="V124" s="32" t="n"/>
      <c r="W124" s="32" t="n"/>
      <c r="X124" s="32" t="n"/>
      <c r="Y124" s="32" t="n"/>
      <c r="Z124" s="32" t="n"/>
    </row>
    <row r="125">
      <c r="A125" s="32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  <c r="O125" s="32" t="n"/>
      <c r="P125" s="32" t="n"/>
      <c r="Q125" s="32" t="n"/>
      <c r="R125" s="32" t="n"/>
      <c r="S125" s="32" t="n"/>
      <c r="T125" s="32" t="n"/>
      <c r="U125" s="32" t="n"/>
      <c r="V125" s="32" t="n"/>
      <c r="W125" s="32" t="n"/>
      <c r="X125" s="32" t="n"/>
      <c r="Y125" s="32" t="n"/>
      <c r="Z125" s="32" t="n"/>
    </row>
    <row r="126">
      <c r="A126" s="32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  <c r="O126" s="32" t="n"/>
      <c r="P126" s="32" t="n"/>
      <c r="Q126" s="32" t="n"/>
      <c r="R126" s="32" t="n"/>
      <c r="S126" s="32" t="n"/>
      <c r="T126" s="32" t="n"/>
      <c r="U126" s="32" t="n"/>
      <c r="V126" s="32" t="n"/>
      <c r="W126" s="32" t="n"/>
      <c r="X126" s="32" t="n"/>
      <c r="Y126" s="32" t="n"/>
      <c r="Z126" s="32" t="n"/>
    </row>
    <row r="127">
      <c r="A127" s="32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  <c r="U127" s="32" t="n"/>
      <c r="V127" s="32" t="n"/>
      <c r="W127" s="32" t="n"/>
      <c r="X127" s="32" t="n"/>
      <c r="Y127" s="32" t="n"/>
      <c r="Z127" s="32" t="n"/>
    </row>
    <row r="128">
      <c r="A128" s="32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  <c r="O128" s="32" t="n"/>
      <c r="P128" s="32" t="n"/>
      <c r="Q128" s="32" t="n"/>
      <c r="R128" s="32" t="n"/>
      <c r="S128" s="32" t="n"/>
      <c r="T128" s="32" t="n"/>
      <c r="U128" s="32" t="n"/>
      <c r="V128" s="32" t="n"/>
      <c r="W128" s="32" t="n"/>
      <c r="X128" s="32" t="n"/>
      <c r="Y128" s="32" t="n"/>
      <c r="Z128" s="32" t="n"/>
    </row>
    <row r="129">
      <c r="A129" s="32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  <c r="O129" s="32" t="n"/>
      <c r="P129" s="32" t="n"/>
      <c r="Q129" s="32" t="n"/>
      <c r="R129" s="32" t="n"/>
      <c r="S129" s="32" t="n"/>
      <c r="T129" s="32" t="n"/>
      <c r="U129" s="32" t="n"/>
      <c r="V129" s="32" t="n"/>
      <c r="W129" s="32" t="n"/>
      <c r="X129" s="32" t="n"/>
      <c r="Y129" s="32" t="n"/>
      <c r="Z129" s="32" t="n"/>
    </row>
    <row r="130">
      <c r="A130" s="32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  <c r="U130" s="32" t="n"/>
      <c r="V130" s="32" t="n"/>
      <c r="W130" s="32" t="n"/>
      <c r="X130" s="32" t="n"/>
      <c r="Y130" s="32" t="n"/>
      <c r="Z130" s="32" t="n"/>
    </row>
    <row r="131">
      <c r="A131" s="32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  <c r="O131" s="32" t="n"/>
      <c r="P131" s="32" t="n"/>
      <c r="Q131" s="32" t="n"/>
      <c r="R131" s="32" t="n"/>
      <c r="S131" s="32" t="n"/>
      <c r="T131" s="32" t="n"/>
      <c r="U131" s="32" t="n"/>
      <c r="V131" s="32" t="n"/>
      <c r="W131" s="32" t="n"/>
      <c r="X131" s="32" t="n"/>
      <c r="Y131" s="32" t="n"/>
      <c r="Z131" s="32" t="n"/>
    </row>
    <row r="132">
      <c r="A132" s="32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  <c r="O132" s="32" t="n"/>
      <c r="P132" s="32" t="n"/>
      <c r="Q132" s="32" t="n"/>
      <c r="R132" s="32" t="n"/>
      <c r="S132" s="32" t="n"/>
      <c r="T132" s="32" t="n"/>
      <c r="U132" s="32" t="n"/>
      <c r="V132" s="32" t="n"/>
      <c r="W132" s="32" t="n"/>
      <c r="X132" s="32" t="n"/>
      <c r="Y132" s="32" t="n"/>
      <c r="Z132" s="32" t="n"/>
    </row>
    <row r="133">
      <c r="A133" s="32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  <c r="O133" s="32" t="n"/>
      <c r="P133" s="32" t="n"/>
      <c r="Q133" s="32" t="n"/>
      <c r="R133" s="32" t="n"/>
      <c r="S133" s="32" t="n"/>
      <c r="T133" s="32" t="n"/>
      <c r="U133" s="32" t="n"/>
      <c r="V133" s="32" t="n"/>
      <c r="W133" s="32" t="n"/>
      <c r="X133" s="32" t="n"/>
      <c r="Y133" s="32" t="n"/>
      <c r="Z133" s="32" t="n"/>
    </row>
    <row r="134">
      <c r="A134" s="32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  <c r="O134" s="32" t="n"/>
      <c r="P134" s="32" t="n"/>
      <c r="Q134" s="32" t="n"/>
      <c r="R134" s="32" t="n"/>
      <c r="S134" s="32" t="n"/>
      <c r="T134" s="32" t="n"/>
      <c r="U134" s="32" t="n"/>
      <c r="V134" s="32" t="n"/>
      <c r="W134" s="32" t="n"/>
      <c r="X134" s="32" t="n"/>
      <c r="Y134" s="32" t="n"/>
      <c r="Z134" s="32" t="n"/>
    </row>
    <row r="135">
      <c r="A135" s="32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  <c r="O135" s="32" t="n"/>
      <c r="P135" s="32" t="n"/>
      <c r="Q135" s="32" t="n"/>
      <c r="R135" s="32" t="n"/>
      <c r="S135" s="32" t="n"/>
      <c r="T135" s="32" t="n"/>
      <c r="U135" s="32" t="n"/>
      <c r="V135" s="32" t="n"/>
      <c r="W135" s="32" t="n"/>
      <c r="X135" s="32" t="n"/>
      <c r="Y135" s="32" t="n"/>
      <c r="Z135" s="32" t="n"/>
    </row>
    <row r="136">
      <c r="A136" s="32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2" t="n"/>
      <c r="W136" s="32" t="n"/>
      <c r="X136" s="32" t="n"/>
      <c r="Y136" s="32" t="n"/>
      <c r="Z136" s="32" t="n"/>
    </row>
    <row r="137">
      <c r="A137" s="32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  <c r="O137" s="32" t="n"/>
      <c r="P137" s="32" t="n"/>
      <c r="Q137" s="32" t="n"/>
      <c r="R137" s="32" t="n"/>
      <c r="S137" s="32" t="n"/>
      <c r="T137" s="32" t="n"/>
      <c r="U137" s="32" t="n"/>
      <c r="V137" s="32" t="n"/>
      <c r="W137" s="32" t="n"/>
      <c r="X137" s="32" t="n"/>
      <c r="Y137" s="32" t="n"/>
      <c r="Z137" s="32" t="n"/>
    </row>
    <row r="138">
      <c r="A138" s="32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  <c r="O138" s="32" t="n"/>
      <c r="P138" s="32" t="n"/>
      <c r="Q138" s="32" t="n"/>
      <c r="R138" s="32" t="n"/>
      <c r="S138" s="32" t="n"/>
      <c r="T138" s="32" t="n"/>
      <c r="U138" s="32" t="n"/>
      <c r="V138" s="32" t="n"/>
      <c r="W138" s="32" t="n"/>
      <c r="X138" s="32" t="n"/>
      <c r="Y138" s="32" t="n"/>
      <c r="Z138" s="32" t="n"/>
    </row>
    <row r="139">
      <c r="A139" s="32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  <c r="O139" s="32" t="n"/>
      <c r="P139" s="32" t="n"/>
      <c r="Q139" s="32" t="n"/>
      <c r="R139" s="32" t="n"/>
      <c r="S139" s="32" t="n"/>
      <c r="T139" s="32" t="n"/>
      <c r="U139" s="32" t="n"/>
      <c r="V139" s="32" t="n"/>
      <c r="W139" s="32" t="n"/>
      <c r="X139" s="32" t="n"/>
      <c r="Y139" s="32" t="n"/>
      <c r="Z139" s="32" t="n"/>
    </row>
    <row r="140">
      <c r="A140" s="32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  <c r="O140" s="32" t="n"/>
      <c r="P140" s="32" t="n"/>
      <c r="Q140" s="32" t="n"/>
      <c r="R140" s="32" t="n"/>
      <c r="S140" s="32" t="n"/>
      <c r="T140" s="32" t="n"/>
      <c r="U140" s="32" t="n"/>
      <c r="V140" s="32" t="n"/>
      <c r="W140" s="32" t="n"/>
      <c r="X140" s="32" t="n"/>
      <c r="Y140" s="32" t="n"/>
      <c r="Z140" s="32" t="n"/>
    </row>
    <row r="141">
      <c r="A141" s="32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  <c r="O141" s="32" t="n"/>
      <c r="P141" s="32" t="n"/>
      <c r="Q141" s="32" t="n"/>
      <c r="R141" s="32" t="n"/>
      <c r="S141" s="32" t="n"/>
      <c r="T141" s="32" t="n"/>
      <c r="U141" s="32" t="n"/>
      <c r="V141" s="32" t="n"/>
      <c r="W141" s="32" t="n"/>
      <c r="X141" s="32" t="n"/>
      <c r="Y141" s="32" t="n"/>
      <c r="Z141" s="32" t="n"/>
    </row>
    <row r="142">
      <c r="A142" s="32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  <c r="O142" s="32" t="n"/>
      <c r="P142" s="32" t="n"/>
      <c r="Q142" s="32" t="n"/>
      <c r="R142" s="32" t="n"/>
      <c r="S142" s="32" t="n"/>
      <c r="T142" s="32" t="n"/>
      <c r="U142" s="32" t="n"/>
      <c r="V142" s="32" t="n"/>
      <c r="W142" s="32" t="n"/>
      <c r="X142" s="32" t="n"/>
      <c r="Y142" s="32" t="n"/>
      <c r="Z142" s="32" t="n"/>
    </row>
    <row r="143">
      <c r="A143" s="32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  <c r="O143" s="32" t="n"/>
      <c r="P143" s="32" t="n"/>
      <c r="Q143" s="32" t="n"/>
      <c r="R143" s="32" t="n"/>
      <c r="S143" s="32" t="n"/>
      <c r="T143" s="32" t="n"/>
      <c r="U143" s="32" t="n"/>
      <c r="V143" s="32" t="n"/>
      <c r="W143" s="32" t="n"/>
      <c r="X143" s="32" t="n"/>
      <c r="Y143" s="32" t="n"/>
      <c r="Z143" s="32" t="n"/>
    </row>
    <row r="144">
      <c r="A144" s="32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  <c r="O144" s="32" t="n"/>
      <c r="P144" s="32" t="n"/>
      <c r="Q144" s="32" t="n"/>
      <c r="R144" s="32" t="n"/>
      <c r="S144" s="32" t="n"/>
      <c r="T144" s="32" t="n"/>
      <c r="U144" s="32" t="n"/>
      <c r="V144" s="32" t="n"/>
      <c r="W144" s="32" t="n"/>
      <c r="X144" s="32" t="n"/>
      <c r="Y144" s="32" t="n"/>
      <c r="Z144" s="32" t="n"/>
    </row>
    <row r="145">
      <c r="A145" s="32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  <c r="O145" s="32" t="n"/>
      <c r="P145" s="32" t="n"/>
      <c r="Q145" s="32" t="n"/>
      <c r="R145" s="32" t="n"/>
      <c r="S145" s="32" t="n"/>
      <c r="T145" s="32" t="n"/>
      <c r="U145" s="32" t="n"/>
      <c r="V145" s="32" t="n"/>
      <c r="W145" s="32" t="n"/>
      <c r="X145" s="32" t="n"/>
      <c r="Y145" s="32" t="n"/>
      <c r="Z145" s="32" t="n"/>
    </row>
    <row r="146">
      <c r="A146" s="32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  <c r="O146" s="32" t="n"/>
      <c r="P146" s="32" t="n"/>
      <c r="Q146" s="32" t="n"/>
      <c r="R146" s="32" t="n"/>
      <c r="S146" s="32" t="n"/>
      <c r="T146" s="32" t="n"/>
      <c r="U146" s="32" t="n"/>
      <c r="V146" s="32" t="n"/>
      <c r="W146" s="32" t="n"/>
      <c r="X146" s="32" t="n"/>
      <c r="Y146" s="32" t="n"/>
      <c r="Z146" s="32" t="n"/>
    </row>
    <row r="147">
      <c r="A147" s="32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  <c r="O147" s="32" t="n"/>
      <c r="P147" s="32" t="n"/>
      <c r="Q147" s="32" t="n"/>
      <c r="R147" s="32" t="n"/>
      <c r="S147" s="32" t="n"/>
      <c r="T147" s="32" t="n"/>
      <c r="U147" s="32" t="n"/>
      <c r="V147" s="32" t="n"/>
      <c r="W147" s="32" t="n"/>
      <c r="X147" s="32" t="n"/>
      <c r="Y147" s="32" t="n"/>
      <c r="Z147" s="32" t="n"/>
    </row>
    <row r="148">
      <c r="A148" s="32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  <c r="O148" s="32" t="n"/>
      <c r="P148" s="32" t="n"/>
      <c r="Q148" s="32" t="n"/>
      <c r="R148" s="32" t="n"/>
      <c r="S148" s="32" t="n"/>
      <c r="T148" s="32" t="n"/>
      <c r="U148" s="32" t="n"/>
      <c r="V148" s="32" t="n"/>
      <c r="W148" s="32" t="n"/>
      <c r="X148" s="32" t="n"/>
      <c r="Y148" s="32" t="n"/>
      <c r="Z148" s="32" t="n"/>
    </row>
    <row r="149">
      <c r="A149" s="32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  <c r="U149" s="32" t="n"/>
      <c r="V149" s="32" t="n"/>
      <c r="W149" s="32" t="n"/>
      <c r="X149" s="32" t="n"/>
      <c r="Y149" s="32" t="n"/>
      <c r="Z149" s="32" t="n"/>
    </row>
    <row r="150">
      <c r="A150" s="32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  <c r="O150" s="32" t="n"/>
      <c r="P150" s="32" t="n"/>
      <c r="Q150" s="32" t="n"/>
      <c r="R150" s="32" t="n"/>
      <c r="S150" s="32" t="n"/>
      <c r="T150" s="32" t="n"/>
      <c r="U150" s="32" t="n"/>
      <c r="V150" s="32" t="n"/>
      <c r="W150" s="32" t="n"/>
      <c r="X150" s="32" t="n"/>
      <c r="Y150" s="32" t="n"/>
      <c r="Z150" s="32" t="n"/>
    </row>
    <row r="151">
      <c r="A151" s="32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2" t="n"/>
      <c r="W151" s="32" t="n"/>
      <c r="X151" s="32" t="n"/>
      <c r="Y151" s="32" t="n"/>
      <c r="Z151" s="32" t="n"/>
    </row>
    <row r="152">
      <c r="A152" s="32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  <c r="O152" s="32" t="n"/>
      <c r="P152" s="32" t="n"/>
      <c r="Q152" s="32" t="n"/>
      <c r="R152" s="32" t="n"/>
      <c r="S152" s="32" t="n"/>
      <c r="T152" s="32" t="n"/>
      <c r="U152" s="32" t="n"/>
      <c r="V152" s="32" t="n"/>
      <c r="W152" s="32" t="n"/>
      <c r="X152" s="32" t="n"/>
      <c r="Y152" s="32" t="n"/>
      <c r="Z152" s="32" t="n"/>
    </row>
    <row r="153">
      <c r="A153" s="32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  <c r="O153" s="32" t="n"/>
      <c r="P153" s="32" t="n"/>
      <c r="Q153" s="32" t="n"/>
      <c r="R153" s="32" t="n"/>
      <c r="S153" s="32" t="n"/>
      <c r="T153" s="32" t="n"/>
      <c r="U153" s="32" t="n"/>
      <c r="V153" s="32" t="n"/>
      <c r="W153" s="32" t="n"/>
      <c r="X153" s="32" t="n"/>
      <c r="Y153" s="32" t="n"/>
      <c r="Z153" s="32" t="n"/>
    </row>
    <row r="154">
      <c r="A154" s="32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  <c r="O154" s="32" t="n"/>
      <c r="P154" s="32" t="n"/>
      <c r="Q154" s="32" t="n"/>
      <c r="R154" s="32" t="n"/>
      <c r="S154" s="32" t="n"/>
      <c r="T154" s="32" t="n"/>
      <c r="U154" s="32" t="n"/>
      <c r="V154" s="32" t="n"/>
      <c r="W154" s="32" t="n"/>
      <c r="X154" s="32" t="n"/>
      <c r="Y154" s="32" t="n"/>
      <c r="Z154" s="32" t="n"/>
    </row>
    <row r="155">
      <c r="A155" s="32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  <c r="O155" s="32" t="n"/>
      <c r="P155" s="32" t="n"/>
      <c r="Q155" s="32" t="n"/>
      <c r="R155" s="32" t="n"/>
      <c r="S155" s="32" t="n"/>
      <c r="T155" s="32" t="n"/>
      <c r="U155" s="32" t="n"/>
      <c r="V155" s="32" t="n"/>
      <c r="W155" s="32" t="n"/>
      <c r="X155" s="32" t="n"/>
      <c r="Y155" s="32" t="n"/>
      <c r="Z155" s="32" t="n"/>
    </row>
    <row r="156">
      <c r="A156" s="32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  <c r="O156" s="32" t="n"/>
      <c r="P156" s="32" t="n"/>
      <c r="Q156" s="32" t="n"/>
      <c r="R156" s="32" t="n"/>
      <c r="S156" s="32" t="n"/>
      <c r="T156" s="32" t="n"/>
      <c r="U156" s="32" t="n"/>
      <c r="V156" s="32" t="n"/>
      <c r="W156" s="32" t="n"/>
      <c r="X156" s="32" t="n"/>
      <c r="Y156" s="32" t="n"/>
      <c r="Z156" s="32" t="n"/>
    </row>
    <row r="157">
      <c r="A157" s="32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  <c r="O157" s="32" t="n"/>
      <c r="P157" s="32" t="n"/>
      <c r="Q157" s="32" t="n"/>
      <c r="R157" s="32" t="n"/>
      <c r="S157" s="32" t="n"/>
      <c r="T157" s="32" t="n"/>
      <c r="U157" s="32" t="n"/>
      <c r="V157" s="32" t="n"/>
      <c r="W157" s="32" t="n"/>
      <c r="X157" s="32" t="n"/>
      <c r="Y157" s="32" t="n"/>
      <c r="Z157" s="32" t="n"/>
    </row>
    <row r="158">
      <c r="A158" s="32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  <c r="U158" s="32" t="n"/>
      <c r="V158" s="32" t="n"/>
      <c r="W158" s="32" t="n"/>
      <c r="X158" s="32" t="n"/>
      <c r="Y158" s="32" t="n"/>
      <c r="Z158" s="32" t="n"/>
    </row>
    <row r="159">
      <c r="A159" s="32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  <c r="O159" s="32" t="n"/>
      <c r="P159" s="32" t="n"/>
      <c r="Q159" s="32" t="n"/>
      <c r="R159" s="32" t="n"/>
      <c r="S159" s="32" t="n"/>
      <c r="T159" s="32" t="n"/>
      <c r="U159" s="32" t="n"/>
      <c r="V159" s="32" t="n"/>
      <c r="W159" s="32" t="n"/>
      <c r="X159" s="32" t="n"/>
      <c r="Y159" s="32" t="n"/>
      <c r="Z159" s="32" t="n"/>
    </row>
    <row r="160">
      <c r="A160" s="32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  <c r="O160" s="32" t="n"/>
      <c r="P160" s="32" t="n"/>
      <c r="Q160" s="32" t="n"/>
      <c r="R160" s="32" t="n"/>
      <c r="S160" s="32" t="n"/>
      <c r="T160" s="32" t="n"/>
      <c r="U160" s="32" t="n"/>
      <c r="V160" s="32" t="n"/>
      <c r="W160" s="32" t="n"/>
      <c r="X160" s="32" t="n"/>
      <c r="Y160" s="32" t="n"/>
      <c r="Z160" s="32" t="n"/>
    </row>
    <row r="161">
      <c r="A161" s="32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  <c r="O161" s="32" t="n"/>
      <c r="P161" s="32" t="n"/>
      <c r="Q161" s="32" t="n"/>
      <c r="R161" s="32" t="n"/>
      <c r="S161" s="32" t="n"/>
      <c r="T161" s="32" t="n"/>
      <c r="U161" s="32" t="n"/>
      <c r="V161" s="32" t="n"/>
      <c r="W161" s="32" t="n"/>
      <c r="X161" s="32" t="n"/>
      <c r="Y161" s="32" t="n"/>
      <c r="Z161" s="32" t="n"/>
    </row>
    <row r="162">
      <c r="A162" s="32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  <c r="O162" s="32" t="n"/>
      <c r="P162" s="32" t="n"/>
      <c r="Q162" s="32" t="n"/>
      <c r="R162" s="32" t="n"/>
      <c r="S162" s="32" t="n"/>
      <c r="T162" s="32" t="n"/>
      <c r="U162" s="32" t="n"/>
      <c r="V162" s="32" t="n"/>
      <c r="W162" s="32" t="n"/>
      <c r="X162" s="32" t="n"/>
      <c r="Y162" s="32" t="n"/>
      <c r="Z162" s="32" t="n"/>
    </row>
    <row r="163">
      <c r="A163" s="32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  <c r="O163" s="32" t="n"/>
      <c r="P163" s="32" t="n"/>
      <c r="Q163" s="32" t="n"/>
      <c r="R163" s="32" t="n"/>
      <c r="S163" s="32" t="n"/>
      <c r="T163" s="32" t="n"/>
      <c r="U163" s="32" t="n"/>
      <c r="V163" s="32" t="n"/>
      <c r="W163" s="32" t="n"/>
      <c r="X163" s="32" t="n"/>
      <c r="Y163" s="32" t="n"/>
      <c r="Z163" s="32" t="n"/>
    </row>
    <row r="164">
      <c r="A164" s="32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  <c r="U164" s="32" t="n"/>
      <c r="V164" s="32" t="n"/>
      <c r="W164" s="32" t="n"/>
      <c r="X164" s="32" t="n"/>
      <c r="Y164" s="32" t="n"/>
      <c r="Z164" s="32" t="n"/>
    </row>
    <row r="165">
      <c r="A165" s="32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  <c r="O165" s="32" t="n"/>
      <c r="P165" s="32" t="n"/>
      <c r="Q165" s="32" t="n"/>
      <c r="R165" s="32" t="n"/>
      <c r="S165" s="32" t="n"/>
      <c r="T165" s="32" t="n"/>
      <c r="U165" s="32" t="n"/>
      <c r="V165" s="32" t="n"/>
      <c r="W165" s="32" t="n"/>
      <c r="X165" s="32" t="n"/>
      <c r="Y165" s="32" t="n"/>
      <c r="Z165" s="32" t="n"/>
    </row>
    <row r="166">
      <c r="A166" s="32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2" t="n"/>
      <c r="W166" s="32" t="n"/>
      <c r="X166" s="32" t="n"/>
      <c r="Y166" s="32" t="n"/>
      <c r="Z166" s="32" t="n"/>
    </row>
    <row r="167">
      <c r="A167" s="32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  <c r="U167" s="32" t="n"/>
      <c r="V167" s="32" t="n"/>
      <c r="W167" s="32" t="n"/>
      <c r="X167" s="32" t="n"/>
      <c r="Y167" s="32" t="n"/>
      <c r="Z167" s="32" t="n"/>
    </row>
    <row r="168">
      <c r="A168" s="32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  <c r="O168" s="32" t="n"/>
      <c r="P168" s="32" t="n"/>
      <c r="Q168" s="32" t="n"/>
      <c r="R168" s="32" t="n"/>
      <c r="S168" s="32" t="n"/>
      <c r="T168" s="32" t="n"/>
      <c r="U168" s="32" t="n"/>
      <c r="V168" s="32" t="n"/>
      <c r="W168" s="32" t="n"/>
      <c r="X168" s="32" t="n"/>
      <c r="Y168" s="32" t="n"/>
      <c r="Z168" s="32" t="n"/>
    </row>
    <row r="169">
      <c r="A169" s="32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  <c r="O169" s="32" t="n"/>
      <c r="P169" s="32" t="n"/>
      <c r="Q169" s="32" t="n"/>
      <c r="R169" s="32" t="n"/>
      <c r="S169" s="32" t="n"/>
      <c r="T169" s="32" t="n"/>
      <c r="U169" s="32" t="n"/>
      <c r="V169" s="32" t="n"/>
      <c r="W169" s="32" t="n"/>
      <c r="X169" s="32" t="n"/>
      <c r="Y169" s="32" t="n"/>
      <c r="Z169" s="32" t="n"/>
    </row>
    <row r="170">
      <c r="A170" s="32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  <c r="O170" s="32" t="n"/>
      <c r="P170" s="32" t="n"/>
      <c r="Q170" s="32" t="n"/>
      <c r="R170" s="32" t="n"/>
      <c r="S170" s="32" t="n"/>
      <c r="T170" s="32" t="n"/>
      <c r="U170" s="32" t="n"/>
      <c r="V170" s="32" t="n"/>
      <c r="W170" s="32" t="n"/>
      <c r="X170" s="32" t="n"/>
      <c r="Y170" s="32" t="n"/>
      <c r="Z170" s="32" t="n"/>
    </row>
    <row r="171">
      <c r="A171" s="32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  <c r="O171" s="32" t="n"/>
      <c r="P171" s="32" t="n"/>
      <c r="Q171" s="32" t="n"/>
      <c r="R171" s="32" t="n"/>
      <c r="S171" s="32" t="n"/>
      <c r="T171" s="32" t="n"/>
      <c r="U171" s="32" t="n"/>
      <c r="V171" s="32" t="n"/>
      <c r="W171" s="32" t="n"/>
      <c r="X171" s="32" t="n"/>
      <c r="Y171" s="32" t="n"/>
      <c r="Z171" s="32" t="n"/>
    </row>
    <row r="172">
      <c r="A172" s="32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  <c r="O172" s="32" t="n"/>
      <c r="P172" s="32" t="n"/>
      <c r="Q172" s="32" t="n"/>
      <c r="R172" s="32" t="n"/>
      <c r="S172" s="32" t="n"/>
      <c r="T172" s="32" t="n"/>
      <c r="U172" s="32" t="n"/>
      <c r="V172" s="32" t="n"/>
      <c r="W172" s="32" t="n"/>
      <c r="X172" s="32" t="n"/>
      <c r="Y172" s="32" t="n"/>
      <c r="Z172" s="32" t="n"/>
    </row>
    <row r="173">
      <c r="A173" s="32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  <c r="O173" s="32" t="n"/>
      <c r="P173" s="32" t="n"/>
      <c r="Q173" s="32" t="n"/>
      <c r="R173" s="32" t="n"/>
      <c r="S173" s="32" t="n"/>
      <c r="T173" s="32" t="n"/>
      <c r="U173" s="32" t="n"/>
      <c r="V173" s="32" t="n"/>
      <c r="W173" s="32" t="n"/>
      <c r="X173" s="32" t="n"/>
      <c r="Y173" s="32" t="n"/>
      <c r="Z173" s="32" t="n"/>
    </row>
    <row r="174">
      <c r="A174" s="32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  <c r="O174" s="32" t="n"/>
      <c r="P174" s="32" t="n"/>
      <c r="Q174" s="32" t="n"/>
      <c r="R174" s="32" t="n"/>
      <c r="S174" s="32" t="n"/>
      <c r="T174" s="32" t="n"/>
      <c r="U174" s="32" t="n"/>
      <c r="V174" s="32" t="n"/>
      <c r="W174" s="32" t="n"/>
      <c r="X174" s="32" t="n"/>
      <c r="Y174" s="32" t="n"/>
      <c r="Z174" s="32" t="n"/>
    </row>
    <row r="175">
      <c r="A175" s="32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  <c r="O175" s="32" t="n"/>
      <c r="P175" s="32" t="n"/>
      <c r="Q175" s="32" t="n"/>
      <c r="R175" s="32" t="n"/>
      <c r="S175" s="32" t="n"/>
      <c r="T175" s="32" t="n"/>
      <c r="U175" s="32" t="n"/>
      <c r="V175" s="32" t="n"/>
      <c r="W175" s="32" t="n"/>
      <c r="X175" s="32" t="n"/>
      <c r="Y175" s="32" t="n"/>
      <c r="Z175" s="32" t="n"/>
    </row>
    <row r="176">
      <c r="A176" s="32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  <c r="O176" s="32" t="n"/>
      <c r="P176" s="32" t="n"/>
      <c r="Q176" s="32" t="n"/>
      <c r="R176" s="32" t="n"/>
      <c r="S176" s="32" t="n"/>
      <c r="T176" s="32" t="n"/>
      <c r="U176" s="32" t="n"/>
      <c r="V176" s="32" t="n"/>
      <c r="W176" s="32" t="n"/>
      <c r="X176" s="32" t="n"/>
      <c r="Y176" s="32" t="n"/>
      <c r="Z176" s="32" t="n"/>
    </row>
    <row r="177">
      <c r="A177" s="32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  <c r="O177" s="32" t="n"/>
      <c r="P177" s="32" t="n"/>
      <c r="Q177" s="32" t="n"/>
      <c r="R177" s="32" t="n"/>
      <c r="S177" s="32" t="n"/>
      <c r="T177" s="32" t="n"/>
      <c r="U177" s="32" t="n"/>
      <c r="V177" s="32" t="n"/>
      <c r="W177" s="32" t="n"/>
      <c r="X177" s="32" t="n"/>
      <c r="Y177" s="32" t="n"/>
      <c r="Z177" s="32" t="n"/>
    </row>
    <row r="178">
      <c r="A178" s="32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  <c r="O178" s="32" t="n"/>
      <c r="P178" s="32" t="n"/>
      <c r="Q178" s="32" t="n"/>
      <c r="R178" s="32" t="n"/>
      <c r="S178" s="32" t="n"/>
      <c r="T178" s="32" t="n"/>
      <c r="U178" s="32" t="n"/>
      <c r="V178" s="32" t="n"/>
      <c r="W178" s="32" t="n"/>
      <c r="X178" s="32" t="n"/>
      <c r="Y178" s="32" t="n"/>
      <c r="Z178" s="32" t="n"/>
    </row>
    <row r="179">
      <c r="A179" s="32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  <c r="O179" s="32" t="n"/>
      <c r="P179" s="32" t="n"/>
      <c r="Q179" s="32" t="n"/>
      <c r="R179" s="32" t="n"/>
      <c r="S179" s="32" t="n"/>
      <c r="T179" s="32" t="n"/>
      <c r="U179" s="32" t="n"/>
      <c r="V179" s="32" t="n"/>
      <c r="W179" s="32" t="n"/>
      <c r="X179" s="32" t="n"/>
      <c r="Y179" s="32" t="n"/>
      <c r="Z179" s="32" t="n"/>
    </row>
    <row r="180">
      <c r="A180" s="32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  <c r="O180" s="32" t="n"/>
      <c r="P180" s="32" t="n"/>
      <c r="Q180" s="32" t="n"/>
      <c r="R180" s="32" t="n"/>
      <c r="S180" s="32" t="n"/>
      <c r="T180" s="32" t="n"/>
      <c r="U180" s="32" t="n"/>
      <c r="V180" s="32" t="n"/>
      <c r="W180" s="32" t="n"/>
      <c r="X180" s="32" t="n"/>
      <c r="Y180" s="32" t="n"/>
      <c r="Z180" s="32" t="n"/>
    </row>
    <row r="181">
      <c r="A181" s="32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2" t="n"/>
      <c r="W181" s="32" t="n"/>
      <c r="X181" s="32" t="n"/>
      <c r="Y181" s="32" t="n"/>
      <c r="Z181" s="32" t="n"/>
    </row>
    <row r="182">
      <c r="A182" s="32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  <c r="O182" s="32" t="n"/>
      <c r="P182" s="32" t="n"/>
      <c r="Q182" s="32" t="n"/>
      <c r="R182" s="32" t="n"/>
      <c r="S182" s="32" t="n"/>
      <c r="T182" s="32" t="n"/>
      <c r="U182" s="32" t="n"/>
      <c r="V182" s="32" t="n"/>
      <c r="W182" s="32" t="n"/>
      <c r="X182" s="32" t="n"/>
      <c r="Y182" s="32" t="n"/>
      <c r="Z182" s="32" t="n"/>
    </row>
    <row r="183">
      <c r="A183" s="32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  <c r="O183" s="32" t="n"/>
      <c r="P183" s="32" t="n"/>
      <c r="Q183" s="32" t="n"/>
      <c r="R183" s="32" t="n"/>
      <c r="S183" s="32" t="n"/>
      <c r="T183" s="32" t="n"/>
      <c r="U183" s="32" t="n"/>
      <c r="V183" s="32" t="n"/>
      <c r="W183" s="32" t="n"/>
      <c r="X183" s="32" t="n"/>
      <c r="Y183" s="32" t="n"/>
      <c r="Z183" s="32" t="n"/>
    </row>
    <row r="184">
      <c r="A184" s="32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  <c r="O184" s="32" t="n"/>
      <c r="P184" s="32" t="n"/>
      <c r="Q184" s="32" t="n"/>
      <c r="R184" s="32" t="n"/>
      <c r="S184" s="32" t="n"/>
      <c r="T184" s="32" t="n"/>
      <c r="U184" s="32" t="n"/>
      <c r="V184" s="32" t="n"/>
      <c r="W184" s="32" t="n"/>
      <c r="X184" s="32" t="n"/>
      <c r="Y184" s="32" t="n"/>
      <c r="Z184" s="32" t="n"/>
    </row>
    <row r="185">
      <c r="A185" s="32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  <c r="O185" s="32" t="n"/>
      <c r="P185" s="32" t="n"/>
      <c r="Q185" s="32" t="n"/>
      <c r="R185" s="32" t="n"/>
      <c r="S185" s="32" t="n"/>
      <c r="T185" s="32" t="n"/>
      <c r="U185" s="32" t="n"/>
      <c r="V185" s="32" t="n"/>
      <c r="W185" s="32" t="n"/>
      <c r="X185" s="32" t="n"/>
      <c r="Y185" s="32" t="n"/>
      <c r="Z185" s="32" t="n"/>
    </row>
    <row r="186">
      <c r="A186" s="32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  <c r="O186" s="32" t="n"/>
      <c r="P186" s="32" t="n"/>
      <c r="Q186" s="32" t="n"/>
      <c r="R186" s="32" t="n"/>
      <c r="S186" s="32" t="n"/>
      <c r="T186" s="32" t="n"/>
      <c r="U186" s="32" t="n"/>
      <c r="V186" s="32" t="n"/>
      <c r="W186" s="32" t="n"/>
      <c r="X186" s="32" t="n"/>
      <c r="Y186" s="32" t="n"/>
      <c r="Z186" s="32" t="n"/>
    </row>
    <row r="187">
      <c r="A187" s="32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  <c r="O187" s="32" t="n"/>
      <c r="P187" s="32" t="n"/>
      <c r="Q187" s="32" t="n"/>
      <c r="R187" s="32" t="n"/>
      <c r="S187" s="32" t="n"/>
      <c r="T187" s="32" t="n"/>
      <c r="U187" s="32" t="n"/>
      <c r="V187" s="32" t="n"/>
      <c r="W187" s="32" t="n"/>
      <c r="X187" s="32" t="n"/>
      <c r="Y187" s="32" t="n"/>
      <c r="Z187" s="32" t="n"/>
    </row>
    <row r="188">
      <c r="A188" s="32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  <c r="O188" s="32" t="n"/>
      <c r="P188" s="32" t="n"/>
      <c r="Q188" s="32" t="n"/>
      <c r="R188" s="32" t="n"/>
      <c r="S188" s="32" t="n"/>
      <c r="T188" s="32" t="n"/>
      <c r="U188" s="32" t="n"/>
      <c r="V188" s="32" t="n"/>
      <c r="W188" s="32" t="n"/>
      <c r="X188" s="32" t="n"/>
      <c r="Y188" s="32" t="n"/>
      <c r="Z188" s="32" t="n"/>
    </row>
    <row r="189">
      <c r="A189" s="32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  <c r="O189" s="32" t="n"/>
      <c r="P189" s="32" t="n"/>
      <c r="Q189" s="32" t="n"/>
      <c r="R189" s="32" t="n"/>
      <c r="S189" s="32" t="n"/>
      <c r="T189" s="32" t="n"/>
      <c r="U189" s="32" t="n"/>
      <c r="V189" s="32" t="n"/>
      <c r="W189" s="32" t="n"/>
      <c r="X189" s="32" t="n"/>
      <c r="Y189" s="32" t="n"/>
      <c r="Z189" s="32" t="n"/>
    </row>
    <row r="190">
      <c r="A190" s="32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  <c r="O190" s="32" t="n"/>
      <c r="P190" s="32" t="n"/>
      <c r="Q190" s="32" t="n"/>
      <c r="R190" s="32" t="n"/>
      <c r="S190" s="32" t="n"/>
      <c r="T190" s="32" t="n"/>
      <c r="U190" s="32" t="n"/>
      <c r="V190" s="32" t="n"/>
      <c r="W190" s="32" t="n"/>
      <c r="X190" s="32" t="n"/>
      <c r="Y190" s="32" t="n"/>
      <c r="Z190" s="32" t="n"/>
    </row>
    <row r="191">
      <c r="A191" s="32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  <c r="O191" s="32" t="n"/>
      <c r="P191" s="32" t="n"/>
      <c r="Q191" s="32" t="n"/>
      <c r="R191" s="32" t="n"/>
      <c r="S191" s="32" t="n"/>
      <c r="T191" s="32" t="n"/>
      <c r="U191" s="32" t="n"/>
      <c r="V191" s="32" t="n"/>
      <c r="W191" s="32" t="n"/>
      <c r="X191" s="32" t="n"/>
      <c r="Y191" s="32" t="n"/>
      <c r="Z191" s="32" t="n"/>
    </row>
    <row r="192">
      <c r="A192" s="32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  <c r="O192" s="32" t="n"/>
      <c r="P192" s="32" t="n"/>
      <c r="Q192" s="32" t="n"/>
      <c r="R192" s="32" t="n"/>
      <c r="S192" s="32" t="n"/>
      <c r="T192" s="32" t="n"/>
      <c r="U192" s="32" t="n"/>
      <c r="V192" s="32" t="n"/>
      <c r="W192" s="32" t="n"/>
      <c r="X192" s="32" t="n"/>
      <c r="Y192" s="32" t="n"/>
      <c r="Z192" s="32" t="n"/>
    </row>
    <row r="193">
      <c r="A193" s="32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  <c r="O193" s="32" t="n"/>
      <c r="P193" s="32" t="n"/>
      <c r="Q193" s="32" t="n"/>
      <c r="R193" s="32" t="n"/>
      <c r="S193" s="32" t="n"/>
      <c r="T193" s="32" t="n"/>
      <c r="U193" s="32" t="n"/>
      <c r="V193" s="32" t="n"/>
      <c r="W193" s="32" t="n"/>
      <c r="X193" s="32" t="n"/>
      <c r="Y193" s="32" t="n"/>
      <c r="Z193" s="32" t="n"/>
    </row>
    <row r="194">
      <c r="A194" s="32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  <c r="O194" s="32" t="n"/>
      <c r="P194" s="32" t="n"/>
      <c r="Q194" s="32" t="n"/>
      <c r="R194" s="32" t="n"/>
      <c r="S194" s="32" t="n"/>
      <c r="T194" s="32" t="n"/>
      <c r="U194" s="32" t="n"/>
      <c r="V194" s="32" t="n"/>
      <c r="W194" s="32" t="n"/>
      <c r="X194" s="32" t="n"/>
      <c r="Y194" s="32" t="n"/>
      <c r="Z194" s="32" t="n"/>
    </row>
    <row r="195">
      <c r="A195" s="32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  <c r="O195" s="32" t="n"/>
      <c r="P195" s="32" t="n"/>
      <c r="Q195" s="32" t="n"/>
      <c r="R195" s="32" t="n"/>
      <c r="S195" s="32" t="n"/>
      <c r="T195" s="32" t="n"/>
      <c r="U195" s="32" t="n"/>
      <c r="V195" s="32" t="n"/>
      <c r="W195" s="32" t="n"/>
      <c r="X195" s="32" t="n"/>
      <c r="Y195" s="32" t="n"/>
      <c r="Z195" s="32" t="n"/>
    </row>
    <row r="196">
      <c r="A196" s="32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2" t="n"/>
      <c r="W196" s="32" t="n"/>
      <c r="X196" s="32" t="n"/>
      <c r="Y196" s="32" t="n"/>
      <c r="Z196" s="32" t="n"/>
    </row>
    <row r="197">
      <c r="A197" s="32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  <c r="O197" s="32" t="n"/>
      <c r="P197" s="32" t="n"/>
      <c r="Q197" s="32" t="n"/>
      <c r="R197" s="32" t="n"/>
      <c r="S197" s="32" t="n"/>
      <c r="T197" s="32" t="n"/>
      <c r="U197" s="32" t="n"/>
      <c r="V197" s="32" t="n"/>
      <c r="W197" s="32" t="n"/>
      <c r="X197" s="32" t="n"/>
      <c r="Y197" s="32" t="n"/>
      <c r="Z197" s="32" t="n"/>
    </row>
    <row r="198">
      <c r="A198" s="32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  <c r="O198" s="32" t="n"/>
      <c r="P198" s="32" t="n"/>
      <c r="Q198" s="32" t="n"/>
      <c r="R198" s="32" t="n"/>
      <c r="S198" s="32" t="n"/>
      <c r="T198" s="32" t="n"/>
      <c r="U198" s="32" t="n"/>
      <c r="V198" s="32" t="n"/>
      <c r="W198" s="32" t="n"/>
      <c r="X198" s="32" t="n"/>
      <c r="Y198" s="32" t="n"/>
      <c r="Z198" s="32" t="n"/>
    </row>
    <row r="199">
      <c r="A199" s="32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  <c r="O199" s="32" t="n"/>
      <c r="P199" s="32" t="n"/>
      <c r="Q199" s="32" t="n"/>
      <c r="R199" s="32" t="n"/>
      <c r="S199" s="32" t="n"/>
      <c r="T199" s="32" t="n"/>
      <c r="U199" s="32" t="n"/>
      <c r="V199" s="32" t="n"/>
      <c r="W199" s="32" t="n"/>
      <c r="X199" s="32" t="n"/>
      <c r="Y199" s="32" t="n"/>
      <c r="Z199" s="32" t="n"/>
    </row>
    <row r="200">
      <c r="A200" s="32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  <c r="O200" s="32" t="n"/>
      <c r="P200" s="32" t="n"/>
      <c r="Q200" s="32" t="n"/>
      <c r="R200" s="32" t="n"/>
      <c r="S200" s="32" t="n"/>
      <c r="T200" s="32" t="n"/>
      <c r="U200" s="32" t="n"/>
      <c r="V200" s="32" t="n"/>
      <c r="W200" s="32" t="n"/>
      <c r="X200" s="32" t="n"/>
      <c r="Y200" s="32" t="n"/>
      <c r="Z200" s="32" t="n"/>
    </row>
    <row r="201">
      <c r="A201" s="32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  <c r="O201" s="32" t="n"/>
      <c r="P201" s="32" t="n"/>
      <c r="Q201" s="32" t="n"/>
      <c r="R201" s="32" t="n"/>
      <c r="S201" s="32" t="n"/>
      <c r="T201" s="32" t="n"/>
      <c r="U201" s="32" t="n"/>
      <c r="V201" s="32" t="n"/>
      <c r="W201" s="32" t="n"/>
      <c r="X201" s="32" t="n"/>
      <c r="Y201" s="32" t="n"/>
      <c r="Z201" s="32" t="n"/>
    </row>
    <row r="202">
      <c r="A202" s="32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  <c r="O202" s="32" t="n"/>
      <c r="P202" s="32" t="n"/>
      <c r="Q202" s="32" t="n"/>
      <c r="R202" s="32" t="n"/>
      <c r="S202" s="32" t="n"/>
      <c r="T202" s="32" t="n"/>
      <c r="U202" s="32" t="n"/>
      <c r="V202" s="32" t="n"/>
      <c r="W202" s="32" t="n"/>
      <c r="X202" s="32" t="n"/>
      <c r="Y202" s="32" t="n"/>
      <c r="Z202" s="32" t="n"/>
    </row>
    <row r="203">
      <c r="A203" s="32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  <c r="O203" s="32" t="n"/>
      <c r="P203" s="32" t="n"/>
      <c r="Q203" s="32" t="n"/>
      <c r="R203" s="32" t="n"/>
      <c r="S203" s="32" t="n"/>
      <c r="T203" s="32" t="n"/>
      <c r="U203" s="32" t="n"/>
      <c r="V203" s="32" t="n"/>
      <c r="W203" s="32" t="n"/>
      <c r="X203" s="32" t="n"/>
      <c r="Y203" s="32" t="n"/>
      <c r="Z203" s="32" t="n"/>
    </row>
    <row r="204">
      <c r="A204" s="32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  <c r="V204" s="32" t="n"/>
      <c r="W204" s="32" t="n"/>
      <c r="X204" s="32" t="n"/>
      <c r="Y204" s="32" t="n"/>
      <c r="Z204" s="32" t="n"/>
    </row>
    <row r="205">
      <c r="A205" s="32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  <c r="V205" s="32" t="n"/>
      <c r="W205" s="32" t="n"/>
      <c r="X205" s="32" t="n"/>
      <c r="Y205" s="32" t="n"/>
      <c r="Z205" s="32" t="n"/>
    </row>
    <row r="206">
      <c r="A206" s="32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  <c r="V206" s="32" t="n"/>
      <c r="W206" s="32" t="n"/>
      <c r="X206" s="32" t="n"/>
      <c r="Y206" s="32" t="n"/>
      <c r="Z206" s="32" t="n"/>
    </row>
    <row r="207">
      <c r="A207" s="32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  <c r="V207" s="32" t="n"/>
      <c r="W207" s="32" t="n"/>
      <c r="X207" s="32" t="n"/>
      <c r="Y207" s="32" t="n"/>
      <c r="Z207" s="32" t="n"/>
    </row>
    <row r="208">
      <c r="A208" s="32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  <c r="V208" s="32" t="n"/>
      <c r="W208" s="32" t="n"/>
      <c r="X208" s="32" t="n"/>
      <c r="Y208" s="32" t="n"/>
      <c r="Z208" s="32" t="n"/>
    </row>
    <row r="209">
      <c r="A209" s="32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  <c r="V209" s="32" t="n"/>
      <c r="W209" s="32" t="n"/>
      <c r="X209" s="32" t="n"/>
      <c r="Y209" s="32" t="n"/>
      <c r="Z209" s="32" t="n"/>
    </row>
    <row r="210">
      <c r="A210" s="32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  <c r="V210" s="32" t="n"/>
      <c r="W210" s="32" t="n"/>
      <c r="X210" s="32" t="n"/>
      <c r="Y210" s="32" t="n"/>
      <c r="Z210" s="32" t="n"/>
    </row>
    <row r="211">
      <c r="A211" s="32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2" t="n"/>
      <c r="W211" s="32" t="n"/>
      <c r="X211" s="32" t="n"/>
      <c r="Y211" s="32" t="n"/>
      <c r="Z211" s="32" t="n"/>
    </row>
    <row r="212">
      <c r="A212" s="32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  <c r="V212" s="32" t="n"/>
      <c r="W212" s="32" t="n"/>
      <c r="X212" s="32" t="n"/>
      <c r="Y212" s="32" t="n"/>
      <c r="Z212" s="32" t="n"/>
    </row>
    <row r="213">
      <c r="A213" s="32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  <c r="V213" s="32" t="n"/>
      <c r="W213" s="32" t="n"/>
      <c r="X213" s="32" t="n"/>
      <c r="Y213" s="32" t="n"/>
      <c r="Z213" s="32" t="n"/>
    </row>
    <row r="214">
      <c r="A214" s="32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  <c r="V214" s="32" t="n"/>
      <c r="W214" s="32" t="n"/>
      <c r="X214" s="32" t="n"/>
      <c r="Y214" s="32" t="n"/>
      <c r="Z214" s="32" t="n"/>
    </row>
    <row r="215">
      <c r="A215" s="32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  <c r="V215" s="32" t="n"/>
      <c r="W215" s="32" t="n"/>
      <c r="X215" s="32" t="n"/>
      <c r="Y215" s="32" t="n"/>
      <c r="Z215" s="32" t="n"/>
    </row>
    <row r="216">
      <c r="A216" s="32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  <c r="V216" s="32" t="n"/>
      <c r="W216" s="32" t="n"/>
      <c r="X216" s="32" t="n"/>
      <c r="Y216" s="32" t="n"/>
      <c r="Z216" s="32" t="n"/>
    </row>
    <row r="217">
      <c r="A217" s="32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  <c r="V217" s="32" t="n"/>
      <c r="W217" s="32" t="n"/>
      <c r="X217" s="32" t="n"/>
      <c r="Y217" s="32" t="n"/>
      <c r="Z217" s="32" t="n"/>
    </row>
    <row r="218">
      <c r="A218" s="32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  <c r="V218" s="32" t="n"/>
      <c r="W218" s="32" t="n"/>
      <c r="X218" s="32" t="n"/>
      <c r="Y218" s="32" t="n"/>
      <c r="Z218" s="32" t="n"/>
    </row>
    <row r="219">
      <c r="A219" s="32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  <c r="V219" s="32" t="n"/>
      <c r="W219" s="32" t="n"/>
      <c r="X219" s="32" t="n"/>
      <c r="Y219" s="32" t="n"/>
      <c r="Z219" s="32" t="n"/>
    </row>
    <row r="220">
      <c r="A220" s="32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Y220" s="32" t="n"/>
      <c r="Z220" s="32" t="n"/>
    </row>
    <row r="221">
      <c r="A221" s="32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Y221" s="32" t="n"/>
      <c r="Z221" s="32" t="n"/>
    </row>
    <row r="222">
      <c r="A222" s="32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  <c r="V222" s="32" t="n"/>
      <c r="W222" s="32" t="n"/>
      <c r="X222" s="32" t="n"/>
      <c r="Y222" s="32" t="n"/>
      <c r="Z222" s="32" t="n"/>
    </row>
    <row r="223">
      <c r="A223" s="32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  <c r="V223" s="32" t="n"/>
      <c r="W223" s="32" t="n"/>
      <c r="X223" s="32" t="n"/>
      <c r="Y223" s="32" t="n"/>
      <c r="Z223" s="32" t="n"/>
    </row>
    <row r="224">
      <c r="A224" s="32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  <c r="V224" s="32" t="n"/>
      <c r="W224" s="32" t="n"/>
      <c r="X224" s="32" t="n"/>
      <c r="Y224" s="32" t="n"/>
      <c r="Z224" s="32" t="n"/>
    </row>
    <row r="225">
      <c r="A225" s="32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  <c r="V225" s="32" t="n"/>
      <c r="W225" s="32" t="n"/>
      <c r="X225" s="32" t="n"/>
      <c r="Y225" s="32" t="n"/>
      <c r="Z225" s="32" t="n"/>
    </row>
    <row r="226">
      <c r="A226" s="32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2" t="n"/>
      <c r="W226" s="32" t="n"/>
      <c r="X226" s="32" t="n"/>
      <c r="Y226" s="32" t="n"/>
      <c r="Z226" s="32" t="n"/>
    </row>
    <row r="227">
      <c r="A227" s="32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  <c r="V227" s="32" t="n"/>
      <c r="W227" s="32" t="n"/>
      <c r="X227" s="32" t="n"/>
      <c r="Y227" s="32" t="n"/>
      <c r="Z227" s="32" t="n"/>
    </row>
    <row r="228">
      <c r="A228" s="32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  <c r="V228" s="32" t="n"/>
      <c r="W228" s="32" t="n"/>
      <c r="X228" s="32" t="n"/>
      <c r="Y228" s="32" t="n"/>
      <c r="Z228" s="32" t="n"/>
    </row>
    <row r="229">
      <c r="A229" s="32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  <c r="V229" s="32" t="n"/>
      <c r="W229" s="32" t="n"/>
      <c r="X229" s="32" t="n"/>
      <c r="Y229" s="32" t="n"/>
      <c r="Z229" s="32" t="n"/>
    </row>
    <row r="230">
      <c r="A230" s="32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  <c r="V230" s="32" t="n"/>
      <c r="W230" s="32" t="n"/>
      <c r="X230" s="32" t="n"/>
      <c r="Y230" s="32" t="n"/>
      <c r="Z230" s="32" t="n"/>
    </row>
    <row r="231">
      <c r="A231" s="32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  <c r="V231" s="32" t="n"/>
      <c r="W231" s="32" t="n"/>
      <c r="X231" s="32" t="n"/>
      <c r="Y231" s="32" t="n"/>
      <c r="Z231" s="32" t="n"/>
    </row>
    <row r="232">
      <c r="A232" s="32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  <c r="V232" s="32" t="n"/>
      <c r="W232" s="32" t="n"/>
      <c r="X232" s="32" t="n"/>
      <c r="Y232" s="32" t="n"/>
      <c r="Z232" s="32" t="n"/>
    </row>
    <row r="233">
      <c r="A233" s="32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  <c r="V233" s="32" t="n"/>
      <c r="W233" s="32" t="n"/>
      <c r="X233" s="32" t="n"/>
      <c r="Y233" s="32" t="n"/>
      <c r="Z233" s="32" t="n"/>
    </row>
    <row r="234">
      <c r="A234" s="32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  <c r="V234" s="32" t="n"/>
      <c r="W234" s="32" t="n"/>
      <c r="X234" s="32" t="n"/>
      <c r="Y234" s="32" t="n"/>
      <c r="Z234" s="32" t="n"/>
    </row>
    <row r="235">
      <c r="A235" s="32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  <c r="V235" s="32" t="n"/>
      <c r="W235" s="32" t="n"/>
      <c r="X235" s="32" t="n"/>
      <c r="Y235" s="32" t="n"/>
      <c r="Z235" s="32" t="n"/>
    </row>
    <row r="236">
      <c r="A236" s="32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  <c r="V236" s="32" t="n"/>
      <c r="W236" s="32" t="n"/>
      <c r="X236" s="32" t="n"/>
      <c r="Y236" s="32" t="n"/>
      <c r="Z236" s="32" t="n"/>
    </row>
    <row r="237">
      <c r="A237" s="32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  <c r="V237" s="32" t="n"/>
      <c r="W237" s="32" t="n"/>
      <c r="X237" s="32" t="n"/>
      <c r="Y237" s="32" t="n"/>
      <c r="Z237" s="32" t="n"/>
    </row>
    <row r="238">
      <c r="A238" s="32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  <c r="V238" s="32" t="n"/>
      <c r="W238" s="32" t="n"/>
      <c r="X238" s="32" t="n"/>
      <c r="Y238" s="32" t="n"/>
      <c r="Z238" s="32" t="n"/>
    </row>
    <row r="239">
      <c r="A239" s="32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  <c r="V239" s="32" t="n"/>
      <c r="W239" s="32" t="n"/>
      <c r="X239" s="32" t="n"/>
      <c r="Y239" s="32" t="n"/>
      <c r="Z239" s="32" t="n"/>
    </row>
    <row r="240">
      <c r="A240" s="32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  <c r="V240" s="32" t="n"/>
      <c r="W240" s="32" t="n"/>
      <c r="X240" s="32" t="n"/>
      <c r="Y240" s="32" t="n"/>
      <c r="Z240" s="32" t="n"/>
    </row>
    <row r="241">
      <c r="A241" s="32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2" t="n"/>
      <c r="W241" s="32" t="n"/>
      <c r="X241" s="32" t="n"/>
      <c r="Y241" s="32" t="n"/>
      <c r="Z241" s="32" t="n"/>
    </row>
    <row r="242">
      <c r="A242" s="32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  <c r="V242" s="32" t="n"/>
      <c r="W242" s="32" t="n"/>
      <c r="X242" s="32" t="n"/>
      <c r="Y242" s="32" t="n"/>
      <c r="Z242" s="32" t="n"/>
    </row>
    <row r="243">
      <c r="A243" s="32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  <c r="V243" s="32" t="n"/>
      <c r="W243" s="32" t="n"/>
      <c r="X243" s="32" t="n"/>
      <c r="Y243" s="32" t="n"/>
      <c r="Z243" s="32" t="n"/>
    </row>
    <row r="244">
      <c r="A244" s="32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  <c r="V244" s="32" t="n"/>
      <c r="W244" s="32" t="n"/>
      <c r="X244" s="32" t="n"/>
      <c r="Y244" s="32" t="n"/>
      <c r="Z244" s="32" t="n"/>
    </row>
    <row r="245">
      <c r="A245" s="32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  <c r="V245" s="32" t="n"/>
      <c r="W245" s="32" t="n"/>
      <c r="X245" s="32" t="n"/>
      <c r="Y245" s="32" t="n"/>
      <c r="Z245" s="32" t="n"/>
    </row>
    <row r="246">
      <c r="A246" s="32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  <c r="V246" s="32" t="n"/>
      <c r="W246" s="32" t="n"/>
      <c r="X246" s="32" t="n"/>
      <c r="Y246" s="32" t="n"/>
      <c r="Z246" s="32" t="n"/>
    </row>
    <row r="247">
      <c r="A247" s="32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  <c r="V247" s="32" t="n"/>
      <c r="W247" s="32" t="n"/>
      <c r="X247" s="32" t="n"/>
      <c r="Y247" s="32" t="n"/>
      <c r="Z247" s="32" t="n"/>
    </row>
    <row r="248">
      <c r="A248" s="32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  <c r="V248" s="32" t="n"/>
      <c r="W248" s="32" t="n"/>
      <c r="X248" s="32" t="n"/>
      <c r="Y248" s="32" t="n"/>
      <c r="Z248" s="32" t="n"/>
    </row>
    <row r="249">
      <c r="A249" s="32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  <c r="V249" s="32" t="n"/>
      <c r="W249" s="32" t="n"/>
      <c r="X249" s="32" t="n"/>
      <c r="Y249" s="32" t="n"/>
      <c r="Z249" s="32" t="n"/>
    </row>
    <row r="250">
      <c r="A250" s="32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  <c r="V250" s="32" t="n"/>
      <c r="W250" s="32" t="n"/>
      <c r="X250" s="32" t="n"/>
      <c r="Y250" s="32" t="n"/>
      <c r="Z250" s="32" t="n"/>
    </row>
    <row r="251">
      <c r="A251" s="32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  <c r="V251" s="32" t="n"/>
      <c r="W251" s="32" t="n"/>
      <c r="X251" s="32" t="n"/>
      <c r="Y251" s="32" t="n"/>
      <c r="Z251" s="32" t="n"/>
    </row>
    <row r="252">
      <c r="A252" s="32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  <c r="V252" s="32" t="n"/>
      <c r="W252" s="32" t="n"/>
      <c r="X252" s="32" t="n"/>
      <c r="Y252" s="32" t="n"/>
      <c r="Z252" s="32" t="n"/>
    </row>
    <row r="253">
      <c r="A253" s="32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  <c r="V253" s="32" t="n"/>
      <c r="W253" s="32" t="n"/>
      <c r="X253" s="32" t="n"/>
      <c r="Y253" s="32" t="n"/>
      <c r="Z253" s="32" t="n"/>
    </row>
    <row r="254">
      <c r="A254" s="32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  <c r="V254" s="32" t="n"/>
      <c r="W254" s="32" t="n"/>
      <c r="X254" s="32" t="n"/>
      <c r="Y254" s="32" t="n"/>
      <c r="Z254" s="32" t="n"/>
    </row>
    <row r="255">
      <c r="A255" s="32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  <c r="V255" s="32" t="n"/>
      <c r="W255" s="32" t="n"/>
      <c r="X255" s="32" t="n"/>
      <c r="Y255" s="32" t="n"/>
      <c r="Z255" s="32" t="n"/>
    </row>
    <row r="256">
      <c r="A256" s="32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2" t="n"/>
      <c r="W256" s="32" t="n"/>
      <c r="X256" s="32" t="n"/>
      <c r="Y256" s="32" t="n"/>
      <c r="Z256" s="32" t="n"/>
    </row>
    <row r="257">
      <c r="A257" s="32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V257" s="32" t="n"/>
      <c r="W257" s="32" t="n"/>
      <c r="X257" s="32" t="n"/>
      <c r="Y257" s="32" t="n"/>
      <c r="Z257" s="32" t="n"/>
    </row>
    <row r="258">
      <c r="A258" s="32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V258" s="32" t="n"/>
      <c r="W258" s="32" t="n"/>
      <c r="X258" s="32" t="n"/>
      <c r="Y258" s="32" t="n"/>
      <c r="Z258" s="32" t="n"/>
    </row>
    <row r="259">
      <c r="A259" s="32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Y259" s="32" t="n"/>
      <c r="Z259" s="32" t="n"/>
    </row>
    <row r="260">
      <c r="A260" s="32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Y260" s="32" t="n"/>
      <c r="Z260" s="32" t="n"/>
    </row>
    <row r="261">
      <c r="A261" s="32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V261" s="32" t="n"/>
      <c r="W261" s="32" t="n"/>
      <c r="X261" s="32" t="n"/>
      <c r="Y261" s="32" t="n"/>
      <c r="Z261" s="32" t="n"/>
    </row>
    <row r="262">
      <c r="A262" s="32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V262" s="32" t="n"/>
      <c r="W262" s="32" t="n"/>
      <c r="X262" s="32" t="n"/>
      <c r="Y262" s="32" t="n"/>
      <c r="Z262" s="32" t="n"/>
    </row>
    <row r="263">
      <c r="A263" s="32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V263" s="32" t="n"/>
      <c r="W263" s="32" t="n"/>
      <c r="X263" s="32" t="n"/>
      <c r="Y263" s="32" t="n"/>
      <c r="Z263" s="32" t="n"/>
    </row>
    <row r="264">
      <c r="A264" s="32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V264" s="32" t="n"/>
      <c r="W264" s="32" t="n"/>
      <c r="X264" s="32" t="n"/>
      <c r="Y264" s="32" t="n"/>
      <c r="Z264" s="32" t="n"/>
    </row>
    <row r="265">
      <c r="A265" s="32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V265" s="32" t="n"/>
      <c r="W265" s="32" t="n"/>
      <c r="X265" s="32" t="n"/>
      <c r="Y265" s="32" t="n"/>
      <c r="Z265" s="32" t="n"/>
    </row>
    <row r="266">
      <c r="A266" s="32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V266" s="32" t="n"/>
      <c r="W266" s="32" t="n"/>
      <c r="X266" s="32" t="n"/>
      <c r="Y266" s="32" t="n"/>
      <c r="Z266" s="32" t="n"/>
    </row>
    <row r="267">
      <c r="A267" s="32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V267" s="32" t="n"/>
      <c r="W267" s="32" t="n"/>
      <c r="X267" s="32" t="n"/>
      <c r="Y267" s="32" t="n"/>
      <c r="Z267" s="32" t="n"/>
    </row>
    <row r="268">
      <c r="A268" s="32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V268" s="32" t="n"/>
      <c r="W268" s="32" t="n"/>
      <c r="X268" s="32" t="n"/>
      <c r="Y268" s="32" t="n"/>
      <c r="Z268" s="32" t="n"/>
    </row>
    <row r="269">
      <c r="A269" s="32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V269" s="32" t="n"/>
      <c r="W269" s="32" t="n"/>
      <c r="X269" s="32" t="n"/>
      <c r="Y269" s="32" t="n"/>
      <c r="Z269" s="32" t="n"/>
    </row>
    <row r="270">
      <c r="A270" s="32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V270" s="32" t="n"/>
      <c r="W270" s="32" t="n"/>
      <c r="X270" s="32" t="n"/>
      <c r="Y270" s="32" t="n"/>
      <c r="Z270" s="32" t="n"/>
    </row>
    <row r="271">
      <c r="A271" s="32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2" t="n"/>
      <c r="W271" s="32" t="n"/>
      <c r="X271" s="32" t="n"/>
      <c r="Y271" s="32" t="n"/>
      <c r="Z271" s="32" t="n"/>
    </row>
    <row r="272">
      <c r="A272" s="32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V272" s="32" t="n"/>
      <c r="W272" s="32" t="n"/>
      <c r="X272" s="32" t="n"/>
      <c r="Y272" s="32" t="n"/>
      <c r="Z272" s="32" t="n"/>
    </row>
    <row r="273">
      <c r="A273" s="32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V273" s="32" t="n"/>
      <c r="W273" s="32" t="n"/>
      <c r="X273" s="32" t="n"/>
      <c r="Y273" s="32" t="n"/>
      <c r="Z273" s="32" t="n"/>
    </row>
    <row r="274">
      <c r="A274" s="32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V274" s="32" t="n"/>
      <c r="W274" s="32" t="n"/>
      <c r="X274" s="32" t="n"/>
      <c r="Y274" s="32" t="n"/>
      <c r="Z274" s="32" t="n"/>
    </row>
    <row r="275">
      <c r="A275" s="32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V275" s="32" t="n"/>
      <c r="W275" s="32" t="n"/>
      <c r="X275" s="32" t="n"/>
      <c r="Y275" s="32" t="n"/>
      <c r="Z275" s="32" t="n"/>
    </row>
    <row r="276">
      <c r="A276" s="32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V276" s="32" t="n"/>
      <c r="W276" s="32" t="n"/>
      <c r="X276" s="32" t="n"/>
      <c r="Y276" s="32" t="n"/>
      <c r="Z276" s="32" t="n"/>
    </row>
    <row r="277">
      <c r="A277" s="32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  <c r="V277" s="32" t="n"/>
      <c r="W277" s="32" t="n"/>
      <c r="X277" s="32" t="n"/>
      <c r="Y277" s="32" t="n"/>
      <c r="Z277" s="32" t="n"/>
    </row>
    <row r="278">
      <c r="A278" s="32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  <c r="V278" s="32" t="n"/>
      <c r="W278" s="32" t="n"/>
      <c r="X278" s="32" t="n"/>
      <c r="Y278" s="32" t="n"/>
      <c r="Z278" s="32" t="n"/>
    </row>
    <row r="279">
      <c r="A279" s="32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  <c r="V279" s="32" t="n"/>
      <c r="W279" s="32" t="n"/>
      <c r="X279" s="32" t="n"/>
      <c r="Y279" s="32" t="n"/>
      <c r="Z279" s="32" t="n"/>
    </row>
    <row r="280">
      <c r="A280" s="32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  <c r="V280" s="32" t="n"/>
      <c r="W280" s="32" t="n"/>
      <c r="X280" s="32" t="n"/>
      <c r="Y280" s="32" t="n"/>
      <c r="Z280" s="32" t="n"/>
    </row>
    <row r="281">
      <c r="A281" s="32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  <c r="V281" s="32" t="n"/>
      <c r="W281" s="32" t="n"/>
      <c r="X281" s="32" t="n"/>
      <c r="Y281" s="32" t="n"/>
      <c r="Z281" s="32" t="n"/>
    </row>
    <row r="282">
      <c r="A282" s="32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  <c r="V282" s="32" t="n"/>
      <c r="W282" s="32" t="n"/>
      <c r="X282" s="32" t="n"/>
      <c r="Y282" s="32" t="n"/>
      <c r="Z282" s="32" t="n"/>
    </row>
    <row r="283">
      <c r="A283" s="32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  <c r="V283" s="32" t="n"/>
      <c r="W283" s="32" t="n"/>
      <c r="X283" s="32" t="n"/>
      <c r="Y283" s="32" t="n"/>
      <c r="Z283" s="32" t="n"/>
    </row>
    <row r="284">
      <c r="A284" s="32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  <c r="V284" s="32" t="n"/>
      <c r="W284" s="32" t="n"/>
      <c r="X284" s="32" t="n"/>
      <c r="Y284" s="32" t="n"/>
      <c r="Z284" s="32" t="n"/>
    </row>
    <row r="285">
      <c r="A285" s="32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  <c r="V285" s="32" t="n"/>
      <c r="W285" s="32" t="n"/>
      <c r="X285" s="32" t="n"/>
      <c r="Y285" s="32" t="n"/>
      <c r="Z285" s="32" t="n"/>
    </row>
    <row r="286">
      <c r="A286" s="32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2" t="n"/>
      <c r="W286" s="32" t="n"/>
      <c r="X286" s="32" t="n"/>
      <c r="Y286" s="32" t="n"/>
      <c r="Z286" s="32" t="n"/>
    </row>
    <row r="287">
      <c r="A287" s="32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  <c r="V287" s="32" t="n"/>
      <c r="W287" s="32" t="n"/>
      <c r="X287" s="32" t="n"/>
      <c r="Y287" s="32" t="n"/>
      <c r="Z287" s="32" t="n"/>
    </row>
    <row r="288">
      <c r="A288" s="32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  <c r="V288" s="32" t="n"/>
      <c r="W288" s="32" t="n"/>
      <c r="X288" s="32" t="n"/>
      <c r="Y288" s="32" t="n"/>
      <c r="Z288" s="32" t="n"/>
    </row>
    <row r="289">
      <c r="A289" s="32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  <c r="V289" s="32" t="n"/>
      <c r="W289" s="32" t="n"/>
      <c r="X289" s="32" t="n"/>
      <c r="Y289" s="32" t="n"/>
      <c r="Z289" s="32" t="n"/>
    </row>
    <row r="290">
      <c r="A290" s="32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  <c r="V290" s="32" t="n"/>
      <c r="W290" s="32" t="n"/>
      <c r="X290" s="32" t="n"/>
      <c r="Y290" s="32" t="n"/>
      <c r="Z290" s="32" t="n"/>
    </row>
    <row r="291">
      <c r="A291" s="32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  <c r="V291" s="32" t="n"/>
      <c r="W291" s="32" t="n"/>
      <c r="X291" s="32" t="n"/>
      <c r="Y291" s="32" t="n"/>
      <c r="Z291" s="32" t="n"/>
    </row>
    <row r="292">
      <c r="A292" s="32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  <c r="V292" s="32" t="n"/>
      <c r="W292" s="32" t="n"/>
      <c r="X292" s="32" t="n"/>
      <c r="Y292" s="32" t="n"/>
      <c r="Z292" s="32" t="n"/>
    </row>
    <row r="293">
      <c r="A293" s="32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  <c r="V293" s="32" t="n"/>
      <c r="W293" s="32" t="n"/>
      <c r="X293" s="32" t="n"/>
      <c r="Y293" s="32" t="n"/>
      <c r="Z293" s="32" t="n"/>
    </row>
    <row r="294">
      <c r="A294" s="32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  <c r="V294" s="32" t="n"/>
      <c r="W294" s="32" t="n"/>
      <c r="X294" s="32" t="n"/>
      <c r="Y294" s="32" t="n"/>
      <c r="Z294" s="32" t="n"/>
    </row>
    <row r="295">
      <c r="A295" s="32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  <c r="V295" s="32" t="n"/>
      <c r="W295" s="32" t="n"/>
      <c r="X295" s="32" t="n"/>
      <c r="Y295" s="32" t="n"/>
      <c r="Z295" s="32" t="n"/>
    </row>
    <row r="296">
      <c r="A296" s="32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  <c r="V296" s="32" t="n"/>
      <c r="W296" s="32" t="n"/>
      <c r="X296" s="32" t="n"/>
      <c r="Y296" s="32" t="n"/>
      <c r="Z296" s="32" t="n"/>
    </row>
    <row r="297">
      <c r="A297" s="32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  <c r="V297" s="32" t="n"/>
      <c r="W297" s="32" t="n"/>
      <c r="X297" s="32" t="n"/>
      <c r="Y297" s="32" t="n"/>
      <c r="Z297" s="32" t="n"/>
    </row>
    <row r="298">
      <c r="A298" s="32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Y298" s="32" t="n"/>
      <c r="Z298" s="32" t="n"/>
    </row>
    <row r="299">
      <c r="A299" s="32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Y299" s="32" t="n"/>
      <c r="Z299" s="32" t="n"/>
    </row>
    <row r="300">
      <c r="A300" s="32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  <c r="V300" s="32" t="n"/>
      <c r="W300" s="32" t="n"/>
      <c r="X300" s="32" t="n"/>
      <c r="Y300" s="32" t="n"/>
      <c r="Z300" s="32" t="n"/>
    </row>
    <row r="301">
      <c r="A301" s="32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2" t="n"/>
      <c r="W301" s="32" t="n"/>
      <c r="X301" s="32" t="n"/>
      <c r="Y301" s="32" t="n"/>
      <c r="Z301" s="32" t="n"/>
    </row>
    <row r="302">
      <c r="A302" s="32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  <c r="V302" s="32" t="n"/>
      <c r="W302" s="32" t="n"/>
      <c r="X302" s="32" t="n"/>
      <c r="Y302" s="32" t="n"/>
      <c r="Z302" s="32" t="n"/>
    </row>
    <row r="303">
      <c r="A303" s="32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  <c r="V303" s="32" t="n"/>
      <c r="W303" s="32" t="n"/>
      <c r="X303" s="32" t="n"/>
      <c r="Y303" s="32" t="n"/>
      <c r="Z303" s="32" t="n"/>
    </row>
    <row r="304">
      <c r="A304" s="32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  <c r="V304" s="32" t="n"/>
      <c r="W304" s="32" t="n"/>
      <c r="X304" s="32" t="n"/>
      <c r="Y304" s="32" t="n"/>
      <c r="Z304" s="32" t="n"/>
    </row>
    <row r="305">
      <c r="A305" s="32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  <c r="V305" s="32" t="n"/>
      <c r="W305" s="32" t="n"/>
      <c r="X305" s="32" t="n"/>
      <c r="Y305" s="32" t="n"/>
      <c r="Z305" s="32" t="n"/>
    </row>
    <row r="306">
      <c r="A306" s="32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  <c r="V306" s="32" t="n"/>
      <c r="W306" s="32" t="n"/>
      <c r="X306" s="32" t="n"/>
      <c r="Y306" s="32" t="n"/>
      <c r="Z306" s="32" t="n"/>
    </row>
    <row r="307">
      <c r="A307" s="32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  <c r="V307" s="32" t="n"/>
      <c r="W307" s="32" t="n"/>
      <c r="X307" s="32" t="n"/>
      <c r="Y307" s="32" t="n"/>
      <c r="Z307" s="32" t="n"/>
    </row>
    <row r="308">
      <c r="A308" s="32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  <c r="O308" s="32" t="n"/>
      <c r="P308" s="32" t="n"/>
      <c r="Q308" s="32" t="n"/>
      <c r="R308" s="32" t="n"/>
      <c r="S308" s="32" t="n"/>
      <c r="T308" s="32" t="n"/>
      <c r="U308" s="32" t="n"/>
      <c r="V308" s="32" t="n"/>
      <c r="W308" s="32" t="n"/>
      <c r="X308" s="32" t="n"/>
      <c r="Y308" s="32" t="n"/>
      <c r="Z308" s="32" t="n"/>
    </row>
    <row r="309">
      <c r="A309" s="32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  <c r="O309" s="32" t="n"/>
      <c r="P309" s="32" t="n"/>
      <c r="Q309" s="32" t="n"/>
      <c r="R309" s="32" t="n"/>
      <c r="S309" s="32" t="n"/>
      <c r="T309" s="32" t="n"/>
      <c r="U309" s="32" t="n"/>
      <c r="V309" s="32" t="n"/>
      <c r="W309" s="32" t="n"/>
      <c r="X309" s="32" t="n"/>
      <c r="Y309" s="32" t="n"/>
      <c r="Z309" s="32" t="n"/>
    </row>
    <row r="310">
      <c r="A310" s="32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  <c r="O310" s="32" t="n"/>
      <c r="P310" s="32" t="n"/>
      <c r="Q310" s="32" t="n"/>
      <c r="R310" s="32" t="n"/>
      <c r="S310" s="32" t="n"/>
      <c r="T310" s="32" t="n"/>
      <c r="U310" s="32" t="n"/>
      <c r="V310" s="32" t="n"/>
      <c r="W310" s="32" t="n"/>
      <c r="X310" s="32" t="n"/>
      <c r="Y310" s="32" t="n"/>
      <c r="Z310" s="32" t="n"/>
    </row>
    <row r="311">
      <c r="A311" s="32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  <c r="O311" s="32" t="n"/>
      <c r="P311" s="32" t="n"/>
      <c r="Q311" s="32" t="n"/>
      <c r="R311" s="32" t="n"/>
      <c r="S311" s="32" t="n"/>
      <c r="T311" s="32" t="n"/>
      <c r="U311" s="32" t="n"/>
      <c r="V311" s="32" t="n"/>
      <c r="W311" s="32" t="n"/>
      <c r="X311" s="32" t="n"/>
      <c r="Y311" s="32" t="n"/>
      <c r="Z311" s="32" t="n"/>
    </row>
    <row r="312">
      <c r="A312" s="32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  <c r="O312" s="32" t="n"/>
      <c r="P312" s="32" t="n"/>
      <c r="Q312" s="32" t="n"/>
      <c r="R312" s="32" t="n"/>
      <c r="S312" s="32" t="n"/>
      <c r="T312" s="32" t="n"/>
      <c r="U312" s="32" t="n"/>
      <c r="V312" s="32" t="n"/>
      <c r="W312" s="32" t="n"/>
      <c r="X312" s="32" t="n"/>
      <c r="Y312" s="32" t="n"/>
      <c r="Z312" s="32" t="n"/>
    </row>
    <row r="313">
      <c r="A313" s="32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  <c r="O313" s="32" t="n"/>
      <c r="P313" s="32" t="n"/>
      <c r="Q313" s="32" t="n"/>
      <c r="R313" s="32" t="n"/>
      <c r="S313" s="32" t="n"/>
      <c r="T313" s="32" t="n"/>
      <c r="U313" s="32" t="n"/>
      <c r="V313" s="32" t="n"/>
      <c r="W313" s="32" t="n"/>
      <c r="X313" s="32" t="n"/>
      <c r="Y313" s="32" t="n"/>
      <c r="Z313" s="32" t="n"/>
    </row>
    <row r="314">
      <c r="A314" s="32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  <c r="O314" s="32" t="n"/>
      <c r="P314" s="32" t="n"/>
      <c r="Q314" s="32" t="n"/>
      <c r="R314" s="32" t="n"/>
      <c r="S314" s="32" t="n"/>
      <c r="T314" s="32" t="n"/>
      <c r="U314" s="32" t="n"/>
      <c r="V314" s="32" t="n"/>
      <c r="W314" s="32" t="n"/>
      <c r="X314" s="32" t="n"/>
      <c r="Y314" s="32" t="n"/>
      <c r="Z314" s="32" t="n"/>
    </row>
    <row r="315">
      <c r="A315" s="32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  <c r="O315" s="32" t="n"/>
      <c r="P315" s="32" t="n"/>
      <c r="Q315" s="32" t="n"/>
      <c r="R315" s="32" t="n"/>
      <c r="S315" s="32" t="n"/>
      <c r="T315" s="32" t="n"/>
      <c r="U315" s="32" t="n"/>
      <c r="V315" s="32" t="n"/>
      <c r="W315" s="32" t="n"/>
      <c r="X315" s="32" t="n"/>
      <c r="Y315" s="32" t="n"/>
      <c r="Z315" s="32" t="n"/>
    </row>
    <row r="316">
      <c r="A316" s="32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2" t="n"/>
      <c r="W316" s="32" t="n"/>
      <c r="X316" s="32" t="n"/>
      <c r="Y316" s="32" t="n"/>
      <c r="Z316" s="32" t="n"/>
    </row>
    <row r="317">
      <c r="A317" s="32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  <c r="O317" s="32" t="n"/>
      <c r="P317" s="32" t="n"/>
      <c r="Q317" s="32" t="n"/>
      <c r="R317" s="32" t="n"/>
      <c r="S317" s="32" t="n"/>
      <c r="T317" s="32" t="n"/>
      <c r="U317" s="32" t="n"/>
      <c r="V317" s="32" t="n"/>
      <c r="W317" s="32" t="n"/>
      <c r="X317" s="32" t="n"/>
      <c r="Y317" s="32" t="n"/>
      <c r="Z317" s="32" t="n"/>
    </row>
    <row r="318">
      <c r="A318" s="32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  <c r="O318" s="32" t="n"/>
      <c r="P318" s="32" t="n"/>
      <c r="Q318" s="32" t="n"/>
      <c r="R318" s="32" t="n"/>
      <c r="S318" s="32" t="n"/>
      <c r="T318" s="32" t="n"/>
      <c r="U318" s="32" t="n"/>
      <c r="V318" s="32" t="n"/>
      <c r="W318" s="32" t="n"/>
      <c r="X318" s="32" t="n"/>
      <c r="Y318" s="32" t="n"/>
      <c r="Z318" s="32" t="n"/>
    </row>
    <row r="319">
      <c r="A319" s="32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  <c r="O319" s="32" t="n"/>
      <c r="P319" s="32" t="n"/>
      <c r="Q319" s="32" t="n"/>
      <c r="R319" s="32" t="n"/>
      <c r="S319" s="32" t="n"/>
      <c r="T319" s="32" t="n"/>
      <c r="U319" s="32" t="n"/>
      <c r="V319" s="32" t="n"/>
      <c r="W319" s="32" t="n"/>
      <c r="X319" s="32" t="n"/>
      <c r="Y319" s="32" t="n"/>
      <c r="Z319" s="32" t="n"/>
    </row>
    <row r="320">
      <c r="A320" s="32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  <c r="O320" s="32" t="n"/>
      <c r="P320" s="32" t="n"/>
      <c r="Q320" s="32" t="n"/>
      <c r="R320" s="32" t="n"/>
      <c r="S320" s="32" t="n"/>
      <c r="T320" s="32" t="n"/>
      <c r="U320" s="32" t="n"/>
      <c r="V320" s="32" t="n"/>
      <c r="W320" s="32" t="n"/>
      <c r="X320" s="32" t="n"/>
      <c r="Y320" s="32" t="n"/>
      <c r="Z320" s="32" t="n"/>
    </row>
    <row r="321">
      <c r="A321" s="32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  <c r="O321" s="32" t="n"/>
      <c r="P321" s="32" t="n"/>
      <c r="Q321" s="32" t="n"/>
      <c r="R321" s="32" t="n"/>
      <c r="S321" s="32" t="n"/>
      <c r="T321" s="32" t="n"/>
      <c r="U321" s="32" t="n"/>
      <c r="V321" s="32" t="n"/>
      <c r="W321" s="32" t="n"/>
      <c r="X321" s="32" t="n"/>
      <c r="Y321" s="32" t="n"/>
      <c r="Z321" s="32" t="n"/>
    </row>
    <row r="322">
      <c r="A322" s="32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  <c r="O322" s="32" t="n"/>
      <c r="P322" s="32" t="n"/>
      <c r="Q322" s="32" t="n"/>
      <c r="R322" s="32" t="n"/>
      <c r="S322" s="32" t="n"/>
      <c r="T322" s="32" t="n"/>
      <c r="U322" s="32" t="n"/>
      <c r="V322" s="32" t="n"/>
      <c r="W322" s="32" t="n"/>
      <c r="X322" s="32" t="n"/>
      <c r="Y322" s="32" t="n"/>
      <c r="Z322" s="32" t="n"/>
    </row>
    <row r="323">
      <c r="A323" s="32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  <c r="O323" s="32" t="n"/>
      <c r="P323" s="32" t="n"/>
      <c r="Q323" s="32" t="n"/>
      <c r="R323" s="32" t="n"/>
      <c r="S323" s="32" t="n"/>
      <c r="T323" s="32" t="n"/>
      <c r="U323" s="32" t="n"/>
      <c r="V323" s="32" t="n"/>
      <c r="W323" s="32" t="n"/>
      <c r="X323" s="32" t="n"/>
      <c r="Y323" s="32" t="n"/>
      <c r="Z323" s="32" t="n"/>
    </row>
    <row r="324">
      <c r="A324" s="32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  <c r="O324" s="32" t="n"/>
      <c r="P324" s="32" t="n"/>
      <c r="Q324" s="32" t="n"/>
      <c r="R324" s="32" t="n"/>
      <c r="S324" s="32" t="n"/>
      <c r="T324" s="32" t="n"/>
      <c r="U324" s="32" t="n"/>
      <c r="V324" s="32" t="n"/>
      <c r="W324" s="32" t="n"/>
      <c r="X324" s="32" t="n"/>
      <c r="Y324" s="32" t="n"/>
      <c r="Z324" s="32" t="n"/>
    </row>
    <row r="325">
      <c r="A325" s="32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  <c r="O325" s="32" t="n"/>
      <c r="P325" s="32" t="n"/>
      <c r="Q325" s="32" t="n"/>
      <c r="R325" s="32" t="n"/>
      <c r="S325" s="32" t="n"/>
      <c r="T325" s="32" t="n"/>
      <c r="U325" s="32" t="n"/>
      <c r="V325" s="32" t="n"/>
      <c r="W325" s="32" t="n"/>
      <c r="X325" s="32" t="n"/>
      <c r="Y325" s="32" t="n"/>
      <c r="Z325" s="32" t="n"/>
    </row>
    <row r="326">
      <c r="A326" s="32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  <c r="O326" s="32" t="n"/>
      <c r="P326" s="32" t="n"/>
      <c r="Q326" s="32" t="n"/>
      <c r="R326" s="32" t="n"/>
      <c r="S326" s="32" t="n"/>
      <c r="T326" s="32" t="n"/>
      <c r="U326" s="32" t="n"/>
      <c r="V326" s="32" t="n"/>
      <c r="W326" s="32" t="n"/>
      <c r="X326" s="32" t="n"/>
      <c r="Y326" s="32" t="n"/>
      <c r="Z326" s="32" t="n"/>
    </row>
    <row r="327">
      <c r="A327" s="32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  <c r="O327" s="32" t="n"/>
      <c r="P327" s="32" t="n"/>
      <c r="Q327" s="32" t="n"/>
      <c r="R327" s="32" t="n"/>
      <c r="S327" s="32" t="n"/>
      <c r="T327" s="32" t="n"/>
      <c r="U327" s="32" t="n"/>
      <c r="V327" s="32" t="n"/>
      <c r="W327" s="32" t="n"/>
      <c r="X327" s="32" t="n"/>
      <c r="Y327" s="32" t="n"/>
      <c r="Z327" s="32" t="n"/>
    </row>
    <row r="328">
      <c r="A328" s="32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  <c r="O328" s="32" t="n"/>
      <c r="P328" s="32" t="n"/>
      <c r="Q328" s="32" t="n"/>
      <c r="R328" s="32" t="n"/>
      <c r="S328" s="32" t="n"/>
      <c r="T328" s="32" t="n"/>
      <c r="U328" s="32" t="n"/>
      <c r="V328" s="32" t="n"/>
      <c r="W328" s="32" t="n"/>
      <c r="X328" s="32" t="n"/>
      <c r="Y328" s="32" t="n"/>
      <c r="Z328" s="32" t="n"/>
    </row>
    <row r="329">
      <c r="A329" s="32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  <c r="O329" s="32" t="n"/>
      <c r="P329" s="32" t="n"/>
      <c r="Q329" s="32" t="n"/>
      <c r="R329" s="32" t="n"/>
      <c r="S329" s="32" t="n"/>
      <c r="T329" s="32" t="n"/>
      <c r="U329" s="32" t="n"/>
      <c r="V329" s="32" t="n"/>
      <c r="W329" s="32" t="n"/>
      <c r="X329" s="32" t="n"/>
      <c r="Y329" s="32" t="n"/>
      <c r="Z329" s="32" t="n"/>
    </row>
    <row r="330">
      <c r="A330" s="32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  <c r="O330" s="32" t="n"/>
      <c r="P330" s="32" t="n"/>
      <c r="Q330" s="32" t="n"/>
      <c r="R330" s="32" t="n"/>
      <c r="S330" s="32" t="n"/>
      <c r="T330" s="32" t="n"/>
      <c r="U330" s="32" t="n"/>
      <c r="V330" s="32" t="n"/>
      <c r="W330" s="32" t="n"/>
      <c r="X330" s="32" t="n"/>
      <c r="Y330" s="32" t="n"/>
      <c r="Z330" s="32" t="n"/>
    </row>
    <row r="331">
      <c r="A331" s="32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2" t="n"/>
      <c r="W331" s="32" t="n"/>
      <c r="X331" s="32" t="n"/>
      <c r="Y331" s="32" t="n"/>
      <c r="Z331" s="32" t="n"/>
    </row>
    <row r="332">
      <c r="A332" s="32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  <c r="O332" s="32" t="n"/>
      <c r="P332" s="32" t="n"/>
      <c r="Q332" s="32" t="n"/>
      <c r="R332" s="32" t="n"/>
      <c r="S332" s="32" t="n"/>
      <c r="T332" s="32" t="n"/>
      <c r="U332" s="32" t="n"/>
      <c r="V332" s="32" t="n"/>
      <c r="W332" s="32" t="n"/>
      <c r="X332" s="32" t="n"/>
      <c r="Y332" s="32" t="n"/>
      <c r="Z332" s="32" t="n"/>
    </row>
    <row r="333">
      <c r="A333" s="32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  <c r="O333" s="32" t="n"/>
      <c r="P333" s="32" t="n"/>
      <c r="Q333" s="32" t="n"/>
      <c r="R333" s="32" t="n"/>
      <c r="S333" s="32" t="n"/>
      <c r="T333" s="32" t="n"/>
      <c r="U333" s="32" t="n"/>
      <c r="V333" s="32" t="n"/>
      <c r="W333" s="32" t="n"/>
      <c r="X333" s="32" t="n"/>
      <c r="Y333" s="32" t="n"/>
      <c r="Z333" s="32" t="n"/>
    </row>
    <row r="334">
      <c r="A334" s="32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  <c r="O334" s="32" t="n"/>
      <c r="P334" s="32" t="n"/>
      <c r="Q334" s="32" t="n"/>
      <c r="R334" s="32" t="n"/>
      <c r="S334" s="32" t="n"/>
      <c r="T334" s="32" t="n"/>
      <c r="U334" s="32" t="n"/>
      <c r="V334" s="32" t="n"/>
      <c r="W334" s="32" t="n"/>
      <c r="X334" s="32" t="n"/>
      <c r="Y334" s="32" t="n"/>
      <c r="Z334" s="32" t="n"/>
    </row>
    <row r="335">
      <c r="A335" s="32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  <c r="O335" s="32" t="n"/>
      <c r="P335" s="32" t="n"/>
      <c r="Q335" s="32" t="n"/>
      <c r="R335" s="32" t="n"/>
      <c r="S335" s="32" t="n"/>
      <c r="T335" s="32" t="n"/>
      <c r="U335" s="32" t="n"/>
      <c r="V335" s="32" t="n"/>
      <c r="W335" s="32" t="n"/>
      <c r="X335" s="32" t="n"/>
      <c r="Y335" s="32" t="n"/>
      <c r="Z335" s="32" t="n"/>
    </row>
    <row r="336">
      <c r="A336" s="32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  <c r="O336" s="32" t="n"/>
      <c r="P336" s="32" t="n"/>
      <c r="Q336" s="32" t="n"/>
      <c r="R336" s="32" t="n"/>
      <c r="S336" s="32" t="n"/>
      <c r="T336" s="32" t="n"/>
      <c r="U336" s="32" t="n"/>
      <c r="V336" s="32" t="n"/>
      <c r="W336" s="32" t="n"/>
      <c r="X336" s="32" t="n"/>
      <c r="Y336" s="32" t="n"/>
      <c r="Z336" s="32" t="n"/>
    </row>
    <row r="337">
      <c r="A337" s="32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Y337" s="32" t="n"/>
      <c r="Z337" s="32" t="n"/>
    </row>
    <row r="338">
      <c r="A338" s="32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Y338" s="32" t="n"/>
      <c r="Z338" s="32" t="n"/>
    </row>
    <row r="339">
      <c r="A339" s="32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  <c r="O339" s="32" t="n"/>
      <c r="P339" s="32" t="n"/>
      <c r="Q339" s="32" t="n"/>
      <c r="R339" s="32" t="n"/>
      <c r="S339" s="32" t="n"/>
      <c r="T339" s="32" t="n"/>
      <c r="U339" s="32" t="n"/>
      <c r="V339" s="32" t="n"/>
      <c r="W339" s="32" t="n"/>
      <c r="X339" s="32" t="n"/>
      <c r="Y339" s="32" t="n"/>
      <c r="Z339" s="32" t="n"/>
    </row>
    <row r="340">
      <c r="A340" s="32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  <c r="O340" s="32" t="n"/>
      <c r="P340" s="32" t="n"/>
      <c r="Q340" s="32" t="n"/>
      <c r="R340" s="32" t="n"/>
      <c r="S340" s="32" t="n"/>
      <c r="T340" s="32" t="n"/>
      <c r="U340" s="32" t="n"/>
      <c r="V340" s="32" t="n"/>
      <c r="W340" s="32" t="n"/>
      <c r="X340" s="32" t="n"/>
      <c r="Y340" s="32" t="n"/>
      <c r="Z340" s="32" t="n"/>
    </row>
    <row r="341">
      <c r="A341" s="32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  <c r="O341" s="32" t="n"/>
      <c r="P341" s="32" t="n"/>
      <c r="Q341" s="32" t="n"/>
      <c r="R341" s="32" t="n"/>
      <c r="S341" s="32" t="n"/>
      <c r="T341" s="32" t="n"/>
      <c r="U341" s="32" t="n"/>
      <c r="V341" s="32" t="n"/>
      <c r="W341" s="32" t="n"/>
      <c r="X341" s="32" t="n"/>
      <c r="Y341" s="32" t="n"/>
      <c r="Z341" s="32" t="n"/>
    </row>
    <row r="342">
      <c r="A342" s="32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  <c r="O342" s="32" t="n"/>
      <c r="P342" s="32" t="n"/>
      <c r="Q342" s="32" t="n"/>
      <c r="R342" s="32" t="n"/>
      <c r="S342" s="32" t="n"/>
      <c r="T342" s="32" t="n"/>
      <c r="U342" s="32" t="n"/>
      <c r="V342" s="32" t="n"/>
      <c r="W342" s="32" t="n"/>
      <c r="X342" s="32" t="n"/>
      <c r="Y342" s="32" t="n"/>
      <c r="Z342" s="32" t="n"/>
    </row>
    <row r="343">
      <c r="A343" s="32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  <c r="O343" s="32" t="n"/>
      <c r="P343" s="32" t="n"/>
      <c r="Q343" s="32" t="n"/>
      <c r="R343" s="32" t="n"/>
      <c r="S343" s="32" t="n"/>
      <c r="T343" s="32" t="n"/>
      <c r="U343" s="32" t="n"/>
      <c r="V343" s="32" t="n"/>
      <c r="W343" s="32" t="n"/>
      <c r="X343" s="32" t="n"/>
      <c r="Y343" s="32" t="n"/>
      <c r="Z343" s="32" t="n"/>
    </row>
    <row r="344">
      <c r="A344" s="32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  <c r="O344" s="32" t="n"/>
      <c r="P344" s="32" t="n"/>
      <c r="Q344" s="32" t="n"/>
      <c r="R344" s="32" t="n"/>
      <c r="S344" s="32" t="n"/>
      <c r="T344" s="32" t="n"/>
      <c r="U344" s="32" t="n"/>
      <c r="V344" s="32" t="n"/>
      <c r="W344" s="32" t="n"/>
      <c r="X344" s="32" t="n"/>
      <c r="Y344" s="32" t="n"/>
      <c r="Z344" s="32" t="n"/>
    </row>
    <row r="345">
      <c r="A345" s="32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  <c r="O345" s="32" t="n"/>
      <c r="P345" s="32" t="n"/>
      <c r="Q345" s="32" t="n"/>
      <c r="R345" s="32" t="n"/>
      <c r="S345" s="32" t="n"/>
      <c r="T345" s="32" t="n"/>
      <c r="U345" s="32" t="n"/>
      <c r="V345" s="32" t="n"/>
      <c r="W345" s="32" t="n"/>
      <c r="X345" s="32" t="n"/>
      <c r="Y345" s="32" t="n"/>
      <c r="Z345" s="32" t="n"/>
    </row>
    <row r="346">
      <c r="A346" s="32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2" t="n"/>
      <c r="W346" s="32" t="n"/>
      <c r="X346" s="32" t="n"/>
      <c r="Y346" s="32" t="n"/>
      <c r="Z346" s="32" t="n"/>
    </row>
    <row r="347">
      <c r="A347" s="32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  <c r="O347" s="32" t="n"/>
      <c r="P347" s="32" t="n"/>
      <c r="Q347" s="32" t="n"/>
      <c r="R347" s="32" t="n"/>
      <c r="S347" s="32" t="n"/>
      <c r="T347" s="32" t="n"/>
      <c r="U347" s="32" t="n"/>
      <c r="V347" s="32" t="n"/>
      <c r="W347" s="32" t="n"/>
      <c r="X347" s="32" t="n"/>
      <c r="Y347" s="32" t="n"/>
      <c r="Z347" s="32" t="n"/>
    </row>
    <row r="348">
      <c r="A348" s="32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  <c r="O348" s="32" t="n"/>
      <c r="P348" s="32" t="n"/>
      <c r="Q348" s="32" t="n"/>
      <c r="R348" s="32" t="n"/>
      <c r="S348" s="32" t="n"/>
      <c r="T348" s="32" t="n"/>
      <c r="U348" s="32" t="n"/>
      <c r="V348" s="32" t="n"/>
      <c r="W348" s="32" t="n"/>
      <c r="X348" s="32" t="n"/>
      <c r="Y348" s="32" t="n"/>
      <c r="Z348" s="32" t="n"/>
    </row>
    <row r="349">
      <c r="A349" s="32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  <c r="O349" s="32" t="n"/>
      <c r="P349" s="32" t="n"/>
      <c r="Q349" s="32" t="n"/>
      <c r="R349" s="32" t="n"/>
      <c r="S349" s="32" t="n"/>
      <c r="T349" s="32" t="n"/>
      <c r="U349" s="32" t="n"/>
      <c r="V349" s="32" t="n"/>
      <c r="W349" s="32" t="n"/>
      <c r="X349" s="32" t="n"/>
      <c r="Y349" s="32" t="n"/>
      <c r="Z349" s="32" t="n"/>
    </row>
    <row r="350">
      <c r="A350" s="32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  <c r="O350" s="32" t="n"/>
      <c r="P350" s="32" t="n"/>
      <c r="Q350" s="32" t="n"/>
      <c r="R350" s="32" t="n"/>
      <c r="S350" s="32" t="n"/>
      <c r="T350" s="32" t="n"/>
      <c r="U350" s="32" t="n"/>
      <c r="V350" s="32" t="n"/>
      <c r="W350" s="32" t="n"/>
      <c r="X350" s="32" t="n"/>
      <c r="Y350" s="32" t="n"/>
      <c r="Z350" s="32" t="n"/>
    </row>
    <row r="351">
      <c r="A351" s="32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  <c r="O351" s="32" t="n"/>
      <c r="P351" s="32" t="n"/>
      <c r="Q351" s="32" t="n"/>
      <c r="R351" s="32" t="n"/>
      <c r="S351" s="32" t="n"/>
      <c r="T351" s="32" t="n"/>
      <c r="U351" s="32" t="n"/>
      <c r="V351" s="32" t="n"/>
      <c r="W351" s="32" t="n"/>
      <c r="X351" s="32" t="n"/>
      <c r="Y351" s="32" t="n"/>
      <c r="Z351" s="32" t="n"/>
    </row>
    <row r="352">
      <c r="A352" s="32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  <c r="O352" s="32" t="n"/>
      <c r="P352" s="32" t="n"/>
      <c r="Q352" s="32" t="n"/>
      <c r="R352" s="32" t="n"/>
      <c r="S352" s="32" t="n"/>
      <c r="T352" s="32" t="n"/>
      <c r="U352" s="32" t="n"/>
      <c r="V352" s="32" t="n"/>
      <c r="W352" s="32" t="n"/>
      <c r="X352" s="32" t="n"/>
      <c r="Y352" s="32" t="n"/>
      <c r="Z352" s="32" t="n"/>
    </row>
    <row r="353">
      <c r="A353" s="32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  <c r="O353" s="32" t="n"/>
      <c r="P353" s="32" t="n"/>
      <c r="Q353" s="32" t="n"/>
      <c r="R353" s="32" t="n"/>
      <c r="S353" s="32" t="n"/>
      <c r="T353" s="32" t="n"/>
      <c r="U353" s="32" t="n"/>
      <c r="V353" s="32" t="n"/>
      <c r="W353" s="32" t="n"/>
      <c r="X353" s="32" t="n"/>
      <c r="Y353" s="32" t="n"/>
      <c r="Z353" s="32" t="n"/>
    </row>
    <row r="354">
      <c r="A354" s="32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  <c r="O354" s="32" t="n"/>
      <c r="P354" s="32" t="n"/>
      <c r="Q354" s="32" t="n"/>
      <c r="R354" s="32" t="n"/>
      <c r="S354" s="32" t="n"/>
      <c r="T354" s="32" t="n"/>
      <c r="U354" s="32" t="n"/>
      <c r="V354" s="32" t="n"/>
      <c r="W354" s="32" t="n"/>
      <c r="X354" s="32" t="n"/>
      <c r="Y354" s="32" t="n"/>
      <c r="Z354" s="32" t="n"/>
    </row>
    <row r="355">
      <c r="A355" s="32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  <c r="O355" s="32" t="n"/>
      <c r="P355" s="32" t="n"/>
      <c r="Q355" s="32" t="n"/>
      <c r="R355" s="32" t="n"/>
      <c r="S355" s="32" t="n"/>
      <c r="T355" s="32" t="n"/>
      <c r="U355" s="32" t="n"/>
      <c r="V355" s="32" t="n"/>
      <c r="W355" s="32" t="n"/>
      <c r="X355" s="32" t="n"/>
      <c r="Y355" s="32" t="n"/>
      <c r="Z355" s="32" t="n"/>
    </row>
    <row r="356">
      <c r="A356" s="32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  <c r="O356" s="32" t="n"/>
      <c r="P356" s="32" t="n"/>
      <c r="Q356" s="32" t="n"/>
      <c r="R356" s="32" t="n"/>
      <c r="S356" s="32" t="n"/>
      <c r="T356" s="32" t="n"/>
      <c r="U356" s="32" t="n"/>
      <c r="V356" s="32" t="n"/>
      <c r="W356" s="32" t="n"/>
      <c r="X356" s="32" t="n"/>
      <c r="Y356" s="32" t="n"/>
      <c r="Z356" s="32" t="n"/>
    </row>
    <row r="357">
      <c r="A357" s="32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  <c r="O357" s="32" t="n"/>
      <c r="P357" s="32" t="n"/>
      <c r="Q357" s="32" t="n"/>
      <c r="R357" s="32" t="n"/>
      <c r="S357" s="32" t="n"/>
      <c r="T357" s="32" t="n"/>
      <c r="U357" s="32" t="n"/>
      <c r="V357" s="32" t="n"/>
      <c r="W357" s="32" t="n"/>
      <c r="X357" s="32" t="n"/>
      <c r="Y357" s="32" t="n"/>
      <c r="Z357" s="32" t="n"/>
    </row>
    <row r="358">
      <c r="A358" s="32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  <c r="O358" s="32" t="n"/>
      <c r="P358" s="32" t="n"/>
      <c r="Q358" s="32" t="n"/>
      <c r="R358" s="32" t="n"/>
      <c r="S358" s="32" t="n"/>
      <c r="T358" s="32" t="n"/>
      <c r="U358" s="32" t="n"/>
      <c r="V358" s="32" t="n"/>
      <c r="W358" s="32" t="n"/>
      <c r="X358" s="32" t="n"/>
      <c r="Y358" s="32" t="n"/>
      <c r="Z358" s="32" t="n"/>
    </row>
    <row r="359">
      <c r="A359" s="32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  <c r="O359" s="32" t="n"/>
      <c r="P359" s="32" t="n"/>
      <c r="Q359" s="32" t="n"/>
      <c r="R359" s="32" t="n"/>
      <c r="S359" s="32" t="n"/>
      <c r="T359" s="32" t="n"/>
      <c r="U359" s="32" t="n"/>
      <c r="V359" s="32" t="n"/>
      <c r="W359" s="32" t="n"/>
      <c r="X359" s="32" t="n"/>
      <c r="Y359" s="32" t="n"/>
      <c r="Z359" s="32" t="n"/>
    </row>
    <row r="360">
      <c r="A360" s="32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  <c r="O360" s="32" t="n"/>
      <c r="P360" s="32" t="n"/>
      <c r="Q360" s="32" t="n"/>
      <c r="R360" s="32" t="n"/>
      <c r="S360" s="32" t="n"/>
      <c r="T360" s="32" t="n"/>
      <c r="U360" s="32" t="n"/>
      <c r="V360" s="32" t="n"/>
      <c r="W360" s="32" t="n"/>
      <c r="X360" s="32" t="n"/>
      <c r="Y360" s="32" t="n"/>
      <c r="Z360" s="32" t="n"/>
    </row>
    <row r="361">
      <c r="A361" s="32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2" t="n"/>
      <c r="W361" s="32" t="n"/>
      <c r="X361" s="32" t="n"/>
      <c r="Y361" s="32" t="n"/>
      <c r="Z361" s="32" t="n"/>
    </row>
    <row r="362">
      <c r="A362" s="32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  <c r="O362" s="32" t="n"/>
      <c r="P362" s="32" t="n"/>
      <c r="Q362" s="32" t="n"/>
      <c r="R362" s="32" t="n"/>
      <c r="S362" s="32" t="n"/>
      <c r="T362" s="32" t="n"/>
      <c r="U362" s="32" t="n"/>
      <c r="V362" s="32" t="n"/>
      <c r="W362" s="32" t="n"/>
      <c r="X362" s="32" t="n"/>
      <c r="Y362" s="32" t="n"/>
      <c r="Z362" s="32" t="n"/>
    </row>
    <row r="363">
      <c r="A363" s="32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  <c r="O363" s="32" t="n"/>
      <c r="P363" s="32" t="n"/>
      <c r="Q363" s="32" t="n"/>
      <c r="R363" s="32" t="n"/>
      <c r="S363" s="32" t="n"/>
      <c r="T363" s="32" t="n"/>
      <c r="U363" s="32" t="n"/>
      <c r="V363" s="32" t="n"/>
      <c r="W363" s="32" t="n"/>
      <c r="X363" s="32" t="n"/>
      <c r="Y363" s="32" t="n"/>
      <c r="Z363" s="32" t="n"/>
    </row>
    <row r="364">
      <c r="A364" s="32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  <c r="O364" s="32" t="n"/>
      <c r="P364" s="32" t="n"/>
      <c r="Q364" s="32" t="n"/>
      <c r="R364" s="32" t="n"/>
      <c r="S364" s="32" t="n"/>
      <c r="T364" s="32" t="n"/>
      <c r="U364" s="32" t="n"/>
      <c r="V364" s="32" t="n"/>
      <c r="W364" s="32" t="n"/>
      <c r="X364" s="32" t="n"/>
      <c r="Y364" s="32" t="n"/>
      <c r="Z364" s="32" t="n"/>
    </row>
    <row r="365">
      <c r="A365" s="32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  <c r="O365" s="32" t="n"/>
      <c r="P365" s="32" t="n"/>
      <c r="Q365" s="32" t="n"/>
      <c r="R365" s="32" t="n"/>
      <c r="S365" s="32" t="n"/>
      <c r="T365" s="32" t="n"/>
      <c r="U365" s="32" t="n"/>
      <c r="V365" s="32" t="n"/>
      <c r="W365" s="32" t="n"/>
      <c r="X365" s="32" t="n"/>
      <c r="Y365" s="32" t="n"/>
      <c r="Z365" s="32" t="n"/>
    </row>
    <row r="366">
      <c r="A366" s="32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  <c r="O366" s="32" t="n"/>
      <c r="P366" s="32" t="n"/>
      <c r="Q366" s="32" t="n"/>
      <c r="R366" s="32" t="n"/>
      <c r="S366" s="32" t="n"/>
      <c r="T366" s="32" t="n"/>
      <c r="U366" s="32" t="n"/>
      <c r="V366" s="32" t="n"/>
      <c r="W366" s="32" t="n"/>
      <c r="X366" s="32" t="n"/>
      <c r="Y366" s="32" t="n"/>
      <c r="Z366" s="32" t="n"/>
    </row>
    <row r="367">
      <c r="A367" s="32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  <c r="O367" s="32" t="n"/>
      <c r="P367" s="32" t="n"/>
      <c r="Q367" s="32" t="n"/>
      <c r="R367" s="32" t="n"/>
      <c r="S367" s="32" t="n"/>
      <c r="T367" s="32" t="n"/>
      <c r="U367" s="32" t="n"/>
      <c r="V367" s="32" t="n"/>
      <c r="W367" s="32" t="n"/>
      <c r="X367" s="32" t="n"/>
      <c r="Y367" s="32" t="n"/>
      <c r="Z367" s="32" t="n"/>
    </row>
    <row r="368">
      <c r="A368" s="32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  <c r="O368" s="32" t="n"/>
      <c r="P368" s="32" t="n"/>
      <c r="Q368" s="32" t="n"/>
      <c r="R368" s="32" t="n"/>
      <c r="S368" s="32" t="n"/>
      <c r="T368" s="32" t="n"/>
      <c r="U368" s="32" t="n"/>
      <c r="V368" s="32" t="n"/>
      <c r="W368" s="32" t="n"/>
      <c r="X368" s="32" t="n"/>
      <c r="Y368" s="32" t="n"/>
      <c r="Z368" s="32" t="n"/>
    </row>
    <row r="369">
      <c r="A369" s="32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  <c r="O369" s="32" t="n"/>
      <c r="P369" s="32" t="n"/>
      <c r="Q369" s="32" t="n"/>
      <c r="R369" s="32" t="n"/>
      <c r="S369" s="32" t="n"/>
      <c r="T369" s="32" t="n"/>
      <c r="U369" s="32" t="n"/>
      <c r="V369" s="32" t="n"/>
      <c r="W369" s="32" t="n"/>
      <c r="X369" s="32" t="n"/>
      <c r="Y369" s="32" t="n"/>
      <c r="Z369" s="32" t="n"/>
    </row>
    <row r="370">
      <c r="A370" s="32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  <c r="O370" s="32" t="n"/>
      <c r="P370" s="32" t="n"/>
      <c r="Q370" s="32" t="n"/>
      <c r="R370" s="32" t="n"/>
      <c r="S370" s="32" t="n"/>
      <c r="T370" s="32" t="n"/>
      <c r="U370" s="32" t="n"/>
      <c r="V370" s="32" t="n"/>
      <c r="W370" s="32" t="n"/>
      <c r="X370" s="32" t="n"/>
      <c r="Y370" s="32" t="n"/>
      <c r="Z370" s="32" t="n"/>
    </row>
    <row r="371">
      <c r="A371" s="32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  <c r="O371" s="32" t="n"/>
      <c r="P371" s="32" t="n"/>
      <c r="Q371" s="32" t="n"/>
      <c r="R371" s="32" t="n"/>
      <c r="S371" s="32" t="n"/>
      <c r="T371" s="32" t="n"/>
      <c r="U371" s="32" t="n"/>
      <c r="V371" s="32" t="n"/>
      <c r="W371" s="32" t="n"/>
      <c r="X371" s="32" t="n"/>
      <c r="Y371" s="32" t="n"/>
      <c r="Z371" s="32" t="n"/>
    </row>
    <row r="372">
      <c r="A372" s="32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  <c r="O372" s="32" t="n"/>
      <c r="P372" s="32" t="n"/>
      <c r="Q372" s="32" t="n"/>
      <c r="R372" s="32" t="n"/>
      <c r="S372" s="32" t="n"/>
      <c r="T372" s="32" t="n"/>
      <c r="U372" s="32" t="n"/>
      <c r="V372" s="32" t="n"/>
      <c r="W372" s="32" t="n"/>
      <c r="X372" s="32" t="n"/>
      <c r="Y372" s="32" t="n"/>
      <c r="Z372" s="32" t="n"/>
    </row>
    <row r="373">
      <c r="A373" s="32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  <c r="O373" s="32" t="n"/>
      <c r="P373" s="32" t="n"/>
      <c r="Q373" s="32" t="n"/>
      <c r="R373" s="32" t="n"/>
      <c r="S373" s="32" t="n"/>
      <c r="T373" s="32" t="n"/>
      <c r="U373" s="32" t="n"/>
      <c r="V373" s="32" t="n"/>
      <c r="W373" s="32" t="n"/>
      <c r="X373" s="32" t="n"/>
      <c r="Y373" s="32" t="n"/>
      <c r="Z373" s="32" t="n"/>
    </row>
    <row r="374">
      <c r="A374" s="32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  <c r="O374" s="32" t="n"/>
      <c r="P374" s="32" t="n"/>
      <c r="Q374" s="32" t="n"/>
      <c r="R374" s="32" t="n"/>
      <c r="S374" s="32" t="n"/>
      <c r="T374" s="32" t="n"/>
      <c r="U374" s="32" t="n"/>
      <c r="V374" s="32" t="n"/>
      <c r="W374" s="32" t="n"/>
      <c r="X374" s="32" t="n"/>
      <c r="Y374" s="32" t="n"/>
      <c r="Z374" s="32" t="n"/>
    </row>
    <row r="375">
      <c r="A375" s="32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  <c r="O375" s="32" t="n"/>
      <c r="P375" s="32" t="n"/>
      <c r="Q375" s="32" t="n"/>
      <c r="R375" s="32" t="n"/>
      <c r="S375" s="32" t="n"/>
      <c r="T375" s="32" t="n"/>
      <c r="U375" s="32" t="n"/>
      <c r="V375" s="32" t="n"/>
      <c r="W375" s="32" t="n"/>
      <c r="X375" s="32" t="n"/>
      <c r="Y375" s="32" t="n"/>
      <c r="Z375" s="32" t="n"/>
    </row>
    <row r="376">
      <c r="A376" s="32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Y376" s="32" t="n"/>
      <c r="Z376" s="32" t="n"/>
    </row>
    <row r="377">
      <c r="A377" s="32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Y377" s="32" t="n"/>
      <c r="Z377" s="32" t="n"/>
    </row>
    <row r="378">
      <c r="A378" s="32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  <c r="O378" s="32" t="n"/>
      <c r="P378" s="32" t="n"/>
      <c r="Q378" s="32" t="n"/>
      <c r="R378" s="32" t="n"/>
      <c r="S378" s="32" t="n"/>
      <c r="T378" s="32" t="n"/>
      <c r="U378" s="32" t="n"/>
      <c r="V378" s="32" t="n"/>
      <c r="W378" s="32" t="n"/>
      <c r="X378" s="32" t="n"/>
      <c r="Y378" s="32" t="n"/>
      <c r="Z378" s="32" t="n"/>
    </row>
    <row r="379">
      <c r="A379" s="32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  <c r="O379" s="32" t="n"/>
      <c r="P379" s="32" t="n"/>
      <c r="Q379" s="32" t="n"/>
      <c r="R379" s="32" t="n"/>
      <c r="S379" s="32" t="n"/>
      <c r="T379" s="32" t="n"/>
      <c r="U379" s="32" t="n"/>
      <c r="V379" s="32" t="n"/>
      <c r="W379" s="32" t="n"/>
      <c r="X379" s="32" t="n"/>
      <c r="Y379" s="32" t="n"/>
      <c r="Z379" s="32" t="n"/>
    </row>
    <row r="380">
      <c r="A380" s="32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  <c r="O380" s="32" t="n"/>
      <c r="P380" s="32" t="n"/>
      <c r="Q380" s="32" t="n"/>
      <c r="R380" s="32" t="n"/>
      <c r="S380" s="32" t="n"/>
      <c r="T380" s="32" t="n"/>
      <c r="U380" s="32" t="n"/>
      <c r="V380" s="32" t="n"/>
      <c r="W380" s="32" t="n"/>
      <c r="X380" s="32" t="n"/>
      <c r="Y380" s="32" t="n"/>
      <c r="Z380" s="32" t="n"/>
    </row>
    <row r="381">
      <c r="A381" s="32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  <c r="O381" s="32" t="n"/>
      <c r="P381" s="32" t="n"/>
      <c r="Q381" s="32" t="n"/>
      <c r="R381" s="32" t="n"/>
      <c r="S381" s="32" t="n"/>
      <c r="T381" s="32" t="n"/>
      <c r="U381" s="32" t="n"/>
      <c r="V381" s="32" t="n"/>
      <c r="W381" s="32" t="n"/>
      <c r="X381" s="32" t="n"/>
      <c r="Y381" s="32" t="n"/>
      <c r="Z381" s="32" t="n"/>
    </row>
    <row r="382">
      <c r="A382" s="32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  <c r="O382" s="32" t="n"/>
      <c r="P382" s="32" t="n"/>
      <c r="Q382" s="32" t="n"/>
      <c r="R382" s="32" t="n"/>
      <c r="S382" s="32" t="n"/>
      <c r="T382" s="32" t="n"/>
      <c r="U382" s="32" t="n"/>
      <c r="V382" s="32" t="n"/>
      <c r="W382" s="32" t="n"/>
      <c r="X382" s="32" t="n"/>
      <c r="Y382" s="32" t="n"/>
      <c r="Z382" s="32" t="n"/>
    </row>
    <row r="383">
      <c r="A383" s="32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  <c r="O383" s="32" t="n"/>
      <c r="P383" s="32" t="n"/>
      <c r="Q383" s="32" t="n"/>
      <c r="R383" s="32" t="n"/>
      <c r="S383" s="32" t="n"/>
      <c r="T383" s="32" t="n"/>
      <c r="U383" s="32" t="n"/>
      <c r="V383" s="32" t="n"/>
      <c r="W383" s="32" t="n"/>
      <c r="X383" s="32" t="n"/>
      <c r="Y383" s="32" t="n"/>
      <c r="Z383" s="32" t="n"/>
    </row>
    <row r="384">
      <c r="A384" s="32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  <c r="O384" s="32" t="n"/>
      <c r="P384" s="32" t="n"/>
      <c r="Q384" s="32" t="n"/>
      <c r="R384" s="32" t="n"/>
      <c r="S384" s="32" t="n"/>
      <c r="T384" s="32" t="n"/>
      <c r="U384" s="32" t="n"/>
      <c r="V384" s="32" t="n"/>
      <c r="W384" s="32" t="n"/>
      <c r="X384" s="32" t="n"/>
      <c r="Y384" s="32" t="n"/>
      <c r="Z384" s="32" t="n"/>
    </row>
    <row r="385">
      <c r="A385" s="32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  <c r="O385" s="32" t="n"/>
      <c r="P385" s="32" t="n"/>
      <c r="Q385" s="32" t="n"/>
      <c r="R385" s="32" t="n"/>
      <c r="S385" s="32" t="n"/>
      <c r="T385" s="32" t="n"/>
      <c r="U385" s="32" t="n"/>
      <c r="V385" s="32" t="n"/>
      <c r="W385" s="32" t="n"/>
      <c r="X385" s="32" t="n"/>
      <c r="Y385" s="32" t="n"/>
      <c r="Z385" s="32" t="n"/>
    </row>
    <row r="386">
      <c r="A386" s="32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  <c r="O386" s="32" t="n"/>
      <c r="P386" s="32" t="n"/>
      <c r="Q386" s="32" t="n"/>
      <c r="R386" s="32" t="n"/>
      <c r="S386" s="32" t="n"/>
      <c r="T386" s="32" t="n"/>
      <c r="U386" s="32" t="n"/>
      <c r="V386" s="32" t="n"/>
      <c r="W386" s="32" t="n"/>
      <c r="X386" s="32" t="n"/>
      <c r="Y386" s="32" t="n"/>
      <c r="Z386" s="32" t="n"/>
    </row>
    <row r="387">
      <c r="A387" s="32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  <c r="O387" s="32" t="n"/>
      <c r="P387" s="32" t="n"/>
      <c r="Q387" s="32" t="n"/>
      <c r="R387" s="32" t="n"/>
      <c r="S387" s="32" t="n"/>
      <c r="T387" s="32" t="n"/>
      <c r="U387" s="32" t="n"/>
      <c r="V387" s="32" t="n"/>
      <c r="W387" s="32" t="n"/>
      <c r="X387" s="32" t="n"/>
      <c r="Y387" s="32" t="n"/>
      <c r="Z387" s="32" t="n"/>
    </row>
    <row r="388">
      <c r="A388" s="32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  <c r="O388" s="32" t="n"/>
      <c r="P388" s="32" t="n"/>
      <c r="Q388" s="32" t="n"/>
      <c r="R388" s="32" t="n"/>
      <c r="S388" s="32" t="n"/>
      <c r="T388" s="32" t="n"/>
      <c r="U388" s="32" t="n"/>
      <c r="V388" s="32" t="n"/>
      <c r="W388" s="32" t="n"/>
      <c r="X388" s="32" t="n"/>
      <c r="Y388" s="32" t="n"/>
      <c r="Z388" s="32" t="n"/>
    </row>
    <row r="389">
      <c r="A389" s="32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  <c r="O389" s="32" t="n"/>
      <c r="P389" s="32" t="n"/>
      <c r="Q389" s="32" t="n"/>
      <c r="R389" s="32" t="n"/>
      <c r="S389" s="32" t="n"/>
      <c r="T389" s="32" t="n"/>
      <c r="U389" s="32" t="n"/>
      <c r="V389" s="32" t="n"/>
      <c r="W389" s="32" t="n"/>
      <c r="X389" s="32" t="n"/>
      <c r="Y389" s="32" t="n"/>
      <c r="Z389" s="32" t="n"/>
    </row>
    <row r="390">
      <c r="A390" s="32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  <c r="O390" s="32" t="n"/>
      <c r="P390" s="32" t="n"/>
      <c r="Q390" s="32" t="n"/>
      <c r="R390" s="32" t="n"/>
      <c r="S390" s="32" t="n"/>
      <c r="T390" s="32" t="n"/>
      <c r="U390" s="32" t="n"/>
      <c r="V390" s="32" t="n"/>
      <c r="W390" s="32" t="n"/>
      <c r="X390" s="32" t="n"/>
      <c r="Y390" s="32" t="n"/>
      <c r="Z390" s="32" t="n"/>
    </row>
    <row r="391">
      <c r="A391" s="32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2" t="n"/>
      <c r="W391" s="32" t="n"/>
      <c r="X391" s="32" t="n"/>
      <c r="Y391" s="32" t="n"/>
      <c r="Z391" s="32" t="n"/>
    </row>
    <row r="392">
      <c r="A392" s="32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  <c r="O392" s="32" t="n"/>
      <c r="P392" s="32" t="n"/>
      <c r="Q392" s="32" t="n"/>
      <c r="R392" s="32" t="n"/>
      <c r="S392" s="32" t="n"/>
      <c r="T392" s="32" t="n"/>
      <c r="U392" s="32" t="n"/>
      <c r="V392" s="32" t="n"/>
      <c r="W392" s="32" t="n"/>
      <c r="X392" s="32" t="n"/>
      <c r="Y392" s="32" t="n"/>
      <c r="Z392" s="32" t="n"/>
    </row>
    <row r="393">
      <c r="A393" s="32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  <c r="O393" s="32" t="n"/>
      <c r="P393" s="32" t="n"/>
      <c r="Q393" s="32" t="n"/>
      <c r="R393" s="32" t="n"/>
      <c r="S393" s="32" t="n"/>
      <c r="T393" s="32" t="n"/>
      <c r="U393" s="32" t="n"/>
      <c r="V393" s="32" t="n"/>
      <c r="W393" s="32" t="n"/>
      <c r="X393" s="32" t="n"/>
      <c r="Y393" s="32" t="n"/>
      <c r="Z393" s="32" t="n"/>
    </row>
    <row r="394">
      <c r="A394" s="32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  <c r="O394" s="32" t="n"/>
      <c r="P394" s="32" t="n"/>
      <c r="Q394" s="32" t="n"/>
      <c r="R394" s="32" t="n"/>
      <c r="S394" s="32" t="n"/>
      <c r="T394" s="32" t="n"/>
      <c r="U394" s="32" t="n"/>
      <c r="V394" s="32" t="n"/>
      <c r="W394" s="32" t="n"/>
      <c r="X394" s="32" t="n"/>
      <c r="Y394" s="32" t="n"/>
      <c r="Z394" s="32" t="n"/>
    </row>
    <row r="395">
      <c r="A395" s="32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  <c r="O395" s="32" t="n"/>
      <c r="P395" s="32" t="n"/>
      <c r="Q395" s="32" t="n"/>
      <c r="R395" s="32" t="n"/>
      <c r="S395" s="32" t="n"/>
      <c r="T395" s="32" t="n"/>
      <c r="U395" s="32" t="n"/>
      <c r="V395" s="32" t="n"/>
      <c r="W395" s="32" t="n"/>
      <c r="X395" s="32" t="n"/>
      <c r="Y395" s="32" t="n"/>
      <c r="Z395" s="32" t="n"/>
    </row>
    <row r="396">
      <c r="A396" s="32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  <c r="O396" s="32" t="n"/>
      <c r="P396" s="32" t="n"/>
      <c r="Q396" s="32" t="n"/>
      <c r="R396" s="32" t="n"/>
      <c r="S396" s="32" t="n"/>
      <c r="T396" s="32" t="n"/>
      <c r="U396" s="32" t="n"/>
      <c r="V396" s="32" t="n"/>
      <c r="W396" s="32" t="n"/>
      <c r="X396" s="32" t="n"/>
      <c r="Y396" s="32" t="n"/>
      <c r="Z396" s="32" t="n"/>
    </row>
    <row r="397">
      <c r="A397" s="32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  <c r="O397" s="32" t="n"/>
      <c r="P397" s="32" t="n"/>
      <c r="Q397" s="32" t="n"/>
      <c r="R397" s="32" t="n"/>
      <c r="S397" s="32" t="n"/>
      <c r="T397" s="32" t="n"/>
      <c r="U397" s="32" t="n"/>
      <c r="V397" s="32" t="n"/>
      <c r="W397" s="32" t="n"/>
      <c r="X397" s="32" t="n"/>
      <c r="Y397" s="32" t="n"/>
      <c r="Z397" s="32" t="n"/>
    </row>
    <row r="398">
      <c r="A398" s="32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  <c r="O398" s="32" t="n"/>
      <c r="P398" s="32" t="n"/>
      <c r="Q398" s="32" t="n"/>
      <c r="R398" s="32" t="n"/>
      <c r="S398" s="32" t="n"/>
      <c r="T398" s="32" t="n"/>
      <c r="U398" s="32" t="n"/>
      <c r="V398" s="32" t="n"/>
      <c r="W398" s="32" t="n"/>
      <c r="X398" s="32" t="n"/>
      <c r="Y398" s="32" t="n"/>
      <c r="Z398" s="32" t="n"/>
    </row>
    <row r="399">
      <c r="A399" s="32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  <c r="O399" s="32" t="n"/>
      <c r="P399" s="32" t="n"/>
      <c r="Q399" s="32" t="n"/>
      <c r="R399" s="32" t="n"/>
      <c r="S399" s="32" t="n"/>
      <c r="T399" s="32" t="n"/>
      <c r="U399" s="32" t="n"/>
      <c r="V399" s="32" t="n"/>
      <c r="W399" s="32" t="n"/>
      <c r="X399" s="32" t="n"/>
      <c r="Y399" s="32" t="n"/>
      <c r="Z399" s="32" t="n"/>
    </row>
    <row r="400">
      <c r="A400" s="32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  <c r="O400" s="32" t="n"/>
      <c r="P400" s="32" t="n"/>
      <c r="Q400" s="32" t="n"/>
      <c r="R400" s="32" t="n"/>
      <c r="S400" s="32" t="n"/>
      <c r="T400" s="32" t="n"/>
      <c r="U400" s="32" t="n"/>
      <c r="V400" s="32" t="n"/>
      <c r="W400" s="32" t="n"/>
      <c r="X400" s="32" t="n"/>
      <c r="Y400" s="32" t="n"/>
      <c r="Z400" s="32" t="n"/>
    </row>
    <row r="401">
      <c r="A401" s="32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  <c r="O401" s="32" t="n"/>
      <c r="P401" s="32" t="n"/>
      <c r="Q401" s="32" t="n"/>
      <c r="R401" s="32" t="n"/>
      <c r="S401" s="32" t="n"/>
      <c r="T401" s="32" t="n"/>
      <c r="U401" s="32" t="n"/>
      <c r="V401" s="32" t="n"/>
      <c r="W401" s="32" t="n"/>
      <c r="X401" s="32" t="n"/>
      <c r="Y401" s="32" t="n"/>
      <c r="Z401" s="32" t="n"/>
    </row>
    <row r="402">
      <c r="A402" s="32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  <c r="O402" s="32" t="n"/>
      <c r="P402" s="32" t="n"/>
      <c r="Q402" s="32" t="n"/>
      <c r="R402" s="32" t="n"/>
      <c r="S402" s="32" t="n"/>
      <c r="T402" s="32" t="n"/>
      <c r="U402" s="32" t="n"/>
      <c r="V402" s="32" t="n"/>
      <c r="W402" s="32" t="n"/>
      <c r="X402" s="32" t="n"/>
      <c r="Y402" s="32" t="n"/>
      <c r="Z402" s="32" t="n"/>
    </row>
    <row r="403">
      <c r="A403" s="32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  <c r="O403" s="32" t="n"/>
      <c r="P403" s="32" t="n"/>
      <c r="Q403" s="32" t="n"/>
      <c r="R403" s="32" t="n"/>
      <c r="S403" s="32" t="n"/>
      <c r="T403" s="32" t="n"/>
      <c r="U403" s="32" t="n"/>
      <c r="V403" s="32" t="n"/>
      <c r="W403" s="32" t="n"/>
      <c r="X403" s="32" t="n"/>
      <c r="Y403" s="32" t="n"/>
      <c r="Z403" s="32" t="n"/>
    </row>
    <row r="404">
      <c r="A404" s="32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  <c r="O404" s="32" t="n"/>
      <c r="P404" s="32" t="n"/>
      <c r="Q404" s="32" t="n"/>
      <c r="R404" s="32" t="n"/>
      <c r="S404" s="32" t="n"/>
      <c r="T404" s="32" t="n"/>
      <c r="U404" s="32" t="n"/>
      <c r="V404" s="32" t="n"/>
      <c r="W404" s="32" t="n"/>
      <c r="X404" s="32" t="n"/>
      <c r="Y404" s="32" t="n"/>
      <c r="Z404" s="32" t="n"/>
    </row>
    <row r="405">
      <c r="A405" s="32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  <c r="O405" s="32" t="n"/>
      <c r="P405" s="32" t="n"/>
      <c r="Q405" s="32" t="n"/>
      <c r="R405" s="32" t="n"/>
      <c r="S405" s="32" t="n"/>
      <c r="T405" s="32" t="n"/>
      <c r="U405" s="32" t="n"/>
      <c r="V405" s="32" t="n"/>
      <c r="W405" s="32" t="n"/>
      <c r="X405" s="32" t="n"/>
      <c r="Y405" s="32" t="n"/>
      <c r="Z405" s="32" t="n"/>
    </row>
    <row r="406">
      <c r="A406" s="32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2" t="n"/>
      <c r="W406" s="32" t="n"/>
      <c r="X406" s="32" t="n"/>
      <c r="Y406" s="32" t="n"/>
      <c r="Z406" s="32" t="n"/>
    </row>
    <row r="407">
      <c r="A407" s="32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  <c r="O407" s="32" t="n"/>
      <c r="P407" s="32" t="n"/>
      <c r="Q407" s="32" t="n"/>
      <c r="R407" s="32" t="n"/>
      <c r="S407" s="32" t="n"/>
      <c r="T407" s="32" t="n"/>
      <c r="U407" s="32" t="n"/>
      <c r="V407" s="32" t="n"/>
      <c r="W407" s="32" t="n"/>
      <c r="X407" s="32" t="n"/>
      <c r="Y407" s="32" t="n"/>
      <c r="Z407" s="32" t="n"/>
    </row>
    <row r="408">
      <c r="A408" s="32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  <c r="O408" s="32" t="n"/>
      <c r="P408" s="32" t="n"/>
      <c r="Q408" s="32" t="n"/>
      <c r="R408" s="32" t="n"/>
      <c r="S408" s="32" t="n"/>
      <c r="T408" s="32" t="n"/>
      <c r="U408" s="32" t="n"/>
      <c r="V408" s="32" t="n"/>
      <c r="W408" s="32" t="n"/>
      <c r="X408" s="32" t="n"/>
      <c r="Y408" s="32" t="n"/>
      <c r="Z408" s="32" t="n"/>
    </row>
    <row r="409">
      <c r="A409" s="32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  <c r="O409" s="32" t="n"/>
      <c r="P409" s="32" t="n"/>
      <c r="Q409" s="32" t="n"/>
      <c r="R409" s="32" t="n"/>
      <c r="S409" s="32" t="n"/>
      <c r="T409" s="32" t="n"/>
      <c r="U409" s="32" t="n"/>
      <c r="V409" s="32" t="n"/>
      <c r="W409" s="32" t="n"/>
      <c r="X409" s="32" t="n"/>
      <c r="Y409" s="32" t="n"/>
      <c r="Z409" s="32" t="n"/>
    </row>
    <row r="410">
      <c r="A410" s="32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  <c r="O410" s="32" t="n"/>
      <c r="P410" s="32" t="n"/>
      <c r="Q410" s="32" t="n"/>
      <c r="R410" s="32" t="n"/>
      <c r="S410" s="32" t="n"/>
      <c r="T410" s="32" t="n"/>
      <c r="U410" s="32" t="n"/>
      <c r="V410" s="32" t="n"/>
      <c r="W410" s="32" t="n"/>
      <c r="X410" s="32" t="n"/>
      <c r="Y410" s="32" t="n"/>
      <c r="Z410" s="32" t="n"/>
    </row>
    <row r="411">
      <c r="A411" s="32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  <c r="O411" s="32" t="n"/>
      <c r="P411" s="32" t="n"/>
      <c r="Q411" s="32" t="n"/>
      <c r="R411" s="32" t="n"/>
      <c r="S411" s="32" t="n"/>
      <c r="T411" s="32" t="n"/>
      <c r="U411" s="32" t="n"/>
      <c r="V411" s="32" t="n"/>
      <c r="W411" s="32" t="n"/>
      <c r="X411" s="32" t="n"/>
      <c r="Y411" s="32" t="n"/>
      <c r="Z411" s="32" t="n"/>
    </row>
    <row r="412">
      <c r="A412" s="32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  <c r="O412" s="32" t="n"/>
      <c r="P412" s="32" t="n"/>
      <c r="Q412" s="32" t="n"/>
      <c r="R412" s="32" t="n"/>
      <c r="S412" s="32" t="n"/>
      <c r="T412" s="32" t="n"/>
      <c r="U412" s="32" t="n"/>
      <c r="V412" s="32" t="n"/>
      <c r="W412" s="32" t="n"/>
      <c r="X412" s="32" t="n"/>
      <c r="Y412" s="32" t="n"/>
      <c r="Z412" s="32" t="n"/>
    </row>
    <row r="413">
      <c r="A413" s="32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  <c r="O413" s="32" t="n"/>
      <c r="P413" s="32" t="n"/>
      <c r="Q413" s="32" t="n"/>
      <c r="R413" s="32" t="n"/>
      <c r="S413" s="32" t="n"/>
      <c r="T413" s="32" t="n"/>
      <c r="U413" s="32" t="n"/>
      <c r="V413" s="32" t="n"/>
      <c r="W413" s="32" t="n"/>
      <c r="X413" s="32" t="n"/>
      <c r="Y413" s="32" t="n"/>
      <c r="Z413" s="32" t="n"/>
    </row>
    <row r="414">
      <c r="A414" s="32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  <c r="O414" s="32" t="n"/>
      <c r="P414" s="32" t="n"/>
      <c r="Q414" s="32" t="n"/>
      <c r="R414" s="32" t="n"/>
      <c r="S414" s="32" t="n"/>
      <c r="T414" s="32" t="n"/>
      <c r="U414" s="32" t="n"/>
      <c r="V414" s="32" t="n"/>
      <c r="W414" s="32" t="n"/>
      <c r="X414" s="32" t="n"/>
      <c r="Y414" s="32" t="n"/>
      <c r="Z414" s="32" t="n"/>
    </row>
    <row r="415">
      <c r="A415" s="32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  <c r="O415" s="32" t="n"/>
      <c r="P415" s="32" t="n"/>
      <c r="Q415" s="32" t="n"/>
      <c r="R415" s="32" t="n"/>
      <c r="S415" s="32" t="n"/>
      <c r="T415" s="32" t="n"/>
      <c r="U415" s="32" t="n"/>
      <c r="V415" s="32" t="n"/>
      <c r="W415" s="32" t="n"/>
      <c r="X415" s="32" t="n"/>
      <c r="Y415" s="32" t="n"/>
      <c r="Z415" s="32" t="n"/>
    </row>
    <row r="416">
      <c r="A416" s="32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  <c r="O416" s="32" t="n"/>
      <c r="P416" s="32" t="n"/>
      <c r="Q416" s="32" t="n"/>
      <c r="R416" s="32" t="n"/>
      <c r="S416" s="32" t="n"/>
      <c r="T416" s="32" t="n"/>
      <c r="U416" s="32" t="n"/>
      <c r="V416" s="32" t="n"/>
      <c r="W416" s="32" t="n"/>
      <c r="X416" s="32" t="n"/>
      <c r="Y416" s="32" t="n"/>
      <c r="Z416" s="32" t="n"/>
    </row>
    <row r="417">
      <c r="A417" s="32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  <c r="O417" s="32" t="n"/>
      <c r="P417" s="32" t="n"/>
      <c r="Q417" s="32" t="n"/>
      <c r="R417" s="32" t="n"/>
      <c r="S417" s="32" t="n"/>
      <c r="T417" s="32" t="n"/>
      <c r="U417" s="32" t="n"/>
      <c r="V417" s="32" t="n"/>
      <c r="W417" s="32" t="n"/>
      <c r="X417" s="32" t="n"/>
      <c r="Y417" s="32" t="n"/>
      <c r="Z417" s="32" t="n"/>
    </row>
    <row r="418">
      <c r="A418" s="32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  <c r="O418" s="32" t="n"/>
      <c r="P418" s="32" t="n"/>
      <c r="Q418" s="32" t="n"/>
      <c r="R418" s="32" t="n"/>
      <c r="S418" s="32" t="n"/>
      <c r="T418" s="32" t="n"/>
      <c r="U418" s="32" t="n"/>
      <c r="V418" s="32" t="n"/>
      <c r="W418" s="32" t="n"/>
      <c r="X418" s="32" t="n"/>
      <c r="Y418" s="32" t="n"/>
      <c r="Z418" s="32" t="n"/>
    </row>
    <row r="419">
      <c r="A419" s="32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  <c r="O419" s="32" t="n"/>
      <c r="P419" s="32" t="n"/>
      <c r="Q419" s="32" t="n"/>
      <c r="R419" s="32" t="n"/>
      <c r="S419" s="32" t="n"/>
      <c r="T419" s="32" t="n"/>
      <c r="U419" s="32" t="n"/>
      <c r="V419" s="32" t="n"/>
      <c r="W419" s="32" t="n"/>
      <c r="X419" s="32" t="n"/>
      <c r="Y419" s="32" t="n"/>
      <c r="Z419" s="32" t="n"/>
    </row>
    <row r="420">
      <c r="A420" s="32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  <c r="O420" s="32" t="n"/>
      <c r="P420" s="32" t="n"/>
      <c r="Q420" s="32" t="n"/>
      <c r="R420" s="32" t="n"/>
      <c r="S420" s="32" t="n"/>
      <c r="T420" s="32" t="n"/>
      <c r="U420" s="32" t="n"/>
      <c r="V420" s="32" t="n"/>
      <c r="W420" s="32" t="n"/>
      <c r="X420" s="32" t="n"/>
      <c r="Y420" s="32" t="n"/>
      <c r="Z420" s="32" t="n"/>
    </row>
    <row r="421">
      <c r="A421" s="32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2" t="n"/>
      <c r="W421" s="32" t="n"/>
      <c r="X421" s="32" t="n"/>
      <c r="Y421" s="32" t="n"/>
      <c r="Z421" s="32" t="n"/>
    </row>
    <row r="422">
      <c r="A422" s="32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  <c r="O422" s="32" t="n"/>
      <c r="P422" s="32" t="n"/>
      <c r="Q422" s="32" t="n"/>
      <c r="R422" s="32" t="n"/>
      <c r="S422" s="32" t="n"/>
      <c r="T422" s="32" t="n"/>
      <c r="U422" s="32" t="n"/>
      <c r="V422" s="32" t="n"/>
      <c r="W422" s="32" t="n"/>
      <c r="X422" s="32" t="n"/>
      <c r="Y422" s="32" t="n"/>
      <c r="Z422" s="32" t="n"/>
    </row>
    <row r="423">
      <c r="A423" s="32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  <c r="O423" s="32" t="n"/>
      <c r="P423" s="32" t="n"/>
      <c r="Q423" s="32" t="n"/>
      <c r="R423" s="32" t="n"/>
      <c r="S423" s="32" t="n"/>
      <c r="T423" s="32" t="n"/>
      <c r="U423" s="32" t="n"/>
      <c r="V423" s="32" t="n"/>
      <c r="W423" s="32" t="n"/>
      <c r="X423" s="32" t="n"/>
      <c r="Y423" s="32" t="n"/>
      <c r="Z423" s="32" t="n"/>
    </row>
    <row r="424">
      <c r="A424" s="32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  <c r="O424" s="32" t="n"/>
      <c r="P424" s="32" t="n"/>
      <c r="Q424" s="32" t="n"/>
      <c r="R424" s="32" t="n"/>
      <c r="S424" s="32" t="n"/>
      <c r="T424" s="32" t="n"/>
      <c r="U424" s="32" t="n"/>
      <c r="V424" s="32" t="n"/>
      <c r="W424" s="32" t="n"/>
      <c r="X424" s="32" t="n"/>
      <c r="Y424" s="32" t="n"/>
      <c r="Z424" s="32" t="n"/>
    </row>
    <row r="425">
      <c r="A425" s="32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  <c r="O425" s="32" t="n"/>
      <c r="P425" s="32" t="n"/>
      <c r="Q425" s="32" t="n"/>
      <c r="R425" s="32" t="n"/>
      <c r="S425" s="32" t="n"/>
      <c r="T425" s="32" t="n"/>
      <c r="U425" s="32" t="n"/>
      <c r="V425" s="32" t="n"/>
      <c r="W425" s="32" t="n"/>
      <c r="X425" s="32" t="n"/>
      <c r="Y425" s="32" t="n"/>
      <c r="Z425" s="32" t="n"/>
    </row>
    <row r="426">
      <c r="A426" s="32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  <c r="O426" s="32" t="n"/>
      <c r="P426" s="32" t="n"/>
      <c r="Q426" s="32" t="n"/>
      <c r="R426" s="32" t="n"/>
      <c r="S426" s="32" t="n"/>
      <c r="T426" s="32" t="n"/>
      <c r="U426" s="32" t="n"/>
      <c r="V426" s="32" t="n"/>
      <c r="W426" s="32" t="n"/>
      <c r="X426" s="32" t="n"/>
      <c r="Y426" s="32" t="n"/>
      <c r="Z426" s="32" t="n"/>
    </row>
    <row r="427">
      <c r="A427" s="32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  <c r="O427" s="32" t="n"/>
      <c r="P427" s="32" t="n"/>
      <c r="Q427" s="32" t="n"/>
      <c r="R427" s="32" t="n"/>
      <c r="S427" s="32" t="n"/>
      <c r="T427" s="32" t="n"/>
      <c r="U427" s="32" t="n"/>
      <c r="V427" s="32" t="n"/>
      <c r="W427" s="32" t="n"/>
      <c r="X427" s="32" t="n"/>
      <c r="Y427" s="32" t="n"/>
      <c r="Z427" s="32" t="n"/>
    </row>
    <row r="428">
      <c r="A428" s="32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  <c r="O428" s="32" t="n"/>
      <c r="P428" s="32" t="n"/>
      <c r="Q428" s="32" t="n"/>
      <c r="R428" s="32" t="n"/>
      <c r="S428" s="32" t="n"/>
      <c r="T428" s="32" t="n"/>
      <c r="U428" s="32" t="n"/>
      <c r="V428" s="32" t="n"/>
      <c r="W428" s="32" t="n"/>
      <c r="X428" s="32" t="n"/>
      <c r="Y428" s="32" t="n"/>
      <c r="Z428" s="32" t="n"/>
    </row>
    <row r="429">
      <c r="A429" s="32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  <c r="O429" s="32" t="n"/>
      <c r="P429" s="32" t="n"/>
      <c r="Q429" s="32" t="n"/>
      <c r="R429" s="32" t="n"/>
      <c r="S429" s="32" t="n"/>
      <c r="T429" s="32" t="n"/>
      <c r="U429" s="32" t="n"/>
      <c r="V429" s="32" t="n"/>
      <c r="W429" s="32" t="n"/>
      <c r="X429" s="32" t="n"/>
      <c r="Y429" s="32" t="n"/>
      <c r="Z429" s="32" t="n"/>
    </row>
    <row r="430">
      <c r="A430" s="32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  <c r="O430" s="32" t="n"/>
      <c r="P430" s="32" t="n"/>
      <c r="Q430" s="32" t="n"/>
      <c r="R430" s="32" t="n"/>
      <c r="S430" s="32" t="n"/>
      <c r="T430" s="32" t="n"/>
      <c r="U430" s="32" t="n"/>
      <c r="V430" s="32" t="n"/>
      <c r="W430" s="32" t="n"/>
      <c r="X430" s="32" t="n"/>
      <c r="Y430" s="32" t="n"/>
      <c r="Z430" s="32" t="n"/>
    </row>
    <row r="431">
      <c r="A431" s="32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  <c r="O431" s="32" t="n"/>
      <c r="P431" s="32" t="n"/>
      <c r="Q431" s="32" t="n"/>
      <c r="R431" s="32" t="n"/>
      <c r="S431" s="32" t="n"/>
      <c r="T431" s="32" t="n"/>
      <c r="U431" s="32" t="n"/>
      <c r="V431" s="32" t="n"/>
      <c r="W431" s="32" t="n"/>
      <c r="X431" s="32" t="n"/>
      <c r="Y431" s="32" t="n"/>
      <c r="Z431" s="32" t="n"/>
    </row>
    <row r="432">
      <c r="A432" s="32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  <c r="O432" s="32" t="n"/>
      <c r="P432" s="32" t="n"/>
      <c r="Q432" s="32" t="n"/>
      <c r="R432" s="32" t="n"/>
      <c r="S432" s="32" t="n"/>
      <c r="T432" s="32" t="n"/>
      <c r="U432" s="32" t="n"/>
      <c r="V432" s="32" t="n"/>
      <c r="W432" s="32" t="n"/>
      <c r="X432" s="32" t="n"/>
      <c r="Y432" s="32" t="n"/>
      <c r="Z432" s="32" t="n"/>
    </row>
    <row r="433">
      <c r="A433" s="32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  <c r="O433" s="32" t="n"/>
      <c r="P433" s="32" t="n"/>
      <c r="Q433" s="32" t="n"/>
      <c r="R433" s="32" t="n"/>
      <c r="S433" s="32" t="n"/>
      <c r="T433" s="32" t="n"/>
      <c r="U433" s="32" t="n"/>
      <c r="V433" s="32" t="n"/>
      <c r="W433" s="32" t="n"/>
      <c r="X433" s="32" t="n"/>
      <c r="Y433" s="32" t="n"/>
      <c r="Z433" s="32" t="n"/>
    </row>
    <row r="434">
      <c r="A434" s="32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  <c r="O434" s="32" t="n"/>
      <c r="P434" s="32" t="n"/>
      <c r="Q434" s="32" t="n"/>
      <c r="R434" s="32" t="n"/>
      <c r="S434" s="32" t="n"/>
      <c r="T434" s="32" t="n"/>
      <c r="U434" s="32" t="n"/>
      <c r="V434" s="32" t="n"/>
      <c r="W434" s="32" t="n"/>
      <c r="X434" s="32" t="n"/>
      <c r="Y434" s="32" t="n"/>
      <c r="Z434" s="32" t="n"/>
    </row>
    <row r="435">
      <c r="A435" s="32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  <c r="O435" s="32" t="n"/>
      <c r="P435" s="32" t="n"/>
      <c r="Q435" s="32" t="n"/>
      <c r="R435" s="32" t="n"/>
      <c r="S435" s="32" t="n"/>
      <c r="T435" s="32" t="n"/>
      <c r="U435" s="32" t="n"/>
      <c r="V435" s="32" t="n"/>
      <c r="W435" s="32" t="n"/>
      <c r="X435" s="32" t="n"/>
      <c r="Y435" s="32" t="n"/>
      <c r="Z435" s="32" t="n"/>
    </row>
    <row r="436">
      <c r="A436" s="32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2" t="n"/>
      <c r="W436" s="32" t="n"/>
      <c r="X436" s="32" t="n"/>
      <c r="Y436" s="32" t="n"/>
      <c r="Z436" s="32" t="n"/>
    </row>
    <row r="437">
      <c r="A437" s="32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  <c r="O437" s="32" t="n"/>
      <c r="P437" s="32" t="n"/>
      <c r="Q437" s="32" t="n"/>
      <c r="R437" s="32" t="n"/>
      <c r="S437" s="32" t="n"/>
      <c r="T437" s="32" t="n"/>
      <c r="U437" s="32" t="n"/>
      <c r="V437" s="32" t="n"/>
      <c r="W437" s="32" t="n"/>
      <c r="X437" s="32" t="n"/>
      <c r="Y437" s="32" t="n"/>
      <c r="Z437" s="32" t="n"/>
    </row>
    <row r="438">
      <c r="A438" s="32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  <c r="O438" s="32" t="n"/>
      <c r="P438" s="32" t="n"/>
      <c r="Q438" s="32" t="n"/>
      <c r="R438" s="32" t="n"/>
      <c r="S438" s="32" t="n"/>
      <c r="T438" s="32" t="n"/>
      <c r="U438" s="32" t="n"/>
      <c r="V438" s="32" t="n"/>
      <c r="W438" s="32" t="n"/>
      <c r="X438" s="32" t="n"/>
      <c r="Y438" s="32" t="n"/>
      <c r="Z438" s="32" t="n"/>
    </row>
    <row r="439">
      <c r="A439" s="32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  <c r="O439" s="32" t="n"/>
      <c r="P439" s="32" t="n"/>
      <c r="Q439" s="32" t="n"/>
      <c r="R439" s="32" t="n"/>
      <c r="S439" s="32" t="n"/>
      <c r="T439" s="32" t="n"/>
      <c r="U439" s="32" t="n"/>
      <c r="V439" s="32" t="n"/>
      <c r="W439" s="32" t="n"/>
      <c r="X439" s="32" t="n"/>
      <c r="Y439" s="32" t="n"/>
      <c r="Z439" s="32" t="n"/>
    </row>
    <row r="440">
      <c r="A440" s="32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  <c r="O440" s="32" t="n"/>
      <c r="P440" s="32" t="n"/>
      <c r="Q440" s="32" t="n"/>
      <c r="R440" s="32" t="n"/>
      <c r="S440" s="32" t="n"/>
      <c r="T440" s="32" t="n"/>
      <c r="U440" s="32" t="n"/>
      <c r="V440" s="32" t="n"/>
      <c r="W440" s="32" t="n"/>
      <c r="X440" s="32" t="n"/>
      <c r="Y440" s="32" t="n"/>
      <c r="Z440" s="32" t="n"/>
    </row>
    <row r="441">
      <c r="A441" s="32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  <c r="O441" s="32" t="n"/>
      <c r="P441" s="32" t="n"/>
      <c r="Q441" s="32" t="n"/>
      <c r="R441" s="32" t="n"/>
      <c r="S441" s="32" t="n"/>
      <c r="T441" s="32" t="n"/>
      <c r="U441" s="32" t="n"/>
      <c r="V441" s="32" t="n"/>
      <c r="W441" s="32" t="n"/>
      <c r="X441" s="32" t="n"/>
      <c r="Y441" s="32" t="n"/>
      <c r="Z441" s="32" t="n"/>
    </row>
    <row r="442">
      <c r="A442" s="32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  <c r="O442" s="32" t="n"/>
      <c r="P442" s="32" t="n"/>
      <c r="Q442" s="32" t="n"/>
      <c r="R442" s="32" t="n"/>
      <c r="S442" s="32" t="n"/>
      <c r="T442" s="32" t="n"/>
      <c r="U442" s="32" t="n"/>
      <c r="V442" s="32" t="n"/>
      <c r="W442" s="32" t="n"/>
      <c r="X442" s="32" t="n"/>
      <c r="Y442" s="32" t="n"/>
      <c r="Z442" s="32" t="n"/>
    </row>
    <row r="443">
      <c r="A443" s="32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  <c r="O443" s="32" t="n"/>
      <c r="P443" s="32" t="n"/>
      <c r="Q443" s="32" t="n"/>
      <c r="R443" s="32" t="n"/>
      <c r="S443" s="32" t="n"/>
      <c r="T443" s="32" t="n"/>
      <c r="U443" s="32" t="n"/>
      <c r="V443" s="32" t="n"/>
      <c r="W443" s="32" t="n"/>
      <c r="X443" s="32" t="n"/>
      <c r="Y443" s="32" t="n"/>
      <c r="Z443" s="32" t="n"/>
    </row>
    <row r="444">
      <c r="A444" s="32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  <c r="O444" s="32" t="n"/>
      <c r="P444" s="32" t="n"/>
      <c r="Q444" s="32" t="n"/>
      <c r="R444" s="32" t="n"/>
      <c r="S444" s="32" t="n"/>
      <c r="T444" s="32" t="n"/>
      <c r="U444" s="32" t="n"/>
      <c r="V444" s="32" t="n"/>
      <c r="W444" s="32" t="n"/>
      <c r="X444" s="32" t="n"/>
      <c r="Y444" s="32" t="n"/>
      <c r="Z444" s="32" t="n"/>
    </row>
    <row r="445">
      <c r="A445" s="32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  <c r="O445" s="32" t="n"/>
      <c r="P445" s="32" t="n"/>
      <c r="Q445" s="32" t="n"/>
      <c r="R445" s="32" t="n"/>
      <c r="S445" s="32" t="n"/>
      <c r="T445" s="32" t="n"/>
      <c r="U445" s="32" t="n"/>
      <c r="V445" s="32" t="n"/>
      <c r="W445" s="32" t="n"/>
      <c r="X445" s="32" t="n"/>
      <c r="Y445" s="32" t="n"/>
      <c r="Z445" s="32" t="n"/>
    </row>
    <row r="446">
      <c r="A446" s="32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  <c r="O446" s="32" t="n"/>
      <c r="P446" s="32" t="n"/>
      <c r="Q446" s="32" t="n"/>
      <c r="R446" s="32" t="n"/>
      <c r="S446" s="32" t="n"/>
      <c r="T446" s="32" t="n"/>
      <c r="U446" s="32" t="n"/>
      <c r="V446" s="32" t="n"/>
      <c r="W446" s="32" t="n"/>
      <c r="X446" s="32" t="n"/>
      <c r="Y446" s="32" t="n"/>
      <c r="Z446" s="32" t="n"/>
    </row>
    <row r="447">
      <c r="A447" s="32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  <c r="O447" s="32" t="n"/>
      <c r="P447" s="32" t="n"/>
      <c r="Q447" s="32" t="n"/>
      <c r="R447" s="32" t="n"/>
      <c r="S447" s="32" t="n"/>
      <c r="T447" s="32" t="n"/>
      <c r="U447" s="32" t="n"/>
      <c r="V447" s="32" t="n"/>
      <c r="W447" s="32" t="n"/>
      <c r="X447" s="32" t="n"/>
      <c r="Y447" s="32" t="n"/>
      <c r="Z447" s="32" t="n"/>
    </row>
    <row r="448">
      <c r="A448" s="32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  <c r="O448" s="32" t="n"/>
      <c r="P448" s="32" t="n"/>
      <c r="Q448" s="32" t="n"/>
      <c r="R448" s="32" t="n"/>
      <c r="S448" s="32" t="n"/>
      <c r="T448" s="32" t="n"/>
      <c r="U448" s="32" t="n"/>
      <c r="V448" s="32" t="n"/>
      <c r="W448" s="32" t="n"/>
      <c r="X448" s="32" t="n"/>
      <c r="Y448" s="32" t="n"/>
      <c r="Z448" s="32" t="n"/>
    </row>
    <row r="449">
      <c r="A449" s="32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  <c r="O449" s="32" t="n"/>
      <c r="P449" s="32" t="n"/>
      <c r="Q449" s="32" t="n"/>
      <c r="R449" s="32" t="n"/>
      <c r="S449" s="32" t="n"/>
      <c r="T449" s="32" t="n"/>
      <c r="U449" s="32" t="n"/>
      <c r="V449" s="32" t="n"/>
      <c r="W449" s="32" t="n"/>
      <c r="X449" s="32" t="n"/>
      <c r="Y449" s="32" t="n"/>
      <c r="Z449" s="32" t="n"/>
    </row>
    <row r="450">
      <c r="A450" s="32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  <c r="O450" s="32" t="n"/>
      <c r="P450" s="32" t="n"/>
      <c r="Q450" s="32" t="n"/>
      <c r="R450" s="32" t="n"/>
      <c r="S450" s="32" t="n"/>
      <c r="T450" s="32" t="n"/>
      <c r="U450" s="32" t="n"/>
      <c r="V450" s="32" t="n"/>
      <c r="W450" s="32" t="n"/>
      <c r="X450" s="32" t="n"/>
      <c r="Y450" s="32" t="n"/>
      <c r="Z450" s="32" t="n"/>
    </row>
    <row r="451">
      <c r="A451" s="32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2" t="n"/>
      <c r="W451" s="32" t="n"/>
      <c r="X451" s="32" t="n"/>
      <c r="Y451" s="32" t="n"/>
      <c r="Z451" s="32" t="n"/>
    </row>
    <row r="452">
      <c r="A452" s="32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  <c r="O452" s="32" t="n"/>
      <c r="P452" s="32" t="n"/>
      <c r="Q452" s="32" t="n"/>
      <c r="R452" s="32" t="n"/>
      <c r="S452" s="32" t="n"/>
      <c r="T452" s="32" t="n"/>
      <c r="U452" s="32" t="n"/>
      <c r="V452" s="32" t="n"/>
      <c r="W452" s="32" t="n"/>
      <c r="X452" s="32" t="n"/>
      <c r="Y452" s="32" t="n"/>
      <c r="Z452" s="32" t="n"/>
    </row>
    <row r="453">
      <c r="A453" s="32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  <c r="O453" s="32" t="n"/>
      <c r="P453" s="32" t="n"/>
      <c r="Q453" s="32" t="n"/>
      <c r="R453" s="32" t="n"/>
      <c r="S453" s="32" t="n"/>
      <c r="T453" s="32" t="n"/>
      <c r="U453" s="32" t="n"/>
      <c r="V453" s="32" t="n"/>
      <c r="W453" s="32" t="n"/>
      <c r="X453" s="32" t="n"/>
      <c r="Y453" s="32" t="n"/>
      <c r="Z453" s="32" t="n"/>
    </row>
    <row r="454">
      <c r="A454" s="32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  <c r="O454" s="32" t="n"/>
      <c r="P454" s="32" t="n"/>
      <c r="Q454" s="32" t="n"/>
      <c r="R454" s="32" t="n"/>
      <c r="S454" s="32" t="n"/>
      <c r="T454" s="32" t="n"/>
      <c r="U454" s="32" t="n"/>
      <c r="V454" s="32" t="n"/>
      <c r="W454" s="32" t="n"/>
      <c r="X454" s="32" t="n"/>
      <c r="Y454" s="32" t="n"/>
      <c r="Z454" s="32" t="n"/>
    </row>
    <row r="455">
      <c r="A455" s="32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  <c r="O455" s="32" t="n"/>
      <c r="P455" s="32" t="n"/>
      <c r="Q455" s="32" t="n"/>
      <c r="R455" s="32" t="n"/>
      <c r="S455" s="32" t="n"/>
      <c r="T455" s="32" t="n"/>
      <c r="U455" s="32" t="n"/>
      <c r="V455" s="32" t="n"/>
      <c r="W455" s="32" t="n"/>
      <c r="X455" s="32" t="n"/>
      <c r="Y455" s="32" t="n"/>
      <c r="Z455" s="32" t="n"/>
    </row>
    <row r="456">
      <c r="A456" s="32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  <c r="O456" s="32" t="n"/>
      <c r="P456" s="32" t="n"/>
      <c r="Q456" s="32" t="n"/>
      <c r="R456" s="32" t="n"/>
      <c r="S456" s="32" t="n"/>
      <c r="T456" s="32" t="n"/>
      <c r="U456" s="32" t="n"/>
      <c r="V456" s="32" t="n"/>
      <c r="W456" s="32" t="n"/>
      <c r="X456" s="32" t="n"/>
      <c r="Y456" s="32" t="n"/>
      <c r="Z456" s="32" t="n"/>
    </row>
    <row r="457">
      <c r="A457" s="32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  <c r="O457" s="32" t="n"/>
      <c r="P457" s="32" t="n"/>
      <c r="Q457" s="32" t="n"/>
      <c r="R457" s="32" t="n"/>
      <c r="S457" s="32" t="n"/>
      <c r="T457" s="32" t="n"/>
      <c r="U457" s="32" t="n"/>
      <c r="V457" s="32" t="n"/>
      <c r="W457" s="32" t="n"/>
      <c r="X457" s="32" t="n"/>
      <c r="Y457" s="32" t="n"/>
      <c r="Z457" s="32" t="n"/>
    </row>
    <row r="458">
      <c r="A458" s="32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  <c r="O458" s="32" t="n"/>
      <c r="P458" s="32" t="n"/>
      <c r="Q458" s="32" t="n"/>
      <c r="R458" s="32" t="n"/>
      <c r="S458" s="32" t="n"/>
      <c r="T458" s="32" t="n"/>
      <c r="U458" s="32" t="n"/>
      <c r="V458" s="32" t="n"/>
      <c r="W458" s="32" t="n"/>
      <c r="X458" s="32" t="n"/>
      <c r="Y458" s="32" t="n"/>
      <c r="Z458" s="32" t="n"/>
    </row>
    <row r="459">
      <c r="A459" s="32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  <c r="O459" s="32" t="n"/>
      <c r="P459" s="32" t="n"/>
      <c r="Q459" s="32" t="n"/>
      <c r="R459" s="32" t="n"/>
      <c r="S459" s="32" t="n"/>
      <c r="T459" s="32" t="n"/>
      <c r="U459" s="32" t="n"/>
      <c r="V459" s="32" t="n"/>
      <c r="W459" s="32" t="n"/>
      <c r="X459" s="32" t="n"/>
      <c r="Y459" s="32" t="n"/>
      <c r="Z459" s="32" t="n"/>
    </row>
    <row r="460">
      <c r="A460" s="32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  <c r="O460" s="32" t="n"/>
      <c r="P460" s="32" t="n"/>
      <c r="Q460" s="32" t="n"/>
      <c r="R460" s="32" t="n"/>
      <c r="S460" s="32" t="n"/>
      <c r="T460" s="32" t="n"/>
      <c r="U460" s="32" t="n"/>
      <c r="V460" s="32" t="n"/>
      <c r="W460" s="32" t="n"/>
      <c r="X460" s="32" t="n"/>
      <c r="Y460" s="32" t="n"/>
      <c r="Z460" s="32" t="n"/>
    </row>
    <row r="461">
      <c r="A461" s="32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  <c r="O461" s="32" t="n"/>
      <c r="P461" s="32" t="n"/>
      <c r="Q461" s="32" t="n"/>
      <c r="R461" s="32" t="n"/>
      <c r="S461" s="32" t="n"/>
      <c r="T461" s="32" t="n"/>
      <c r="U461" s="32" t="n"/>
      <c r="V461" s="32" t="n"/>
      <c r="W461" s="32" t="n"/>
      <c r="X461" s="32" t="n"/>
      <c r="Y461" s="32" t="n"/>
      <c r="Z461" s="32" t="n"/>
    </row>
    <row r="462">
      <c r="A462" s="32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  <c r="O462" s="32" t="n"/>
      <c r="P462" s="32" t="n"/>
      <c r="Q462" s="32" t="n"/>
      <c r="R462" s="32" t="n"/>
      <c r="S462" s="32" t="n"/>
      <c r="T462" s="32" t="n"/>
      <c r="U462" s="32" t="n"/>
      <c r="V462" s="32" t="n"/>
      <c r="W462" s="32" t="n"/>
      <c r="X462" s="32" t="n"/>
      <c r="Y462" s="32" t="n"/>
      <c r="Z462" s="32" t="n"/>
    </row>
    <row r="463">
      <c r="A463" s="32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  <c r="O463" s="32" t="n"/>
      <c r="P463" s="32" t="n"/>
      <c r="Q463" s="32" t="n"/>
      <c r="R463" s="32" t="n"/>
      <c r="S463" s="32" t="n"/>
      <c r="T463" s="32" t="n"/>
      <c r="U463" s="32" t="n"/>
      <c r="V463" s="32" t="n"/>
      <c r="W463" s="32" t="n"/>
      <c r="X463" s="32" t="n"/>
      <c r="Y463" s="32" t="n"/>
      <c r="Z463" s="32" t="n"/>
    </row>
    <row r="464">
      <c r="A464" s="32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  <c r="O464" s="32" t="n"/>
      <c r="P464" s="32" t="n"/>
      <c r="Q464" s="32" t="n"/>
      <c r="R464" s="32" t="n"/>
      <c r="S464" s="32" t="n"/>
      <c r="T464" s="32" t="n"/>
      <c r="U464" s="32" t="n"/>
      <c r="V464" s="32" t="n"/>
      <c r="W464" s="32" t="n"/>
      <c r="X464" s="32" t="n"/>
      <c r="Y464" s="32" t="n"/>
      <c r="Z464" s="32" t="n"/>
    </row>
    <row r="465">
      <c r="A465" s="32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  <c r="O465" s="32" t="n"/>
      <c r="P465" s="32" t="n"/>
      <c r="Q465" s="32" t="n"/>
      <c r="R465" s="32" t="n"/>
      <c r="S465" s="32" t="n"/>
      <c r="T465" s="32" t="n"/>
      <c r="U465" s="32" t="n"/>
      <c r="V465" s="32" t="n"/>
      <c r="W465" s="32" t="n"/>
      <c r="X465" s="32" t="n"/>
      <c r="Y465" s="32" t="n"/>
      <c r="Z465" s="32" t="n"/>
    </row>
    <row r="466">
      <c r="A466" s="32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2" t="n"/>
      <c r="W466" s="32" t="n"/>
      <c r="X466" s="32" t="n"/>
      <c r="Y466" s="32" t="n"/>
      <c r="Z466" s="32" t="n"/>
    </row>
    <row r="467">
      <c r="A467" s="32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  <c r="O467" s="32" t="n"/>
      <c r="P467" s="32" t="n"/>
      <c r="Q467" s="32" t="n"/>
      <c r="R467" s="32" t="n"/>
      <c r="S467" s="32" t="n"/>
      <c r="T467" s="32" t="n"/>
      <c r="U467" s="32" t="n"/>
      <c r="V467" s="32" t="n"/>
      <c r="W467" s="32" t="n"/>
      <c r="X467" s="32" t="n"/>
      <c r="Y467" s="32" t="n"/>
      <c r="Z467" s="32" t="n"/>
    </row>
    <row r="468">
      <c r="A468" s="32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  <c r="O468" s="32" t="n"/>
      <c r="P468" s="32" t="n"/>
      <c r="Q468" s="32" t="n"/>
      <c r="R468" s="32" t="n"/>
      <c r="S468" s="32" t="n"/>
      <c r="T468" s="32" t="n"/>
      <c r="U468" s="32" t="n"/>
      <c r="V468" s="32" t="n"/>
      <c r="W468" s="32" t="n"/>
      <c r="X468" s="32" t="n"/>
      <c r="Y468" s="32" t="n"/>
      <c r="Z468" s="32" t="n"/>
    </row>
    <row r="469">
      <c r="A469" s="32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  <c r="O469" s="32" t="n"/>
      <c r="P469" s="32" t="n"/>
      <c r="Q469" s="32" t="n"/>
      <c r="R469" s="32" t="n"/>
      <c r="S469" s="32" t="n"/>
      <c r="T469" s="32" t="n"/>
      <c r="U469" s="32" t="n"/>
      <c r="V469" s="32" t="n"/>
      <c r="W469" s="32" t="n"/>
      <c r="X469" s="32" t="n"/>
      <c r="Y469" s="32" t="n"/>
      <c r="Z469" s="32" t="n"/>
    </row>
    <row r="470">
      <c r="A470" s="32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  <c r="O470" s="32" t="n"/>
      <c r="P470" s="32" t="n"/>
      <c r="Q470" s="32" t="n"/>
      <c r="R470" s="32" t="n"/>
      <c r="S470" s="32" t="n"/>
      <c r="T470" s="32" t="n"/>
      <c r="U470" s="32" t="n"/>
      <c r="V470" s="32" t="n"/>
      <c r="W470" s="32" t="n"/>
      <c r="X470" s="32" t="n"/>
      <c r="Y470" s="32" t="n"/>
      <c r="Z470" s="32" t="n"/>
    </row>
    <row r="471">
      <c r="A471" s="32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  <c r="O471" s="32" t="n"/>
      <c r="P471" s="32" t="n"/>
      <c r="Q471" s="32" t="n"/>
      <c r="R471" s="32" t="n"/>
      <c r="S471" s="32" t="n"/>
      <c r="T471" s="32" t="n"/>
      <c r="U471" s="32" t="n"/>
      <c r="V471" s="32" t="n"/>
      <c r="W471" s="32" t="n"/>
      <c r="X471" s="32" t="n"/>
      <c r="Y471" s="32" t="n"/>
      <c r="Z471" s="32" t="n"/>
    </row>
    <row r="472">
      <c r="A472" s="32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  <c r="O472" s="32" t="n"/>
      <c r="P472" s="32" t="n"/>
      <c r="Q472" s="32" t="n"/>
      <c r="R472" s="32" t="n"/>
      <c r="S472" s="32" t="n"/>
      <c r="T472" s="32" t="n"/>
      <c r="U472" s="32" t="n"/>
      <c r="V472" s="32" t="n"/>
      <c r="W472" s="32" t="n"/>
      <c r="X472" s="32" t="n"/>
      <c r="Y472" s="32" t="n"/>
      <c r="Z472" s="32" t="n"/>
    </row>
    <row r="473">
      <c r="A473" s="32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  <c r="O473" s="32" t="n"/>
      <c r="P473" s="32" t="n"/>
      <c r="Q473" s="32" t="n"/>
      <c r="R473" s="32" t="n"/>
      <c r="S473" s="32" t="n"/>
      <c r="T473" s="32" t="n"/>
      <c r="U473" s="32" t="n"/>
      <c r="V473" s="32" t="n"/>
      <c r="W473" s="32" t="n"/>
      <c r="X473" s="32" t="n"/>
      <c r="Y473" s="32" t="n"/>
      <c r="Z473" s="32" t="n"/>
    </row>
    <row r="474">
      <c r="A474" s="32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  <c r="O474" s="32" t="n"/>
      <c r="P474" s="32" t="n"/>
      <c r="Q474" s="32" t="n"/>
      <c r="R474" s="32" t="n"/>
      <c r="S474" s="32" t="n"/>
      <c r="T474" s="32" t="n"/>
      <c r="U474" s="32" t="n"/>
      <c r="V474" s="32" t="n"/>
      <c r="W474" s="32" t="n"/>
      <c r="X474" s="32" t="n"/>
      <c r="Y474" s="32" t="n"/>
      <c r="Z474" s="32" t="n"/>
    </row>
    <row r="475">
      <c r="A475" s="32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  <c r="O475" s="32" t="n"/>
      <c r="P475" s="32" t="n"/>
      <c r="Q475" s="32" t="n"/>
      <c r="R475" s="32" t="n"/>
      <c r="S475" s="32" t="n"/>
      <c r="T475" s="32" t="n"/>
      <c r="U475" s="32" t="n"/>
      <c r="V475" s="32" t="n"/>
      <c r="W475" s="32" t="n"/>
      <c r="X475" s="32" t="n"/>
      <c r="Y475" s="32" t="n"/>
      <c r="Z475" s="32" t="n"/>
    </row>
    <row r="476">
      <c r="A476" s="32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  <c r="O476" s="32" t="n"/>
      <c r="P476" s="32" t="n"/>
      <c r="Q476" s="32" t="n"/>
      <c r="R476" s="32" t="n"/>
      <c r="S476" s="32" t="n"/>
      <c r="T476" s="32" t="n"/>
      <c r="U476" s="32" t="n"/>
      <c r="V476" s="32" t="n"/>
      <c r="W476" s="32" t="n"/>
      <c r="X476" s="32" t="n"/>
      <c r="Y476" s="32" t="n"/>
      <c r="Z476" s="32" t="n"/>
    </row>
    <row r="477">
      <c r="A477" s="32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  <c r="O477" s="32" t="n"/>
      <c r="P477" s="32" t="n"/>
      <c r="Q477" s="32" t="n"/>
      <c r="R477" s="32" t="n"/>
      <c r="S477" s="32" t="n"/>
      <c r="T477" s="32" t="n"/>
      <c r="U477" s="32" t="n"/>
      <c r="V477" s="32" t="n"/>
      <c r="W477" s="32" t="n"/>
      <c r="X477" s="32" t="n"/>
      <c r="Y477" s="32" t="n"/>
      <c r="Z477" s="32" t="n"/>
    </row>
    <row r="478">
      <c r="A478" s="32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  <c r="O478" s="32" t="n"/>
      <c r="P478" s="32" t="n"/>
      <c r="Q478" s="32" t="n"/>
      <c r="R478" s="32" t="n"/>
      <c r="S478" s="32" t="n"/>
      <c r="T478" s="32" t="n"/>
      <c r="U478" s="32" t="n"/>
      <c r="V478" s="32" t="n"/>
      <c r="W478" s="32" t="n"/>
      <c r="X478" s="32" t="n"/>
      <c r="Y478" s="32" t="n"/>
      <c r="Z478" s="32" t="n"/>
    </row>
    <row r="479">
      <c r="A479" s="32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  <c r="O479" s="32" t="n"/>
      <c r="P479" s="32" t="n"/>
      <c r="Q479" s="32" t="n"/>
      <c r="R479" s="32" t="n"/>
      <c r="S479" s="32" t="n"/>
      <c r="T479" s="32" t="n"/>
      <c r="U479" s="32" t="n"/>
      <c r="V479" s="32" t="n"/>
      <c r="W479" s="32" t="n"/>
      <c r="X479" s="32" t="n"/>
      <c r="Y479" s="32" t="n"/>
      <c r="Z479" s="32" t="n"/>
    </row>
    <row r="480">
      <c r="A480" s="32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  <c r="O480" s="32" t="n"/>
      <c r="P480" s="32" t="n"/>
      <c r="Q480" s="32" t="n"/>
      <c r="R480" s="32" t="n"/>
      <c r="S480" s="32" t="n"/>
      <c r="T480" s="32" t="n"/>
      <c r="U480" s="32" t="n"/>
      <c r="V480" s="32" t="n"/>
      <c r="W480" s="32" t="n"/>
      <c r="X480" s="32" t="n"/>
      <c r="Y480" s="32" t="n"/>
      <c r="Z480" s="32" t="n"/>
    </row>
    <row r="481">
      <c r="A481" s="32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2" t="n"/>
      <c r="W481" s="32" t="n"/>
      <c r="X481" s="32" t="n"/>
      <c r="Y481" s="32" t="n"/>
      <c r="Z481" s="32" t="n"/>
    </row>
    <row r="482">
      <c r="A482" s="32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  <c r="O482" s="32" t="n"/>
      <c r="P482" s="32" t="n"/>
      <c r="Q482" s="32" t="n"/>
      <c r="R482" s="32" t="n"/>
      <c r="S482" s="32" t="n"/>
      <c r="T482" s="32" t="n"/>
      <c r="U482" s="32" t="n"/>
      <c r="V482" s="32" t="n"/>
      <c r="W482" s="32" t="n"/>
      <c r="X482" s="32" t="n"/>
      <c r="Y482" s="32" t="n"/>
      <c r="Z482" s="32" t="n"/>
    </row>
    <row r="483">
      <c r="A483" s="32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  <c r="O483" s="32" t="n"/>
      <c r="P483" s="32" t="n"/>
      <c r="Q483" s="32" t="n"/>
      <c r="R483" s="32" t="n"/>
      <c r="S483" s="32" t="n"/>
      <c r="T483" s="32" t="n"/>
      <c r="U483" s="32" t="n"/>
      <c r="V483" s="32" t="n"/>
      <c r="W483" s="32" t="n"/>
      <c r="X483" s="32" t="n"/>
      <c r="Y483" s="32" t="n"/>
      <c r="Z483" s="32" t="n"/>
    </row>
    <row r="484">
      <c r="A484" s="32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  <c r="O484" s="32" t="n"/>
      <c r="P484" s="32" t="n"/>
      <c r="Q484" s="32" t="n"/>
      <c r="R484" s="32" t="n"/>
      <c r="S484" s="32" t="n"/>
      <c r="T484" s="32" t="n"/>
      <c r="U484" s="32" t="n"/>
      <c r="V484" s="32" t="n"/>
      <c r="W484" s="32" t="n"/>
      <c r="X484" s="32" t="n"/>
      <c r="Y484" s="32" t="n"/>
      <c r="Z484" s="32" t="n"/>
    </row>
    <row r="485">
      <c r="A485" s="32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  <c r="O485" s="32" t="n"/>
      <c r="P485" s="32" t="n"/>
      <c r="Q485" s="32" t="n"/>
      <c r="R485" s="32" t="n"/>
      <c r="S485" s="32" t="n"/>
      <c r="T485" s="32" t="n"/>
      <c r="U485" s="32" t="n"/>
      <c r="V485" s="32" t="n"/>
      <c r="W485" s="32" t="n"/>
      <c r="X485" s="32" t="n"/>
      <c r="Y485" s="32" t="n"/>
      <c r="Z485" s="32" t="n"/>
    </row>
    <row r="486">
      <c r="A486" s="32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  <c r="O486" s="32" t="n"/>
      <c r="P486" s="32" t="n"/>
      <c r="Q486" s="32" t="n"/>
      <c r="R486" s="32" t="n"/>
      <c r="S486" s="32" t="n"/>
      <c r="T486" s="32" t="n"/>
      <c r="U486" s="32" t="n"/>
      <c r="V486" s="32" t="n"/>
      <c r="W486" s="32" t="n"/>
      <c r="X486" s="32" t="n"/>
      <c r="Y486" s="32" t="n"/>
      <c r="Z486" s="32" t="n"/>
    </row>
    <row r="487">
      <c r="A487" s="32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  <c r="O487" s="32" t="n"/>
      <c r="P487" s="32" t="n"/>
      <c r="Q487" s="32" t="n"/>
      <c r="R487" s="32" t="n"/>
      <c r="S487" s="32" t="n"/>
      <c r="T487" s="32" t="n"/>
      <c r="U487" s="32" t="n"/>
      <c r="V487" s="32" t="n"/>
      <c r="W487" s="32" t="n"/>
      <c r="X487" s="32" t="n"/>
      <c r="Y487" s="32" t="n"/>
      <c r="Z487" s="32" t="n"/>
    </row>
    <row r="488">
      <c r="A488" s="32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  <c r="O488" s="32" t="n"/>
      <c r="P488" s="32" t="n"/>
      <c r="Q488" s="32" t="n"/>
      <c r="R488" s="32" t="n"/>
      <c r="S488" s="32" t="n"/>
      <c r="T488" s="32" t="n"/>
      <c r="U488" s="32" t="n"/>
      <c r="V488" s="32" t="n"/>
      <c r="W488" s="32" t="n"/>
      <c r="X488" s="32" t="n"/>
      <c r="Y488" s="32" t="n"/>
      <c r="Z488" s="32" t="n"/>
    </row>
    <row r="489">
      <c r="A489" s="32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  <c r="O489" s="32" t="n"/>
      <c r="P489" s="32" t="n"/>
      <c r="Q489" s="32" t="n"/>
      <c r="R489" s="32" t="n"/>
      <c r="S489" s="32" t="n"/>
      <c r="T489" s="32" t="n"/>
      <c r="U489" s="32" t="n"/>
      <c r="V489" s="32" t="n"/>
      <c r="W489" s="32" t="n"/>
      <c r="X489" s="32" t="n"/>
      <c r="Y489" s="32" t="n"/>
      <c r="Z489" s="32" t="n"/>
    </row>
    <row r="490">
      <c r="A490" s="32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  <c r="O490" s="32" t="n"/>
      <c r="P490" s="32" t="n"/>
      <c r="Q490" s="32" t="n"/>
      <c r="R490" s="32" t="n"/>
      <c r="S490" s="32" t="n"/>
      <c r="T490" s="32" t="n"/>
      <c r="U490" s="32" t="n"/>
      <c r="V490" s="32" t="n"/>
      <c r="W490" s="32" t="n"/>
      <c r="X490" s="32" t="n"/>
      <c r="Y490" s="32" t="n"/>
      <c r="Z490" s="32" t="n"/>
    </row>
    <row r="491">
      <c r="A491" s="32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  <c r="O491" s="32" t="n"/>
      <c r="P491" s="32" t="n"/>
      <c r="Q491" s="32" t="n"/>
      <c r="R491" s="32" t="n"/>
      <c r="S491" s="32" t="n"/>
      <c r="T491" s="32" t="n"/>
      <c r="U491" s="32" t="n"/>
      <c r="V491" s="32" t="n"/>
      <c r="W491" s="32" t="n"/>
      <c r="X491" s="32" t="n"/>
      <c r="Y491" s="32" t="n"/>
      <c r="Z491" s="32" t="n"/>
    </row>
    <row r="492">
      <c r="A492" s="32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  <c r="O492" s="32" t="n"/>
      <c r="P492" s="32" t="n"/>
      <c r="Q492" s="32" t="n"/>
      <c r="R492" s="32" t="n"/>
      <c r="S492" s="32" t="n"/>
      <c r="T492" s="32" t="n"/>
      <c r="U492" s="32" t="n"/>
      <c r="V492" s="32" t="n"/>
      <c r="W492" s="32" t="n"/>
      <c r="X492" s="32" t="n"/>
      <c r="Y492" s="32" t="n"/>
      <c r="Z492" s="32" t="n"/>
    </row>
    <row r="493">
      <c r="A493" s="32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  <c r="O493" s="32" t="n"/>
      <c r="P493" s="32" t="n"/>
      <c r="Q493" s="32" t="n"/>
      <c r="R493" s="32" t="n"/>
      <c r="S493" s="32" t="n"/>
      <c r="T493" s="32" t="n"/>
      <c r="U493" s="32" t="n"/>
      <c r="V493" s="32" t="n"/>
      <c r="W493" s="32" t="n"/>
      <c r="X493" s="32" t="n"/>
      <c r="Y493" s="32" t="n"/>
      <c r="Z493" s="32" t="n"/>
    </row>
    <row r="494">
      <c r="A494" s="32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  <c r="O494" s="32" t="n"/>
      <c r="P494" s="32" t="n"/>
      <c r="Q494" s="32" t="n"/>
      <c r="R494" s="32" t="n"/>
      <c r="S494" s="32" t="n"/>
      <c r="T494" s="32" t="n"/>
      <c r="U494" s="32" t="n"/>
      <c r="V494" s="32" t="n"/>
      <c r="W494" s="32" t="n"/>
      <c r="X494" s="32" t="n"/>
      <c r="Y494" s="32" t="n"/>
      <c r="Z494" s="32" t="n"/>
    </row>
    <row r="495">
      <c r="A495" s="32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  <c r="O495" s="32" t="n"/>
      <c r="P495" s="32" t="n"/>
      <c r="Q495" s="32" t="n"/>
      <c r="R495" s="32" t="n"/>
      <c r="S495" s="32" t="n"/>
      <c r="T495" s="32" t="n"/>
      <c r="U495" s="32" t="n"/>
      <c r="V495" s="32" t="n"/>
      <c r="W495" s="32" t="n"/>
      <c r="X495" s="32" t="n"/>
      <c r="Y495" s="32" t="n"/>
      <c r="Z495" s="32" t="n"/>
    </row>
    <row r="496">
      <c r="A496" s="32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2" t="n"/>
      <c r="W496" s="32" t="n"/>
      <c r="X496" s="32" t="n"/>
      <c r="Y496" s="32" t="n"/>
      <c r="Z496" s="32" t="n"/>
    </row>
    <row r="497">
      <c r="A497" s="32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  <c r="O497" s="32" t="n"/>
      <c r="P497" s="32" t="n"/>
      <c r="Q497" s="32" t="n"/>
      <c r="R497" s="32" t="n"/>
      <c r="S497" s="32" t="n"/>
      <c r="T497" s="32" t="n"/>
      <c r="U497" s="32" t="n"/>
      <c r="V497" s="32" t="n"/>
      <c r="W497" s="32" t="n"/>
      <c r="X497" s="32" t="n"/>
      <c r="Y497" s="32" t="n"/>
      <c r="Z497" s="32" t="n"/>
    </row>
    <row r="498">
      <c r="A498" s="32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  <c r="O498" s="32" t="n"/>
      <c r="P498" s="32" t="n"/>
      <c r="Q498" s="32" t="n"/>
      <c r="R498" s="32" t="n"/>
      <c r="S498" s="32" t="n"/>
      <c r="T498" s="32" t="n"/>
      <c r="U498" s="32" t="n"/>
      <c r="V498" s="32" t="n"/>
      <c r="W498" s="32" t="n"/>
      <c r="X498" s="32" t="n"/>
      <c r="Y498" s="32" t="n"/>
      <c r="Z498" s="32" t="n"/>
    </row>
    <row r="499">
      <c r="A499" s="32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  <c r="O499" s="32" t="n"/>
      <c r="P499" s="32" t="n"/>
      <c r="Q499" s="32" t="n"/>
      <c r="R499" s="32" t="n"/>
      <c r="S499" s="32" t="n"/>
      <c r="T499" s="32" t="n"/>
      <c r="U499" s="32" t="n"/>
      <c r="V499" s="32" t="n"/>
      <c r="W499" s="32" t="n"/>
      <c r="X499" s="32" t="n"/>
      <c r="Y499" s="32" t="n"/>
      <c r="Z499" s="32" t="n"/>
    </row>
    <row r="500">
      <c r="A500" s="32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  <c r="O500" s="32" t="n"/>
      <c r="P500" s="32" t="n"/>
      <c r="Q500" s="32" t="n"/>
      <c r="R500" s="32" t="n"/>
      <c r="S500" s="32" t="n"/>
      <c r="T500" s="32" t="n"/>
      <c r="U500" s="32" t="n"/>
      <c r="V500" s="32" t="n"/>
      <c r="W500" s="32" t="n"/>
      <c r="X500" s="32" t="n"/>
      <c r="Y500" s="32" t="n"/>
      <c r="Z500" s="32" t="n"/>
    </row>
    <row r="501">
      <c r="A501" s="32" t="n"/>
      <c r="B501" s="32" t="n"/>
      <c r="C501" s="32" t="n"/>
      <c r="D501" s="32" t="n"/>
      <c r="E501" s="32" t="n"/>
      <c r="F501" s="32" t="n"/>
      <c r="G501" s="32" t="n"/>
      <c r="H501" s="32" t="n"/>
      <c r="I501" s="32" t="n"/>
      <c r="J501" s="32" t="n"/>
      <c r="K501" s="32" t="n"/>
      <c r="L501" s="32" t="n"/>
      <c r="M501" s="32" t="n"/>
      <c r="N501" s="32" t="n"/>
      <c r="O501" s="32" t="n"/>
      <c r="P501" s="32" t="n"/>
      <c r="Q501" s="32" t="n"/>
      <c r="R501" s="32" t="n"/>
      <c r="S501" s="32" t="n"/>
      <c r="T501" s="32" t="n"/>
      <c r="U501" s="32" t="n"/>
      <c r="V501" s="32" t="n"/>
      <c r="W501" s="32" t="n"/>
      <c r="X501" s="32" t="n"/>
      <c r="Y501" s="32" t="n"/>
      <c r="Z501" s="32" t="n"/>
    </row>
    <row r="502">
      <c r="A502" s="32" t="n"/>
      <c r="B502" s="32" t="n"/>
      <c r="C502" s="32" t="n"/>
      <c r="D502" s="32" t="n"/>
      <c r="E502" s="32" t="n"/>
      <c r="F502" s="32" t="n"/>
      <c r="G502" s="32" t="n"/>
      <c r="H502" s="32" t="n"/>
      <c r="I502" s="32" t="n"/>
      <c r="J502" s="32" t="n"/>
      <c r="K502" s="32" t="n"/>
      <c r="L502" s="32" t="n"/>
      <c r="M502" s="32" t="n"/>
      <c r="N502" s="32" t="n"/>
      <c r="O502" s="32" t="n"/>
      <c r="P502" s="32" t="n"/>
      <c r="Q502" s="32" t="n"/>
      <c r="R502" s="32" t="n"/>
      <c r="S502" s="32" t="n"/>
      <c r="T502" s="32" t="n"/>
      <c r="U502" s="32" t="n"/>
      <c r="V502" s="32" t="n"/>
      <c r="W502" s="32" t="n"/>
      <c r="X502" s="32" t="n"/>
      <c r="Y502" s="32" t="n"/>
      <c r="Z502" s="32" t="n"/>
    </row>
    <row r="503">
      <c r="A503" s="32" t="n"/>
      <c r="B503" s="32" t="n"/>
      <c r="C503" s="32" t="n"/>
      <c r="D503" s="32" t="n"/>
      <c r="E503" s="32" t="n"/>
      <c r="F503" s="32" t="n"/>
      <c r="G503" s="32" t="n"/>
      <c r="H503" s="32" t="n"/>
      <c r="I503" s="32" t="n"/>
      <c r="J503" s="32" t="n"/>
      <c r="K503" s="32" t="n"/>
      <c r="L503" s="32" t="n"/>
      <c r="M503" s="32" t="n"/>
      <c r="N503" s="32" t="n"/>
      <c r="O503" s="32" t="n"/>
      <c r="P503" s="32" t="n"/>
      <c r="Q503" s="32" t="n"/>
      <c r="R503" s="32" t="n"/>
      <c r="S503" s="32" t="n"/>
      <c r="T503" s="32" t="n"/>
      <c r="U503" s="32" t="n"/>
      <c r="V503" s="32" t="n"/>
      <c r="W503" s="32" t="n"/>
      <c r="X503" s="32" t="n"/>
      <c r="Y503" s="32" t="n"/>
      <c r="Z503" s="32" t="n"/>
    </row>
    <row r="504">
      <c r="A504" s="32" t="n"/>
      <c r="B504" s="32" t="n"/>
      <c r="C504" s="32" t="n"/>
      <c r="D504" s="32" t="n"/>
      <c r="E504" s="32" t="n"/>
      <c r="F504" s="32" t="n"/>
      <c r="G504" s="32" t="n"/>
      <c r="H504" s="32" t="n"/>
      <c r="I504" s="32" t="n"/>
      <c r="J504" s="32" t="n"/>
      <c r="K504" s="32" t="n"/>
      <c r="L504" s="32" t="n"/>
      <c r="M504" s="32" t="n"/>
      <c r="N504" s="32" t="n"/>
      <c r="O504" s="32" t="n"/>
      <c r="P504" s="32" t="n"/>
      <c r="Q504" s="32" t="n"/>
      <c r="R504" s="32" t="n"/>
      <c r="S504" s="32" t="n"/>
      <c r="T504" s="32" t="n"/>
      <c r="U504" s="32" t="n"/>
      <c r="V504" s="32" t="n"/>
      <c r="W504" s="32" t="n"/>
      <c r="X504" s="32" t="n"/>
      <c r="Y504" s="32" t="n"/>
      <c r="Z504" s="32" t="n"/>
    </row>
    <row r="505">
      <c r="A505" s="32" t="n"/>
      <c r="B505" s="32" t="n"/>
      <c r="C505" s="32" t="n"/>
      <c r="D505" s="32" t="n"/>
      <c r="E505" s="32" t="n"/>
      <c r="F505" s="32" t="n"/>
      <c r="G505" s="32" t="n"/>
      <c r="H505" s="32" t="n"/>
      <c r="I505" s="32" t="n"/>
      <c r="J505" s="32" t="n"/>
      <c r="K505" s="32" t="n"/>
      <c r="L505" s="32" t="n"/>
      <c r="M505" s="32" t="n"/>
      <c r="N505" s="32" t="n"/>
      <c r="O505" s="32" t="n"/>
      <c r="P505" s="32" t="n"/>
      <c r="Q505" s="32" t="n"/>
      <c r="R505" s="32" t="n"/>
      <c r="S505" s="32" t="n"/>
      <c r="T505" s="32" t="n"/>
      <c r="U505" s="32" t="n"/>
      <c r="V505" s="32" t="n"/>
      <c r="W505" s="32" t="n"/>
      <c r="X505" s="32" t="n"/>
      <c r="Y505" s="32" t="n"/>
      <c r="Z505" s="32" t="n"/>
    </row>
    <row r="506">
      <c r="A506" s="32" t="n"/>
      <c r="B506" s="32" t="n"/>
      <c r="C506" s="32" t="n"/>
      <c r="D506" s="32" t="n"/>
      <c r="E506" s="32" t="n"/>
      <c r="F506" s="32" t="n"/>
      <c r="G506" s="32" t="n"/>
      <c r="H506" s="32" t="n"/>
      <c r="I506" s="32" t="n"/>
      <c r="J506" s="32" t="n"/>
      <c r="K506" s="32" t="n"/>
      <c r="L506" s="32" t="n"/>
      <c r="M506" s="32" t="n"/>
      <c r="N506" s="32" t="n"/>
      <c r="O506" s="32" t="n"/>
      <c r="P506" s="32" t="n"/>
      <c r="Q506" s="32" t="n"/>
      <c r="R506" s="32" t="n"/>
      <c r="S506" s="32" t="n"/>
      <c r="T506" s="32" t="n"/>
      <c r="U506" s="32" t="n"/>
      <c r="V506" s="32" t="n"/>
      <c r="W506" s="32" t="n"/>
      <c r="X506" s="32" t="n"/>
      <c r="Y506" s="32" t="n"/>
      <c r="Z506" s="32" t="n"/>
    </row>
    <row r="507">
      <c r="A507" s="32" t="n"/>
      <c r="B507" s="32" t="n"/>
      <c r="C507" s="32" t="n"/>
      <c r="D507" s="32" t="n"/>
      <c r="E507" s="32" t="n"/>
      <c r="F507" s="32" t="n"/>
      <c r="G507" s="32" t="n"/>
      <c r="H507" s="32" t="n"/>
      <c r="I507" s="32" t="n"/>
      <c r="J507" s="32" t="n"/>
      <c r="K507" s="32" t="n"/>
      <c r="L507" s="32" t="n"/>
      <c r="M507" s="32" t="n"/>
      <c r="N507" s="32" t="n"/>
      <c r="O507" s="32" t="n"/>
      <c r="P507" s="32" t="n"/>
      <c r="Q507" s="32" t="n"/>
      <c r="R507" s="32" t="n"/>
      <c r="S507" s="32" t="n"/>
      <c r="T507" s="32" t="n"/>
      <c r="U507" s="32" t="n"/>
      <c r="V507" s="32" t="n"/>
      <c r="W507" s="32" t="n"/>
      <c r="X507" s="32" t="n"/>
      <c r="Y507" s="32" t="n"/>
      <c r="Z507" s="32" t="n"/>
    </row>
    <row r="508">
      <c r="A508" s="32" t="n"/>
      <c r="B508" s="32" t="n"/>
      <c r="C508" s="32" t="n"/>
      <c r="D508" s="32" t="n"/>
      <c r="E508" s="32" t="n"/>
      <c r="F508" s="32" t="n"/>
      <c r="G508" s="32" t="n"/>
      <c r="H508" s="32" t="n"/>
      <c r="I508" s="32" t="n"/>
      <c r="J508" s="32" t="n"/>
      <c r="K508" s="32" t="n"/>
      <c r="L508" s="32" t="n"/>
      <c r="M508" s="32" t="n"/>
      <c r="N508" s="32" t="n"/>
      <c r="O508" s="32" t="n"/>
      <c r="P508" s="32" t="n"/>
      <c r="Q508" s="32" t="n"/>
      <c r="R508" s="32" t="n"/>
      <c r="S508" s="32" t="n"/>
      <c r="T508" s="32" t="n"/>
      <c r="U508" s="32" t="n"/>
      <c r="V508" s="32" t="n"/>
      <c r="W508" s="32" t="n"/>
      <c r="X508" s="32" t="n"/>
      <c r="Y508" s="32" t="n"/>
      <c r="Z508" s="32" t="n"/>
    </row>
    <row r="509">
      <c r="A509" s="32" t="n"/>
      <c r="B509" s="32" t="n"/>
      <c r="C509" s="32" t="n"/>
      <c r="D509" s="32" t="n"/>
      <c r="E509" s="32" t="n"/>
      <c r="F509" s="32" t="n"/>
      <c r="G509" s="32" t="n"/>
      <c r="H509" s="32" t="n"/>
      <c r="I509" s="32" t="n"/>
      <c r="J509" s="32" t="n"/>
      <c r="K509" s="32" t="n"/>
      <c r="L509" s="32" t="n"/>
      <c r="M509" s="32" t="n"/>
      <c r="N509" s="32" t="n"/>
      <c r="O509" s="32" t="n"/>
      <c r="P509" s="32" t="n"/>
      <c r="Q509" s="32" t="n"/>
      <c r="R509" s="32" t="n"/>
      <c r="S509" s="32" t="n"/>
      <c r="T509" s="32" t="n"/>
      <c r="U509" s="32" t="n"/>
      <c r="V509" s="32" t="n"/>
      <c r="W509" s="32" t="n"/>
      <c r="X509" s="32" t="n"/>
      <c r="Y509" s="32" t="n"/>
      <c r="Z509" s="32" t="n"/>
    </row>
    <row r="510">
      <c r="A510" s="32" t="n"/>
      <c r="B510" s="32" t="n"/>
      <c r="C510" s="32" t="n"/>
      <c r="D510" s="32" t="n"/>
      <c r="E510" s="32" t="n"/>
      <c r="F510" s="32" t="n"/>
      <c r="G510" s="32" t="n"/>
      <c r="H510" s="32" t="n"/>
      <c r="I510" s="32" t="n"/>
      <c r="J510" s="32" t="n"/>
      <c r="K510" s="32" t="n"/>
      <c r="L510" s="32" t="n"/>
      <c r="M510" s="32" t="n"/>
      <c r="N510" s="32" t="n"/>
      <c r="O510" s="32" t="n"/>
      <c r="P510" s="32" t="n"/>
      <c r="Q510" s="32" t="n"/>
      <c r="R510" s="32" t="n"/>
      <c r="S510" s="32" t="n"/>
      <c r="T510" s="32" t="n"/>
      <c r="U510" s="32" t="n"/>
      <c r="V510" s="32" t="n"/>
      <c r="W510" s="32" t="n"/>
      <c r="X510" s="32" t="n"/>
      <c r="Y510" s="32" t="n"/>
      <c r="Z510" s="32" t="n"/>
    </row>
    <row r="511">
      <c r="A511" s="32" t="n"/>
      <c r="B511" s="32" t="n"/>
      <c r="C511" s="32" t="n"/>
      <c r="D511" s="32" t="n"/>
      <c r="E511" s="32" t="n"/>
      <c r="F511" s="32" t="n"/>
      <c r="G511" s="32" t="n"/>
      <c r="H511" s="32" t="n"/>
      <c r="I511" s="32" t="n"/>
      <c r="J511" s="32" t="n"/>
      <c r="K511" s="32" t="n"/>
      <c r="L511" s="32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2" t="n"/>
      <c r="W511" s="32" t="n"/>
      <c r="X511" s="32" t="n"/>
      <c r="Y511" s="32" t="n"/>
      <c r="Z511" s="32" t="n"/>
    </row>
    <row r="512">
      <c r="A512" s="32" t="n"/>
      <c r="B512" s="32" t="n"/>
      <c r="C512" s="32" t="n"/>
      <c r="D512" s="32" t="n"/>
      <c r="E512" s="32" t="n"/>
      <c r="F512" s="32" t="n"/>
      <c r="G512" s="32" t="n"/>
      <c r="H512" s="32" t="n"/>
      <c r="I512" s="32" t="n"/>
      <c r="J512" s="32" t="n"/>
      <c r="K512" s="32" t="n"/>
      <c r="L512" s="32" t="n"/>
      <c r="M512" s="32" t="n"/>
      <c r="N512" s="32" t="n"/>
      <c r="O512" s="32" t="n"/>
      <c r="P512" s="32" t="n"/>
      <c r="Q512" s="32" t="n"/>
      <c r="R512" s="32" t="n"/>
      <c r="S512" s="32" t="n"/>
      <c r="T512" s="32" t="n"/>
      <c r="U512" s="32" t="n"/>
      <c r="V512" s="32" t="n"/>
      <c r="W512" s="32" t="n"/>
      <c r="X512" s="32" t="n"/>
      <c r="Y512" s="32" t="n"/>
      <c r="Z512" s="32" t="n"/>
    </row>
    <row r="513">
      <c r="A513" s="32" t="n"/>
      <c r="B513" s="32" t="n"/>
      <c r="C513" s="32" t="n"/>
      <c r="D513" s="32" t="n"/>
      <c r="E513" s="32" t="n"/>
      <c r="F513" s="32" t="n"/>
      <c r="G513" s="32" t="n"/>
      <c r="H513" s="32" t="n"/>
      <c r="I513" s="32" t="n"/>
      <c r="J513" s="32" t="n"/>
      <c r="K513" s="32" t="n"/>
      <c r="L513" s="32" t="n"/>
      <c r="M513" s="32" t="n"/>
      <c r="N513" s="32" t="n"/>
      <c r="O513" s="32" t="n"/>
      <c r="P513" s="32" t="n"/>
      <c r="Q513" s="32" t="n"/>
      <c r="R513" s="32" t="n"/>
      <c r="S513" s="32" t="n"/>
      <c r="T513" s="32" t="n"/>
      <c r="U513" s="32" t="n"/>
      <c r="V513" s="32" t="n"/>
      <c r="W513" s="32" t="n"/>
      <c r="X513" s="32" t="n"/>
      <c r="Y513" s="32" t="n"/>
      <c r="Z513" s="32" t="n"/>
    </row>
    <row r="514">
      <c r="A514" s="32" t="n"/>
      <c r="B514" s="32" t="n"/>
      <c r="C514" s="32" t="n"/>
      <c r="D514" s="32" t="n"/>
      <c r="E514" s="32" t="n"/>
      <c r="F514" s="32" t="n"/>
      <c r="G514" s="32" t="n"/>
      <c r="H514" s="32" t="n"/>
      <c r="I514" s="32" t="n"/>
      <c r="J514" s="32" t="n"/>
      <c r="K514" s="32" t="n"/>
      <c r="L514" s="32" t="n"/>
      <c r="M514" s="32" t="n"/>
      <c r="N514" s="32" t="n"/>
      <c r="O514" s="32" t="n"/>
      <c r="P514" s="32" t="n"/>
      <c r="Q514" s="32" t="n"/>
      <c r="R514" s="32" t="n"/>
      <c r="S514" s="32" t="n"/>
      <c r="T514" s="32" t="n"/>
      <c r="U514" s="32" t="n"/>
      <c r="V514" s="32" t="n"/>
      <c r="W514" s="32" t="n"/>
      <c r="X514" s="32" t="n"/>
      <c r="Y514" s="32" t="n"/>
      <c r="Z514" s="32" t="n"/>
    </row>
    <row r="515">
      <c r="A515" s="32" t="n"/>
      <c r="B515" s="32" t="n"/>
      <c r="C515" s="32" t="n"/>
      <c r="D515" s="32" t="n"/>
      <c r="E515" s="32" t="n"/>
      <c r="F515" s="32" t="n"/>
      <c r="G515" s="32" t="n"/>
      <c r="H515" s="32" t="n"/>
      <c r="I515" s="32" t="n"/>
      <c r="J515" s="32" t="n"/>
      <c r="K515" s="32" t="n"/>
      <c r="L515" s="32" t="n"/>
      <c r="M515" s="32" t="n"/>
      <c r="N515" s="32" t="n"/>
      <c r="O515" s="32" t="n"/>
      <c r="P515" s="32" t="n"/>
      <c r="Q515" s="32" t="n"/>
      <c r="R515" s="32" t="n"/>
      <c r="S515" s="32" t="n"/>
      <c r="T515" s="32" t="n"/>
      <c r="U515" s="32" t="n"/>
      <c r="V515" s="32" t="n"/>
      <c r="W515" s="32" t="n"/>
      <c r="X515" s="32" t="n"/>
      <c r="Y515" s="32" t="n"/>
      <c r="Z515" s="32" t="n"/>
    </row>
    <row r="516">
      <c r="A516" s="32" t="n"/>
      <c r="B516" s="32" t="n"/>
      <c r="C516" s="32" t="n"/>
      <c r="D516" s="32" t="n"/>
      <c r="E516" s="32" t="n"/>
      <c r="F516" s="32" t="n"/>
      <c r="G516" s="32" t="n"/>
      <c r="H516" s="32" t="n"/>
      <c r="I516" s="32" t="n"/>
      <c r="J516" s="32" t="n"/>
      <c r="K516" s="32" t="n"/>
      <c r="L516" s="32" t="n"/>
      <c r="M516" s="32" t="n"/>
      <c r="N516" s="32" t="n"/>
      <c r="O516" s="32" t="n"/>
      <c r="P516" s="32" t="n"/>
      <c r="Q516" s="32" t="n"/>
      <c r="R516" s="32" t="n"/>
      <c r="S516" s="32" t="n"/>
      <c r="T516" s="32" t="n"/>
      <c r="U516" s="32" t="n"/>
      <c r="V516" s="32" t="n"/>
      <c r="W516" s="32" t="n"/>
      <c r="X516" s="32" t="n"/>
      <c r="Y516" s="32" t="n"/>
      <c r="Z516" s="32" t="n"/>
    </row>
    <row r="517">
      <c r="A517" s="32" t="n"/>
      <c r="B517" s="32" t="n"/>
      <c r="C517" s="32" t="n"/>
      <c r="D517" s="32" t="n"/>
      <c r="E517" s="32" t="n"/>
      <c r="F517" s="32" t="n"/>
      <c r="G517" s="32" t="n"/>
      <c r="H517" s="32" t="n"/>
      <c r="I517" s="32" t="n"/>
      <c r="J517" s="32" t="n"/>
      <c r="K517" s="32" t="n"/>
      <c r="L517" s="32" t="n"/>
      <c r="M517" s="32" t="n"/>
      <c r="N517" s="32" t="n"/>
      <c r="O517" s="32" t="n"/>
      <c r="P517" s="32" t="n"/>
      <c r="Q517" s="32" t="n"/>
      <c r="R517" s="32" t="n"/>
      <c r="S517" s="32" t="n"/>
      <c r="T517" s="32" t="n"/>
      <c r="U517" s="32" t="n"/>
      <c r="V517" s="32" t="n"/>
      <c r="W517" s="32" t="n"/>
      <c r="X517" s="32" t="n"/>
      <c r="Y517" s="32" t="n"/>
      <c r="Z517" s="32" t="n"/>
    </row>
    <row r="518">
      <c r="A518" s="32" t="n"/>
      <c r="B518" s="32" t="n"/>
      <c r="C518" s="32" t="n"/>
      <c r="D518" s="32" t="n"/>
      <c r="E518" s="32" t="n"/>
      <c r="F518" s="32" t="n"/>
      <c r="G518" s="32" t="n"/>
      <c r="H518" s="32" t="n"/>
      <c r="I518" s="32" t="n"/>
      <c r="J518" s="32" t="n"/>
      <c r="K518" s="32" t="n"/>
      <c r="L518" s="32" t="n"/>
      <c r="M518" s="32" t="n"/>
      <c r="N518" s="32" t="n"/>
      <c r="O518" s="32" t="n"/>
      <c r="P518" s="32" t="n"/>
      <c r="Q518" s="32" t="n"/>
      <c r="R518" s="32" t="n"/>
      <c r="S518" s="32" t="n"/>
      <c r="T518" s="32" t="n"/>
      <c r="U518" s="32" t="n"/>
      <c r="V518" s="32" t="n"/>
      <c r="W518" s="32" t="n"/>
      <c r="X518" s="32" t="n"/>
      <c r="Y518" s="32" t="n"/>
      <c r="Z518" s="32" t="n"/>
    </row>
    <row r="519">
      <c r="A519" s="32" t="n"/>
      <c r="B519" s="32" t="n"/>
      <c r="C519" s="32" t="n"/>
      <c r="D519" s="32" t="n"/>
      <c r="E519" s="32" t="n"/>
      <c r="F519" s="32" t="n"/>
      <c r="G519" s="32" t="n"/>
      <c r="H519" s="32" t="n"/>
      <c r="I519" s="32" t="n"/>
      <c r="J519" s="32" t="n"/>
      <c r="K519" s="32" t="n"/>
      <c r="L519" s="32" t="n"/>
      <c r="M519" s="32" t="n"/>
      <c r="N519" s="32" t="n"/>
      <c r="O519" s="32" t="n"/>
      <c r="P519" s="32" t="n"/>
      <c r="Q519" s="32" t="n"/>
      <c r="R519" s="32" t="n"/>
      <c r="S519" s="32" t="n"/>
      <c r="T519" s="32" t="n"/>
      <c r="U519" s="32" t="n"/>
      <c r="V519" s="32" t="n"/>
      <c r="W519" s="32" t="n"/>
      <c r="X519" s="32" t="n"/>
      <c r="Y519" s="32" t="n"/>
      <c r="Z519" s="32" t="n"/>
    </row>
    <row r="520">
      <c r="A520" s="32" t="n"/>
      <c r="B520" s="32" t="n"/>
      <c r="C520" s="32" t="n"/>
      <c r="D520" s="32" t="n"/>
      <c r="E520" s="32" t="n"/>
      <c r="F520" s="32" t="n"/>
      <c r="G520" s="32" t="n"/>
      <c r="H520" s="32" t="n"/>
      <c r="I520" s="32" t="n"/>
      <c r="J520" s="32" t="n"/>
      <c r="K520" s="32" t="n"/>
      <c r="L520" s="32" t="n"/>
      <c r="M520" s="32" t="n"/>
      <c r="N520" s="32" t="n"/>
      <c r="O520" s="32" t="n"/>
      <c r="P520" s="32" t="n"/>
      <c r="Q520" s="32" t="n"/>
      <c r="R520" s="32" t="n"/>
      <c r="S520" s="32" t="n"/>
      <c r="T520" s="32" t="n"/>
      <c r="U520" s="32" t="n"/>
      <c r="V520" s="32" t="n"/>
      <c r="W520" s="32" t="n"/>
      <c r="X520" s="32" t="n"/>
      <c r="Y520" s="32" t="n"/>
      <c r="Z520" s="32" t="n"/>
    </row>
    <row r="521">
      <c r="A521" s="32" t="n"/>
      <c r="B521" s="32" t="n"/>
      <c r="C521" s="32" t="n"/>
      <c r="D521" s="32" t="n"/>
      <c r="E521" s="32" t="n"/>
      <c r="F521" s="32" t="n"/>
      <c r="G521" s="32" t="n"/>
      <c r="H521" s="32" t="n"/>
      <c r="I521" s="32" t="n"/>
      <c r="J521" s="32" t="n"/>
      <c r="K521" s="32" t="n"/>
      <c r="L521" s="32" t="n"/>
      <c r="M521" s="32" t="n"/>
      <c r="N521" s="32" t="n"/>
      <c r="O521" s="32" t="n"/>
      <c r="P521" s="32" t="n"/>
      <c r="Q521" s="32" t="n"/>
      <c r="R521" s="32" t="n"/>
      <c r="S521" s="32" t="n"/>
      <c r="T521" s="32" t="n"/>
      <c r="U521" s="32" t="n"/>
      <c r="V521" s="32" t="n"/>
      <c r="W521" s="32" t="n"/>
      <c r="X521" s="32" t="n"/>
      <c r="Y521" s="32" t="n"/>
      <c r="Z521" s="32" t="n"/>
    </row>
    <row r="522">
      <c r="A522" s="32" t="n"/>
      <c r="B522" s="32" t="n"/>
      <c r="C522" s="32" t="n"/>
      <c r="D522" s="32" t="n"/>
      <c r="E522" s="32" t="n"/>
      <c r="F522" s="32" t="n"/>
      <c r="G522" s="32" t="n"/>
      <c r="H522" s="32" t="n"/>
      <c r="I522" s="32" t="n"/>
      <c r="J522" s="32" t="n"/>
      <c r="K522" s="32" t="n"/>
      <c r="L522" s="32" t="n"/>
      <c r="M522" s="32" t="n"/>
      <c r="N522" s="32" t="n"/>
      <c r="O522" s="32" t="n"/>
      <c r="P522" s="32" t="n"/>
      <c r="Q522" s="32" t="n"/>
      <c r="R522" s="32" t="n"/>
      <c r="S522" s="32" t="n"/>
      <c r="T522" s="32" t="n"/>
      <c r="U522" s="32" t="n"/>
      <c r="V522" s="32" t="n"/>
      <c r="W522" s="32" t="n"/>
      <c r="X522" s="32" t="n"/>
      <c r="Y522" s="32" t="n"/>
      <c r="Z522" s="32" t="n"/>
    </row>
    <row r="523">
      <c r="A523" s="32" t="n"/>
      <c r="B523" s="32" t="n"/>
      <c r="C523" s="32" t="n"/>
      <c r="D523" s="32" t="n"/>
      <c r="E523" s="32" t="n"/>
      <c r="F523" s="32" t="n"/>
      <c r="G523" s="32" t="n"/>
      <c r="H523" s="32" t="n"/>
      <c r="I523" s="32" t="n"/>
      <c r="J523" s="32" t="n"/>
      <c r="K523" s="32" t="n"/>
      <c r="L523" s="32" t="n"/>
      <c r="M523" s="32" t="n"/>
      <c r="N523" s="32" t="n"/>
      <c r="O523" s="32" t="n"/>
      <c r="P523" s="32" t="n"/>
      <c r="Q523" s="32" t="n"/>
      <c r="R523" s="32" t="n"/>
      <c r="S523" s="32" t="n"/>
      <c r="T523" s="32" t="n"/>
      <c r="U523" s="32" t="n"/>
      <c r="V523" s="32" t="n"/>
      <c r="W523" s="32" t="n"/>
      <c r="X523" s="32" t="n"/>
      <c r="Y523" s="32" t="n"/>
      <c r="Z523" s="32" t="n"/>
    </row>
    <row r="524">
      <c r="A524" s="32" t="n"/>
      <c r="B524" s="32" t="n"/>
      <c r="C524" s="32" t="n"/>
      <c r="D524" s="32" t="n"/>
      <c r="E524" s="32" t="n"/>
      <c r="F524" s="32" t="n"/>
      <c r="G524" s="32" t="n"/>
      <c r="H524" s="32" t="n"/>
      <c r="I524" s="32" t="n"/>
      <c r="J524" s="32" t="n"/>
      <c r="K524" s="32" t="n"/>
      <c r="L524" s="32" t="n"/>
      <c r="M524" s="32" t="n"/>
      <c r="N524" s="32" t="n"/>
      <c r="O524" s="32" t="n"/>
      <c r="P524" s="32" t="n"/>
      <c r="Q524" s="32" t="n"/>
      <c r="R524" s="32" t="n"/>
      <c r="S524" s="32" t="n"/>
      <c r="T524" s="32" t="n"/>
      <c r="U524" s="32" t="n"/>
      <c r="V524" s="32" t="n"/>
      <c r="W524" s="32" t="n"/>
      <c r="X524" s="32" t="n"/>
      <c r="Y524" s="32" t="n"/>
      <c r="Z524" s="32" t="n"/>
    </row>
    <row r="525">
      <c r="A525" s="32" t="n"/>
      <c r="B525" s="32" t="n"/>
      <c r="C525" s="32" t="n"/>
      <c r="D525" s="32" t="n"/>
      <c r="E525" s="32" t="n"/>
      <c r="F525" s="32" t="n"/>
      <c r="G525" s="32" t="n"/>
      <c r="H525" s="32" t="n"/>
      <c r="I525" s="32" t="n"/>
      <c r="J525" s="32" t="n"/>
      <c r="K525" s="32" t="n"/>
      <c r="L525" s="32" t="n"/>
      <c r="M525" s="32" t="n"/>
      <c r="N525" s="32" t="n"/>
      <c r="O525" s="32" t="n"/>
      <c r="P525" s="32" t="n"/>
      <c r="Q525" s="32" t="n"/>
      <c r="R525" s="32" t="n"/>
      <c r="S525" s="32" t="n"/>
      <c r="T525" s="32" t="n"/>
      <c r="U525" s="32" t="n"/>
      <c r="V525" s="32" t="n"/>
      <c r="W525" s="32" t="n"/>
      <c r="X525" s="32" t="n"/>
      <c r="Y525" s="32" t="n"/>
      <c r="Z525" s="32" t="n"/>
    </row>
    <row r="526">
      <c r="A526" s="32" t="n"/>
      <c r="B526" s="32" t="n"/>
      <c r="C526" s="32" t="n"/>
      <c r="D526" s="32" t="n"/>
      <c r="E526" s="32" t="n"/>
      <c r="F526" s="32" t="n"/>
      <c r="G526" s="32" t="n"/>
      <c r="H526" s="32" t="n"/>
      <c r="I526" s="32" t="n"/>
      <c r="J526" s="32" t="n"/>
      <c r="K526" s="32" t="n"/>
      <c r="L526" s="32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2" t="n"/>
      <c r="W526" s="32" t="n"/>
      <c r="X526" s="32" t="n"/>
      <c r="Y526" s="32" t="n"/>
      <c r="Z526" s="32" t="n"/>
    </row>
    <row r="527">
      <c r="A527" s="32" t="n"/>
      <c r="B527" s="32" t="n"/>
      <c r="C527" s="32" t="n"/>
      <c r="D527" s="32" t="n"/>
      <c r="E527" s="32" t="n"/>
      <c r="F527" s="32" t="n"/>
      <c r="G527" s="32" t="n"/>
      <c r="H527" s="32" t="n"/>
      <c r="I527" s="32" t="n"/>
      <c r="J527" s="32" t="n"/>
      <c r="K527" s="32" t="n"/>
      <c r="L527" s="32" t="n"/>
      <c r="M527" s="32" t="n"/>
      <c r="N527" s="32" t="n"/>
      <c r="O527" s="32" t="n"/>
      <c r="P527" s="32" t="n"/>
      <c r="Q527" s="32" t="n"/>
      <c r="R527" s="32" t="n"/>
      <c r="S527" s="32" t="n"/>
      <c r="T527" s="32" t="n"/>
      <c r="U527" s="32" t="n"/>
      <c r="V527" s="32" t="n"/>
      <c r="W527" s="32" t="n"/>
      <c r="X527" s="32" t="n"/>
      <c r="Y527" s="32" t="n"/>
      <c r="Z527" s="32" t="n"/>
    </row>
    <row r="528">
      <c r="A528" s="32" t="n"/>
      <c r="B528" s="32" t="n"/>
      <c r="C528" s="32" t="n"/>
      <c r="D528" s="32" t="n"/>
      <c r="E528" s="32" t="n"/>
      <c r="F528" s="32" t="n"/>
      <c r="G528" s="32" t="n"/>
      <c r="H528" s="32" t="n"/>
      <c r="I528" s="32" t="n"/>
      <c r="J528" s="32" t="n"/>
      <c r="K528" s="32" t="n"/>
      <c r="L528" s="32" t="n"/>
      <c r="M528" s="32" t="n"/>
      <c r="N528" s="32" t="n"/>
      <c r="O528" s="32" t="n"/>
      <c r="P528" s="32" t="n"/>
      <c r="Q528" s="32" t="n"/>
      <c r="R528" s="32" t="n"/>
      <c r="S528" s="32" t="n"/>
      <c r="T528" s="32" t="n"/>
      <c r="U528" s="32" t="n"/>
      <c r="V528" s="32" t="n"/>
      <c r="W528" s="32" t="n"/>
      <c r="X528" s="32" t="n"/>
      <c r="Y528" s="32" t="n"/>
      <c r="Z528" s="32" t="n"/>
    </row>
    <row r="529">
      <c r="A529" s="32" t="n"/>
      <c r="B529" s="32" t="n"/>
      <c r="C529" s="32" t="n"/>
      <c r="D529" s="32" t="n"/>
      <c r="E529" s="32" t="n"/>
      <c r="F529" s="32" t="n"/>
      <c r="G529" s="32" t="n"/>
      <c r="H529" s="32" t="n"/>
      <c r="I529" s="32" t="n"/>
      <c r="J529" s="32" t="n"/>
      <c r="K529" s="32" t="n"/>
      <c r="L529" s="32" t="n"/>
      <c r="M529" s="32" t="n"/>
      <c r="N529" s="32" t="n"/>
      <c r="O529" s="32" t="n"/>
      <c r="P529" s="32" t="n"/>
      <c r="Q529" s="32" t="n"/>
      <c r="R529" s="32" t="n"/>
      <c r="S529" s="32" t="n"/>
      <c r="T529" s="32" t="n"/>
      <c r="U529" s="32" t="n"/>
      <c r="V529" s="32" t="n"/>
      <c r="W529" s="32" t="n"/>
      <c r="X529" s="32" t="n"/>
      <c r="Y529" s="32" t="n"/>
      <c r="Z529" s="32" t="n"/>
    </row>
    <row r="530">
      <c r="A530" s="32" t="n"/>
      <c r="B530" s="32" t="n"/>
      <c r="C530" s="32" t="n"/>
      <c r="D530" s="32" t="n"/>
      <c r="E530" s="32" t="n"/>
      <c r="F530" s="32" t="n"/>
      <c r="G530" s="32" t="n"/>
      <c r="H530" s="32" t="n"/>
      <c r="I530" s="32" t="n"/>
      <c r="J530" s="32" t="n"/>
      <c r="K530" s="32" t="n"/>
      <c r="L530" s="32" t="n"/>
      <c r="M530" s="32" t="n"/>
      <c r="N530" s="32" t="n"/>
      <c r="O530" s="32" t="n"/>
      <c r="P530" s="32" t="n"/>
      <c r="Q530" s="32" t="n"/>
      <c r="R530" s="32" t="n"/>
      <c r="S530" s="32" t="n"/>
      <c r="T530" s="32" t="n"/>
      <c r="U530" s="32" t="n"/>
      <c r="V530" s="32" t="n"/>
      <c r="W530" s="32" t="n"/>
      <c r="X530" s="32" t="n"/>
      <c r="Y530" s="32" t="n"/>
      <c r="Z530" s="32" t="n"/>
    </row>
    <row r="531">
      <c r="A531" s="32" t="n"/>
      <c r="B531" s="32" t="n"/>
      <c r="C531" s="32" t="n"/>
      <c r="D531" s="32" t="n"/>
      <c r="E531" s="32" t="n"/>
      <c r="F531" s="32" t="n"/>
      <c r="G531" s="32" t="n"/>
      <c r="H531" s="32" t="n"/>
      <c r="I531" s="32" t="n"/>
      <c r="J531" s="32" t="n"/>
      <c r="K531" s="32" t="n"/>
      <c r="L531" s="32" t="n"/>
      <c r="M531" s="32" t="n"/>
      <c r="N531" s="32" t="n"/>
      <c r="O531" s="32" t="n"/>
      <c r="P531" s="32" t="n"/>
      <c r="Q531" s="32" t="n"/>
      <c r="R531" s="32" t="n"/>
      <c r="S531" s="32" t="n"/>
      <c r="T531" s="32" t="n"/>
      <c r="U531" s="32" t="n"/>
      <c r="V531" s="32" t="n"/>
      <c r="W531" s="32" t="n"/>
      <c r="X531" s="32" t="n"/>
      <c r="Y531" s="32" t="n"/>
      <c r="Z531" s="32" t="n"/>
    </row>
    <row r="532">
      <c r="A532" s="32" t="n"/>
      <c r="B532" s="32" t="n"/>
      <c r="C532" s="32" t="n"/>
      <c r="D532" s="32" t="n"/>
      <c r="E532" s="32" t="n"/>
      <c r="F532" s="32" t="n"/>
      <c r="G532" s="32" t="n"/>
      <c r="H532" s="32" t="n"/>
      <c r="I532" s="32" t="n"/>
      <c r="J532" s="32" t="n"/>
      <c r="K532" s="32" t="n"/>
      <c r="L532" s="32" t="n"/>
      <c r="M532" s="32" t="n"/>
      <c r="N532" s="32" t="n"/>
      <c r="O532" s="32" t="n"/>
      <c r="P532" s="32" t="n"/>
      <c r="Q532" s="32" t="n"/>
      <c r="R532" s="32" t="n"/>
      <c r="S532" s="32" t="n"/>
      <c r="T532" s="32" t="n"/>
      <c r="U532" s="32" t="n"/>
      <c r="V532" s="32" t="n"/>
      <c r="W532" s="32" t="n"/>
      <c r="X532" s="32" t="n"/>
      <c r="Y532" s="32" t="n"/>
      <c r="Z532" s="32" t="n"/>
    </row>
    <row r="533">
      <c r="A533" s="32" t="n"/>
      <c r="B533" s="32" t="n"/>
      <c r="C533" s="32" t="n"/>
      <c r="D533" s="32" t="n"/>
      <c r="E533" s="32" t="n"/>
      <c r="F533" s="32" t="n"/>
      <c r="G533" s="32" t="n"/>
      <c r="H533" s="32" t="n"/>
      <c r="I533" s="32" t="n"/>
      <c r="J533" s="32" t="n"/>
      <c r="K533" s="32" t="n"/>
      <c r="L533" s="32" t="n"/>
      <c r="M533" s="32" t="n"/>
      <c r="N533" s="32" t="n"/>
      <c r="O533" s="32" t="n"/>
      <c r="P533" s="32" t="n"/>
      <c r="Q533" s="32" t="n"/>
      <c r="R533" s="32" t="n"/>
      <c r="S533" s="32" t="n"/>
      <c r="T533" s="32" t="n"/>
      <c r="U533" s="32" t="n"/>
      <c r="V533" s="32" t="n"/>
      <c r="W533" s="32" t="n"/>
      <c r="X533" s="32" t="n"/>
      <c r="Y533" s="32" t="n"/>
      <c r="Z533" s="32" t="n"/>
    </row>
    <row r="534">
      <c r="A534" s="32" t="n"/>
      <c r="B534" s="32" t="n"/>
      <c r="C534" s="32" t="n"/>
      <c r="D534" s="32" t="n"/>
      <c r="E534" s="32" t="n"/>
      <c r="F534" s="32" t="n"/>
      <c r="G534" s="32" t="n"/>
      <c r="H534" s="32" t="n"/>
      <c r="I534" s="32" t="n"/>
      <c r="J534" s="32" t="n"/>
      <c r="K534" s="32" t="n"/>
      <c r="L534" s="32" t="n"/>
      <c r="M534" s="32" t="n"/>
      <c r="N534" s="32" t="n"/>
      <c r="O534" s="32" t="n"/>
      <c r="P534" s="32" t="n"/>
      <c r="Q534" s="32" t="n"/>
      <c r="R534" s="32" t="n"/>
      <c r="S534" s="32" t="n"/>
      <c r="T534" s="32" t="n"/>
      <c r="U534" s="32" t="n"/>
      <c r="V534" s="32" t="n"/>
      <c r="W534" s="32" t="n"/>
      <c r="X534" s="32" t="n"/>
      <c r="Y534" s="32" t="n"/>
      <c r="Z534" s="32" t="n"/>
    </row>
    <row r="535">
      <c r="A535" s="32" t="n"/>
      <c r="B535" s="32" t="n"/>
      <c r="C535" s="32" t="n"/>
      <c r="D535" s="32" t="n"/>
      <c r="E535" s="32" t="n"/>
      <c r="F535" s="32" t="n"/>
      <c r="G535" s="32" t="n"/>
      <c r="H535" s="32" t="n"/>
      <c r="I535" s="32" t="n"/>
      <c r="J535" s="32" t="n"/>
      <c r="K535" s="32" t="n"/>
      <c r="L535" s="32" t="n"/>
      <c r="M535" s="32" t="n"/>
      <c r="N535" s="32" t="n"/>
      <c r="O535" s="32" t="n"/>
      <c r="P535" s="32" t="n"/>
      <c r="Q535" s="32" t="n"/>
      <c r="R535" s="32" t="n"/>
      <c r="S535" s="32" t="n"/>
      <c r="T535" s="32" t="n"/>
      <c r="U535" s="32" t="n"/>
      <c r="V535" s="32" t="n"/>
      <c r="W535" s="32" t="n"/>
      <c r="X535" s="32" t="n"/>
      <c r="Y535" s="32" t="n"/>
      <c r="Z535" s="32" t="n"/>
    </row>
    <row r="536">
      <c r="A536" s="32" t="n"/>
      <c r="B536" s="32" t="n"/>
      <c r="C536" s="32" t="n"/>
      <c r="D536" s="32" t="n"/>
      <c r="E536" s="32" t="n"/>
      <c r="F536" s="32" t="n"/>
      <c r="G536" s="32" t="n"/>
      <c r="H536" s="32" t="n"/>
      <c r="I536" s="32" t="n"/>
      <c r="J536" s="32" t="n"/>
      <c r="K536" s="32" t="n"/>
      <c r="L536" s="32" t="n"/>
      <c r="M536" s="32" t="n"/>
      <c r="N536" s="32" t="n"/>
      <c r="O536" s="32" t="n"/>
      <c r="P536" s="32" t="n"/>
      <c r="Q536" s="32" t="n"/>
      <c r="R536" s="32" t="n"/>
      <c r="S536" s="32" t="n"/>
      <c r="T536" s="32" t="n"/>
      <c r="U536" s="32" t="n"/>
      <c r="V536" s="32" t="n"/>
      <c r="W536" s="32" t="n"/>
      <c r="X536" s="32" t="n"/>
      <c r="Y536" s="32" t="n"/>
      <c r="Z536" s="32" t="n"/>
    </row>
    <row r="537">
      <c r="A537" s="32" t="n"/>
      <c r="B537" s="32" t="n"/>
      <c r="C537" s="32" t="n"/>
      <c r="D537" s="32" t="n"/>
      <c r="E537" s="32" t="n"/>
      <c r="F537" s="32" t="n"/>
      <c r="G537" s="32" t="n"/>
      <c r="H537" s="32" t="n"/>
      <c r="I537" s="32" t="n"/>
      <c r="J537" s="32" t="n"/>
      <c r="K537" s="32" t="n"/>
      <c r="L537" s="32" t="n"/>
      <c r="M537" s="32" t="n"/>
      <c r="N537" s="32" t="n"/>
      <c r="O537" s="32" t="n"/>
      <c r="P537" s="32" t="n"/>
      <c r="Q537" s="32" t="n"/>
      <c r="R537" s="32" t="n"/>
      <c r="S537" s="32" t="n"/>
      <c r="T537" s="32" t="n"/>
      <c r="U537" s="32" t="n"/>
      <c r="V537" s="32" t="n"/>
      <c r="W537" s="32" t="n"/>
      <c r="X537" s="32" t="n"/>
      <c r="Y537" s="32" t="n"/>
      <c r="Z537" s="32" t="n"/>
    </row>
    <row r="538">
      <c r="A538" s="32" t="n"/>
      <c r="B538" s="32" t="n"/>
      <c r="C538" s="32" t="n"/>
      <c r="D538" s="32" t="n"/>
      <c r="E538" s="32" t="n"/>
      <c r="F538" s="32" t="n"/>
      <c r="G538" s="32" t="n"/>
      <c r="H538" s="32" t="n"/>
      <c r="I538" s="32" t="n"/>
      <c r="J538" s="32" t="n"/>
      <c r="K538" s="32" t="n"/>
      <c r="L538" s="32" t="n"/>
      <c r="M538" s="32" t="n"/>
      <c r="N538" s="32" t="n"/>
      <c r="O538" s="32" t="n"/>
      <c r="P538" s="32" t="n"/>
      <c r="Q538" s="32" t="n"/>
      <c r="R538" s="32" t="n"/>
      <c r="S538" s="32" t="n"/>
      <c r="T538" s="32" t="n"/>
      <c r="U538" s="32" t="n"/>
      <c r="V538" s="32" t="n"/>
      <c r="W538" s="32" t="n"/>
      <c r="X538" s="32" t="n"/>
      <c r="Y538" s="32" t="n"/>
      <c r="Z538" s="32" t="n"/>
    </row>
    <row r="539">
      <c r="A539" s="32" t="n"/>
      <c r="B539" s="32" t="n"/>
      <c r="C539" s="32" t="n"/>
      <c r="D539" s="32" t="n"/>
      <c r="E539" s="32" t="n"/>
      <c r="F539" s="32" t="n"/>
      <c r="G539" s="32" t="n"/>
      <c r="H539" s="32" t="n"/>
      <c r="I539" s="32" t="n"/>
      <c r="J539" s="32" t="n"/>
      <c r="K539" s="32" t="n"/>
      <c r="L539" s="32" t="n"/>
      <c r="M539" s="32" t="n"/>
      <c r="N539" s="32" t="n"/>
      <c r="O539" s="32" t="n"/>
      <c r="P539" s="32" t="n"/>
      <c r="Q539" s="32" t="n"/>
      <c r="R539" s="32" t="n"/>
      <c r="S539" s="32" t="n"/>
      <c r="T539" s="32" t="n"/>
      <c r="U539" s="32" t="n"/>
      <c r="V539" s="32" t="n"/>
      <c r="W539" s="32" t="n"/>
      <c r="X539" s="32" t="n"/>
      <c r="Y539" s="32" t="n"/>
      <c r="Z539" s="32" t="n"/>
    </row>
    <row r="540">
      <c r="A540" s="32" t="n"/>
      <c r="B540" s="32" t="n"/>
      <c r="C540" s="32" t="n"/>
      <c r="D540" s="32" t="n"/>
      <c r="E540" s="32" t="n"/>
      <c r="F540" s="32" t="n"/>
      <c r="G540" s="32" t="n"/>
      <c r="H540" s="32" t="n"/>
      <c r="I540" s="32" t="n"/>
      <c r="J540" s="32" t="n"/>
      <c r="K540" s="32" t="n"/>
      <c r="L540" s="32" t="n"/>
      <c r="M540" s="32" t="n"/>
      <c r="N540" s="32" t="n"/>
      <c r="O540" s="32" t="n"/>
      <c r="P540" s="32" t="n"/>
      <c r="Q540" s="32" t="n"/>
      <c r="R540" s="32" t="n"/>
      <c r="S540" s="32" t="n"/>
      <c r="T540" s="32" t="n"/>
      <c r="U540" s="32" t="n"/>
      <c r="V540" s="32" t="n"/>
      <c r="W540" s="32" t="n"/>
      <c r="X540" s="32" t="n"/>
      <c r="Y540" s="32" t="n"/>
      <c r="Z540" s="32" t="n"/>
    </row>
    <row r="541">
      <c r="A541" s="32" t="n"/>
      <c r="B541" s="32" t="n"/>
      <c r="C541" s="32" t="n"/>
      <c r="D541" s="32" t="n"/>
      <c r="E541" s="32" t="n"/>
      <c r="F541" s="32" t="n"/>
      <c r="G541" s="32" t="n"/>
      <c r="H541" s="32" t="n"/>
      <c r="I541" s="32" t="n"/>
      <c r="J541" s="32" t="n"/>
      <c r="K541" s="32" t="n"/>
      <c r="L541" s="32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2" t="n"/>
      <c r="W541" s="32" t="n"/>
      <c r="X541" s="32" t="n"/>
      <c r="Y541" s="32" t="n"/>
      <c r="Z541" s="32" t="n"/>
    </row>
    <row r="542">
      <c r="A542" s="32" t="n"/>
      <c r="B542" s="32" t="n"/>
      <c r="C542" s="32" t="n"/>
      <c r="D542" s="32" t="n"/>
      <c r="E542" s="32" t="n"/>
      <c r="F542" s="32" t="n"/>
      <c r="G542" s="32" t="n"/>
      <c r="H542" s="32" t="n"/>
      <c r="I542" s="32" t="n"/>
      <c r="J542" s="32" t="n"/>
      <c r="K542" s="32" t="n"/>
      <c r="L542" s="32" t="n"/>
      <c r="M542" s="32" t="n"/>
      <c r="N542" s="32" t="n"/>
      <c r="O542" s="32" t="n"/>
      <c r="P542" s="32" t="n"/>
      <c r="Q542" s="32" t="n"/>
      <c r="R542" s="32" t="n"/>
      <c r="S542" s="32" t="n"/>
      <c r="T542" s="32" t="n"/>
      <c r="U542" s="32" t="n"/>
      <c r="V542" s="32" t="n"/>
      <c r="W542" s="32" t="n"/>
      <c r="X542" s="32" t="n"/>
      <c r="Y542" s="32" t="n"/>
      <c r="Z542" s="32" t="n"/>
    </row>
    <row r="543">
      <c r="A543" s="32" t="n"/>
      <c r="B543" s="32" t="n"/>
      <c r="C543" s="32" t="n"/>
      <c r="D543" s="32" t="n"/>
      <c r="E543" s="32" t="n"/>
      <c r="F543" s="32" t="n"/>
      <c r="G543" s="32" t="n"/>
      <c r="H543" s="32" t="n"/>
      <c r="I543" s="32" t="n"/>
      <c r="J543" s="32" t="n"/>
      <c r="K543" s="32" t="n"/>
      <c r="L543" s="32" t="n"/>
      <c r="M543" s="32" t="n"/>
      <c r="N543" s="32" t="n"/>
      <c r="O543" s="32" t="n"/>
      <c r="P543" s="32" t="n"/>
      <c r="Q543" s="32" t="n"/>
      <c r="R543" s="32" t="n"/>
      <c r="S543" s="32" t="n"/>
      <c r="T543" s="32" t="n"/>
      <c r="U543" s="32" t="n"/>
      <c r="V543" s="32" t="n"/>
      <c r="W543" s="32" t="n"/>
      <c r="X543" s="32" t="n"/>
      <c r="Y543" s="32" t="n"/>
      <c r="Z543" s="32" t="n"/>
    </row>
    <row r="544">
      <c r="A544" s="32" t="n"/>
      <c r="B544" s="32" t="n"/>
      <c r="C544" s="32" t="n"/>
      <c r="D544" s="32" t="n"/>
      <c r="E544" s="32" t="n"/>
      <c r="F544" s="32" t="n"/>
      <c r="G544" s="32" t="n"/>
      <c r="H544" s="32" t="n"/>
      <c r="I544" s="32" t="n"/>
      <c r="J544" s="32" t="n"/>
      <c r="K544" s="32" t="n"/>
      <c r="L544" s="32" t="n"/>
      <c r="M544" s="32" t="n"/>
      <c r="N544" s="32" t="n"/>
      <c r="O544" s="32" t="n"/>
      <c r="P544" s="32" t="n"/>
      <c r="Q544" s="32" t="n"/>
      <c r="R544" s="32" t="n"/>
      <c r="S544" s="32" t="n"/>
      <c r="T544" s="32" t="n"/>
      <c r="U544" s="32" t="n"/>
      <c r="V544" s="32" t="n"/>
      <c r="W544" s="32" t="n"/>
      <c r="X544" s="32" t="n"/>
      <c r="Y544" s="32" t="n"/>
      <c r="Z544" s="32" t="n"/>
    </row>
    <row r="545">
      <c r="A545" s="32" t="n"/>
      <c r="B545" s="32" t="n"/>
      <c r="C545" s="32" t="n"/>
      <c r="D545" s="32" t="n"/>
      <c r="E545" s="32" t="n"/>
      <c r="F545" s="32" t="n"/>
      <c r="G545" s="32" t="n"/>
      <c r="H545" s="32" t="n"/>
      <c r="I545" s="32" t="n"/>
      <c r="J545" s="32" t="n"/>
      <c r="K545" s="32" t="n"/>
      <c r="L545" s="32" t="n"/>
      <c r="M545" s="32" t="n"/>
      <c r="N545" s="32" t="n"/>
      <c r="O545" s="32" t="n"/>
      <c r="P545" s="32" t="n"/>
      <c r="Q545" s="32" t="n"/>
      <c r="R545" s="32" t="n"/>
      <c r="S545" s="32" t="n"/>
      <c r="T545" s="32" t="n"/>
      <c r="U545" s="32" t="n"/>
      <c r="V545" s="32" t="n"/>
      <c r="W545" s="32" t="n"/>
      <c r="X545" s="32" t="n"/>
      <c r="Y545" s="32" t="n"/>
      <c r="Z545" s="32" t="n"/>
    </row>
    <row r="546">
      <c r="A546" s="32" t="n"/>
      <c r="B546" s="32" t="n"/>
      <c r="C546" s="32" t="n"/>
      <c r="D546" s="32" t="n"/>
      <c r="E546" s="32" t="n"/>
      <c r="F546" s="32" t="n"/>
      <c r="G546" s="32" t="n"/>
      <c r="H546" s="32" t="n"/>
      <c r="I546" s="32" t="n"/>
      <c r="J546" s="32" t="n"/>
      <c r="K546" s="32" t="n"/>
      <c r="L546" s="32" t="n"/>
      <c r="M546" s="32" t="n"/>
      <c r="N546" s="32" t="n"/>
      <c r="O546" s="32" t="n"/>
      <c r="P546" s="32" t="n"/>
      <c r="Q546" s="32" t="n"/>
      <c r="R546" s="32" t="n"/>
      <c r="S546" s="32" t="n"/>
      <c r="T546" s="32" t="n"/>
      <c r="U546" s="32" t="n"/>
      <c r="V546" s="32" t="n"/>
      <c r="W546" s="32" t="n"/>
      <c r="X546" s="32" t="n"/>
      <c r="Y546" s="32" t="n"/>
      <c r="Z546" s="32" t="n"/>
    </row>
    <row r="547">
      <c r="A547" s="32" t="n"/>
      <c r="B547" s="32" t="n"/>
      <c r="C547" s="32" t="n"/>
      <c r="D547" s="32" t="n"/>
      <c r="E547" s="32" t="n"/>
      <c r="F547" s="32" t="n"/>
      <c r="G547" s="32" t="n"/>
      <c r="H547" s="32" t="n"/>
      <c r="I547" s="32" t="n"/>
      <c r="J547" s="32" t="n"/>
      <c r="K547" s="32" t="n"/>
      <c r="L547" s="32" t="n"/>
      <c r="M547" s="32" t="n"/>
      <c r="N547" s="32" t="n"/>
      <c r="O547" s="32" t="n"/>
      <c r="P547" s="32" t="n"/>
      <c r="Q547" s="32" t="n"/>
      <c r="R547" s="32" t="n"/>
      <c r="S547" s="32" t="n"/>
      <c r="T547" s="32" t="n"/>
      <c r="U547" s="32" t="n"/>
      <c r="V547" s="32" t="n"/>
      <c r="W547" s="32" t="n"/>
      <c r="X547" s="32" t="n"/>
      <c r="Y547" s="32" t="n"/>
      <c r="Z547" s="32" t="n"/>
    </row>
    <row r="548">
      <c r="A548" s="32" t="n"/>
      <c r="B548" s="32" t="n"/>
      <c r="C548" s="32" t="n"/>
      <c r="D548" s="32" t="n"/>
      <c r="E548" s="32" t="n"/>
      <c r="F548" s="32" t="n"/>
      <c r="G548" s="32" t="n"/>
      <c r="H548" s="32" t="n"/>
      <c r="I548" s="32" t="n"/>
      <c r="J548" s="32" t="n"/>
      <c r="K548" s="32" t="n"/>
      <c r="L548" s="32" t="n"/>
      <c r="M548" s="32" t="n"/>
      <c r="N548" s="32" t="n"/>
      <c r="O548" s="32" t="n"/>
      <c r="P548" s="32" t="n"/>
      <c r="Q548" s="32" t="n"/>
      <c r="R548" s="32" t="n"/>
      <c r="S548" s="32" t="n"/>
      <c r="T548" s="32" t="n"/>
      <c r="U548" s="32" t="n"/>
      <c r="V548" s="32" t="n"/>
      <c r="W548" s="32" t="n"/>
      <c r="X548" s="32" t="n"/>
      <c r="Y548" s="32" t="n"/>
      <c r="Z548" s="32" t="n"/>
    </row>
    <row r="549">
      <c r="A549" s="32" t="n"/>
      <c r="B549" s="32" t="n"/>
      <c r="C549" s="32" t="n"/>
      <c r="D549" s="32" t="n"/>
      <c r="E549" s="32" t="n"/>
      <c r="F549" s="32" t="n"/>
      <c r="G549" s="32" t="n"/>
      <c r="H549" s="32" t="n"/>
      <c r="I549" s="32" t="n"/>
      <c r="J549" s="32" t="n"/>
      <c r="K549" s="32" t="n"/>
      <c r="L549" s="32" t="n"/>
      <c r="M549" s="32" t="n"/>
      <c r="N549" s="32" t="n"/>
      <c r="O549" s="32" t="n"/>
      <c r="P549" s="32" t="n"/>
      <c r="Q549" s="32" t="n"/>
      <c r="R549" s="32" t="n"/>
      <c r="S549" s="32" t="n"/>
      <c r="T549" s="32" t="n"/>
      <c r="U549" s="32" t="n"/>
      <c r="V549" s="32" t="n"/>
      <c r="W549" s="32" t="n"/>
      <c r="X549" s="32" t="n"/>
      <c r="Y549" s="32" t="n"/>
      <c r="Z549" s="32" t="n"/>
    </row>
    <row r="550">
      <c r="A550" s="32" t="n"/>
      <c r="B550" s="32" t="n"/>
      <c r="C550" s="32" t="n"/>
      <c r="D550" s="32" t="n"/>
      <c r="E550" s="32" t="n"/>
      <c r="F550" s="32" t="n"/>
      <c r="G550" s="32" t="n"/>
      <c r="H550" s="32" t="n"/>
      <c r="I550" s="32" t="n"/>
      <c r="J550" s="32" t="n"/>
      <c r="K550" s="32" t="n"/>
      <c r="L550" s="32" t="n"/>
      <c r="M550" s="32" t="n"/>
      <c r="N550" s="32" t="n"/>
      <c r="O550" s="32" t="n"/>
      <c r="P550" s="32" t="n"/>
      <c r="Q550" s="32" t="n"/>
      <c r="R550" s="32" t="n"/>
      <c r="S550" s="32" t="n"/>
      <c r="T550" s="32" t="n"/>
      <c r="U550" s="32" t="n"/>
      <c r="V550" s="32" t="n"/>
      <c r="W550" s="32" t="n"/>
      <c r="X550" s="32" t="n"/>
      <c r="Y550" s="32" t="n"/>
      <c r="Z550" s="32" t="n"/>
    </row>
    <row r="551">
      <c r="A551" s="32" t="n"/>
      <c r="B551" s="32" t="n"/>
      <c r="C551" s="32" t="n"/>
      <c r="D551" s="32" t="n"/>
      <c r="E551" s="32" t="n"/>
      <c r="F551" s="32" t="n"/>
      <c r="G551" s="32" t="n"/>
      <c r="H551" s="32" t="n"/>
      <c r="I551" s="32" t="n"/>
      <c r="J551" s="32" t="n"/>
      <c r="K551" s="32" t="n"/>
      <c r="L551" s="32" t="n"/>
      <c r="M551" s="32" t="n"/>
      <c r="N551" s="32" t="n"/>
      <c r="O551" s="32" t="n"/>
      <c r="P551" s="32" t="n"/>
      <c r="Q551" s="32" t="n"/>
      <c r="R551" s="32" t="n"/>
      <c r="S551" s="32" t="n"/>
      <c r="T551" s="32" t="n"/>
      <c r="U551" s="32" t="n"/>
      <c r="V551" s="32" t="n"/>
      <c r="W551" s="32" t="n"/>
      <c r="X551" s="32" t="n"/>
      <c r="Y551" s="32" t="n"/>
      <c r="Z551" s="32" t="n"/>
    </row>
    <row r="552">
      <c r="A552" s="32" t="n"/>
      <c r="B552" s="32" t="n"/>
      <c r="C552" s="32" t="n"/>
      <c r="D552" s="32" t="n"/>
      <c r="E552" s="32" t="n"/>
      <c r="F552" s="32" t="n"/>
      <c r="G552" s="32" t="n"/>
      <c r="H552" s="32" t="n"/>
      <c r="I552" s="32" t="n"/>
      <c r="J552" s="32" t="n"/>
      <c r="K552" s="32" t="n"/>
      <c r="L552" s="32" t="n"/>
      <c r="M552" s="32" t="n"/>
      <c r="N552" s="32" t="n"/>
      <c r="O552" s="32" t="n"/>
      <c r="P552" s="32" t="n"/>
      <c r="Q552" s="32" t="n"/>
      <c r="R552" s="32" t="n"/>
      <c r="S552" s="32" t="n"/>
      <c r="T552" s="32" t="n"/>
      <c r="U552" s="32" t="n"/>
      <c r="V552" s="32" t="n"/>
      <c r="W552" s="32" t="n"/>
      <c r="X552" s="32" t="n"/>
      <c r="Y552" s="32" t="n"/>
      <c r="Z552" s="32" t="n"/>
    </row>
    <row r="553">
      <c r="A553" s="32" t="n"/>
      <c r="B553" s="32" t="n"/>
      <c r="C553" s="32" t="n"/>
      <c r="D553" s="32" t="n"/>
      <c r="E553" s="32" t="n"/>
      <c r="F553" s="32" t="n"/>
      <c r="G553" s="32" t="n"/>
      <c r="H553" s="32" t="n"/>
      <c r="I553" s="32" t="n"/>
      <c r="J553" s="32" t="n"/>
      <c r="K553" s="32" t="n"/>
      <c r="L553" s="32" t="n"/>
      <c r="M553" s="32" t="n"/>
      <c r="N553" s="32" t="n"/>
      <c r="O553" s="32" t="n"/>
      <c r="P553" s="32" t="n"/>
      <c r="Q553" s="32" t="n"/>
      <c r="R553" s="32" t="n"/>
      <c r="S553" s="32" t="n"/>
      <c r="T553" s="32" t="n"/>
      <c r="U553" s="32" t="n"/>
      <c r="V553" s="32" t="n"/>
      <c r="W553" s="32" t="n"/>
      <c r="X553" s="32" t="n"/>
      <c r="Y553" s="32" t="n"/>
      <c r="Z553" s="32" t="n"/>
    </row>
    <row r="554">
      <c r="A554" s="32" t="n"/>
      <c r="B554" s="32" t="n"/>
      <c r="C554" s="32" t="n"/>
      <c r="D554" s="32" t="n"/>
      <c r="E554" s="32" t="n"/>
      <c r="F554" s="32" t="n"/>
      <c r="G554" s="32" t="n"/>
      <c r="H554" s="32" t="n"/>
      <c r="I554" s="32" t="n"/>
      <c r="J554" s="32" t="n"/>
      <c r="K554" s="32" t="n"/>
      <c r="L554" s="32" t="n"/>
      <c r="M554" s="32" t="n"/>
      <c r="N554" s="32" t="n"/>
      <c r="O554" s="32" t="n"/>
      <c r="P554" s="32" t="n"/>
      <c r="Q554" s="32" t="n"/>
      <c r="R554" s="32" t="n"/>
      <c r="S554" s="32" t="n"/>
      <c r="T554" s="32" t="n"/>
      <c r="U554" s="32" t="n"/>
      <c r="V554" s="32" t="n"/>
      <c r="W554" s="32" t="n"/>
      <c r="X554" s="32" t="n"/>
      <c r="Y554" s="32" t="n"/>
      <c r="Z554" s="32" t="n"/>
    </row>
    <row r="555">
      <c r="A555" s="32" t="n"/>
      <c r="B555" s="32" t="n"/>
      <c r="C555" s="32" t="n"/>
      <c r="D555" s="32" t="n"/>
      <c r="E555" s="32" t="n"/>
      <c r="F555" s="32" t="n"/>
      <c r="G555" s="32" t="n"/>
      <c r="H555" s="32" t="n"/>
      <c r="I555" s="32" t="n"/>
      <c r="J555" s="32" t="n"/>
      <c r="K555" s="32" t="n"/>
      <c r="L555" s="32" t="n"/>
      <c r="M555" s="32" t="n"/>
      <c r="N555" s="32" t="n"/>
      <c r="O555" s="32" t="n"/>
      <c r="P555" s="32" t="n"/>
      <c r="Q555" s="32" t="n"/>
      <c r="R555" s="32" t="n"/>
      <c r="S555" s="32" t="n"/>
      <c r="T555" s="32" t="n"/>
      <c r="U555" s="32" t="n"/>
      <c r="V555" s="32" t="n"/>
      <c r="W555" s="32" t="n"/>
      <c r="X555" s="32" t="n"/>
      <c r="Y555" s="32" t="n"/>
      <c r="Z555" s="32" t="n"/>
    </row>
    <row r="556">
      <c r="A556" s="32" t="n"/>
      <c r="B556" s="32" t="n"/>
      <c r="C556" s="32" t="n"/>
      <c r="D556" s="32" t="n"/>
      <c r="E556" s="32" t="n"/>
      <c r="F556" s="32" t="n"/>
      <c r="G556" s="32" t="n"/>
      <c r="H556" s="32" t="n"/>
      <c r="I556" s="32" t="n"/>
      <c r="J556" s="32" t="n"/>
      <c r="K556" s="32" t="n"/>
      <c r="L556" s="32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2" t="n"/>
      <c r="W556" s="32" t="n"/>
      <c r="X556" s="32" t="n"/>
      <c r="Y556" s="32" t="n"/>
      <c r="Z556" s="32" t="n"/>
    </row>
    <row r="557">
      <c r="A557" s="32" t="n"/>
      <c r="B557" s="32" t="n"/>
      <c r="C557" s="32" t="n"/>
      <c r="D557" s="32" t="n"/>
      <c r="E557" s="32" t="n"/>
      <c r="F557" s="32" t="n"/>
      <c r="G557" s="32" t="n"/>
      <c r="H557" s="32" t="n"/>
      <c r="I557" s="32" t="n"/>
      <c r="J557" s="32" t="n"/>
      <c r="K557" s="32" t="n"/>
      <c r="L557" s="32" t="n"/>
      <c r="M557" s="32" t="n"/>
      <c r="N557" s="32" t="n"/>
      <c r="O557" s="32" t="n"/>
      <c r="P557" s="32" t="n"/>
      <c r="Q557" s="32" t="n"/>
      <c r="R557" s="32" t="n"/>
      <c r="S557" s="32" t="n"/>
      <c r="T557" s="32" t="n"/>
      <c r="U557" s="32" t="n"/>
      <c r="V557" s="32" t="n"/>
      <c r="W557" s="32" t="n"/>
      <c r="X557" s="32" t="n"/>
      <c r="Y557" s="32" t="n"/>
      <c r="Z557" s="32" t="n"/>
    </row>
    <row r="558">
      <c r="A558" s="32" t="n"/>
      <c r="B558" s="32" t="n"/>
      <c r="C558" s="32" t="n"/>
      <c r="D558" s="32" t="n"/>
      <c r="E558" s="32" t="n"/>
      <c r="F558" s="32" t="n"/>
      <c r="G558" s="32" t="n"/>
      <c r="H558" s="32" t="n"/>
      <c r="I558" s="32" t="n"/>
      <c r="J558" s="32" t="n"/>
      <c r="K558" s="32" t="n"/>
      <c r="L558" s="32" t="n"/>
      <c r="M558" s="32" t="n"/>
      <c r="N558" s="32" t="n"/>
      <c r="O558" s="32" t="n"/>
      <c r="P558" s="32" t="n"/>
      <c r="Q558" s="32" t="n"/>
      <c r="R558" s="32" t="n"/>
      <c r="S558" s="32" t="n"/>
      <c r="T558" s="32" t="n"/>
      <c r="U558" s="32" t="n"/>
      <c r="V558" s="32" t="n"/>
      <c r="W558" s="32" t="n"/>
      <c r="X558" s="32" t="n"/>
      <c r="Y558" s="32" t="n"/>
      <c r="Z558" s="32" t="n"/>
    </row>
    <row r="559">
      <c r="A559" s="32" t="n"/>
      <c r="B559" s="32" t="n"/>
      <c r="C559" s="32" t="n"/>
      <c r="D559" s="32" t="n"/>
      <c r="E559" s="32" t="n"/>
      <c r="F559" s="32" t="n"/>
      <c r="G559" s="32" t="n"/>
      <c r="H559" s="32" t="n"/>
      <c r="I559" s="32" t="n"/>
      <c r="J559" s="32" t="n"/>
      <c r="K559" s="32" t="n"/>
      <c r="L559" s="32" t="n"/>
      <c r="M559" s="32" t="n"/>
      <c r="N559" s="32" t="n"/>
      <c r="O559" s="32" t="n"/>
      <c r="P559" s="32" t="n"/>
      <c r="Q559" s="32" t="n"/>
      <c r="R559" s="32" t="n"/>
      <c r="S559" s="32" t="n"/>
      <c r="T559" s="32" t="n"/>
      <c r="U559" s="32" t="n"/>
      <c r="V559" s="32" t="n"/>
      <c r="W559" s="32" t="n"/>
      <c r="X559" s="32" t="n"/>
      <c r="Y559" s="32" t="n"/>
      <c r="Z559" s="32" t="n"/>
    </row>
    <row r="560">
      <c r="A560" s="32" t="n"/>
      <c r="B560" s="32" t="n"/>
      <c r="C560" s="32" t="n"/>
      <c r="D560" s="32" t="n"/>
      <c r="E560" s="32" t="n"/>
      <c r="F560" s="32" t="n"/>
      <c r="G560" s="32" t="n"/>
      <c r="H560" s="32" t="n"/>
      <c r="I560" s="32" t="n"/>
      <c r="J560" s="32" t="n"/>
      <c r="K560" s="32" t="n"/>
      <c r="L560" s="32" t="n"/>
      <c r="M560" s="32" t="n"/>
      <c r="N560" s="32" t="n"/>
      <c r="O560" s="32" t="n"/>
      <c r="P560" s="32" t="n"/>
      <c r="Q560" s="32" t="n"/>
      <c r="R560" s="32" t="n"/>
      <c r="S560" s="32" t="n"/>
      <c r="T560" s="32" t="n"/>
      <c r="U560" s="32" t="n"/>
      <c r="V560" s="32" t="n"/>
      <c r="W560" s="32" t="n"/>
      <c r="X560" s="32" t="n"/>
      <c r="Y560" s="32" t="n"/>
      <c r="Z560" s="32" t="n"/>
    </row>
    <row r="561">
      <c r="A561" s="32" t="n"/>
      <c r="B561" s="32" t="n"/>
      <c r="C561" s="32" t="n"/>
      <c r="D561" s="32" t="n"/>
      <c r="E561" s="32" t="n"/>
      <c r="F561" s="32" t="n"/>
      <c r="G561" s="32" t="n"/>
      <c r="H561" s="32" t="n"/>
      <c r="I561" s="32" t="n"/>
      <c r="J561" s="32" t="n"/>
      <c r="K561" s="32" t="n"/>
      <c r="L561" s="32" t="n"/>
      <c r="M561" s="32" t="n"/>
      <c r="N561" s="32" t="n"/>
      <c r="O561" s="32" t="n"/>
      <c r="P561" s="32" t="n"/>
      <c r="Q561" s="32" t="n"/>
      <c r="R561" s="32" t="n"/>
      <c r="S561" s="32" t="n"/>
      <c r="T561" s="32" t="n"/>
      <c r="U561" s="32" t="n"/>
      <c r="V561" s="32" t="n"/>
      <c r="W561" s="32" t="n"/>
      <c r="X561" s="32" t="n"/>
      <c r="Y561" s="32" t="n"/>
      <c r="Z561" s="32" t="n"/>
    </row>
    <row r="562">
      <c r="A562" s="32" t="n"/>
      <c r="B562" s="32" t="n"/>
      <c r="C562" s="32" t="n"/>
      <c r="D562" s="32" t="n"/>
      <c r="E562" s="32" t="n"/>
      <c r="F562" s="32" t="n"/>
      <c r="G562" s="32" t="n"/>
      <c r="H562" s="32" t="n"/>
      <c r="I562" s="32" t="n"/>
      <c r="J562" s="32" t="n"/>
      <c r="K562" s="32" t="n"/>
      <c r="L562" s="32" t="n"/>
      <c r="M562" s="32" t="n"/>
      <c r="N562" s="32" t="n"/>
      <c r="O562" s="32" t="n"/>
      <c r="P562" s="32" t="n"/>
      <c r="Q562" s="32" t="n"/>
      <c r="R562" s="32" t="n"/>
      <c r="S562" s="32" t="n"/>
      <c r="T562" s="32" t="n"/>
      <c r="U562" s="32" t="n"/>
      <c r="V562" s="32" t="n"/>
      <c r="W562" s="32" t="n"/>
      <c r="X562" s="32" t="n"/>
      <c r="Y562" s="32" t="n"/>
      <c r="Z562" s="32" t="n"/>
    </row>
    <row r="563">
      <c r="A563" s="32" t="n"/>
      <c r="B563" s="32" t="n"/>
      <c r="C563" s="32" t="n"/>
      <c r="D563" s="32" t="n"/>
      <c r="E563" s="32" t="n"/>
      <c r="F563" s="32" t="n"/>
      <c r="G563" s="32" t="n"/>
      <c r="H563" s="32" t="n"/>
      <c r="I563" s="32" t="n"/>
      <c r="J563" s="32" t="n"/>
      <c r="K563" s="32" t="n"/>
      <c r="L563" s="32" t="n"/>
      <c r="M563" s="32" t="n"/>
      <c r="N563" s="32" t="n"/>
      <c r="O563" s="32" t="n"/>
      <c r="P563" s="32" t="n"/>
      <c r="Q563" s="32" t="n"/>
      <c r="R563" s="32" t="n"/>
      <c r="S563" s="32" t="n"/>
      <c r="T563" s="32" t="n"/>
      <c r="U563" s="32" t="n"/>
      <c r="V563" s="32" t="n"/>
      <c r="W563" s="32" t="n"/>
      <c r="X563" s="32" t="n"/>
      <c r="Y563" s="32" t="n"/>
      <c r="Z563" s="32" t="n"/>
    </row>
    <row r="564">
      <c r="A564" s="32" t="n"/>
      <c r="B564" s="32" t="n"/>
      <c r="C564" s="32" t="n"/>
      <c r="D564" s="32" t="n"/>
      <c r="E564" s="32" t="n"/>
      <c r="F564" s="32" t="n"/>
      <c r="G564" s="32" t="n"/>
      <c r="H564" s="32" t="n"/>
      <c r="I564" s="32" t="n"/>
      <c r="J564" s="32" t="n"/>
      <c r="K564" s="32" t="n"/>
      <c r="L564" s="32" t="n"/>
      <c r="M564" s="32" t="n"/>
      <c r="N564" s="32" t="n"/>
      <c r="O564" s="32" t="n"/>
      <c r="P564" s="32" t="n"/>
      <c r="Q564" s="32" t="n"/>
      <c r="R564" s="32" t="n"/>
      <c r="S564" s="32" t="n"/>
      <c r="T564" s="32" t="n"/>
      <c r="U564" s="32" t="n"/>
      <c r="V564" s="32" t="n"/>
      <c r="W564" s="32" t="n"/>
      <c r="X564" s="32" t="n"/>
      <c r="Y564" s="32" t="n"/>
      <c r="Z564" s="32" t="n"/>
    </row>
    <row r="565">
      <c r="A565" s="32" t="n"/>
      <c r="B565" s="32" t="n"/>
      <c r="C565" s="32" t="n"/>
      <c r="D565" s="32" t="n"/>
      <c r="E565" s="32" t="n"/>
      <c r="F565" s="32" t="n"/>
      <c r="G565" s="32" t="n"/>
      <c r="H565" s="32" t="n"/>
      <c r="I565" s="32" t="n"/>
      <c r="J565" s="32" t="n"/>
      <c r="K565" s="32" t="n"/>
      <c r="L565" s="32" t="n"/>
      <c r="M565" s="32" t="n"/>
      <c r="N565" s="32" t="n"/>
      <c r="O565" s="32" t="n"/>
      <c r="P565" s="32" t="n"/>
      <c r="Q565" s="32" t="n"/>
      <c r="R565" s="32" t="n"/>
      <c r="S565" s="32" t="n"/>
      <c r="T565" s="32" t="n"/>
      <c r="U565" s="32" t="n"/>
      <c r="V565" s="32" t="n"/>
      <c r="W565" s="32" t="n"/>
      <c r="X565" s="32" t="n"/>
      <c r="Y565" s="32" t="n"/>
      <c r="Z565" s="32" t="n"/>
    </row>
    <row r="566">
      <c r="A566" s="32" t="n"/>
      <c r="B566" s="32" t="n"/>
      <c r="C566" s="32" t="n"/>
      <c r="D566" s="32" t="n"/>
      <c r="E566" s="32" t="n"/>
      <c r="F566" s="32" t="n"/>
      <c r="G566" s="32" t="n"/>
      <c r="H566" s="32" t="n"/>
      <c r="I566" s="32" t="n"/>
      <c r="J566" s="32" t="n"/>
      <c r="K566" s="32" t="n"/>
      <c r="L566" s="32" t="n"/>
      <c r="M566" s="32" t="n"/>
      <c r="N566" s="32" t="n"/>
      <c r="O566" s="32" t="n"/>
      <c r="P566" s="32" t="n"/>
      <c r="Q566" s="32" t="n"/>
      <c r="R566" s="32" t="n"/>
      <c r="S566" s="32" t="n"/>
      <c r="T566" s="32" t="n"/>
      <c r="U566" s="32" t="n"/>
      <c r="V566" s="32" t="n"/>
      <c r="W566" s="32" t="n"/>
      <c r="X566" s="32" t="n"/>
      <c r="Y566" s="32" t="n"/>
      <c r="Z566" s="32" t="n"/>
    </row>
    <row r="567">
      <c r="A567" s="32" t="n"/>
      <c r="B567" s="32" t="n"/>
      <c r="C567" s="32" t="n"/>
      <c r="D567" s="32" t="n"/>
      <c r="E567" s="32" t="n"/>
      <c r="F567" s="32" t="n"/>
      <c r="G567" s="32" t="n"/>
      <c r="H567" s="32" t="n"/>
      <c r="I567" s="32" t="n"/>
      <c r="J567" s="32" t="n"/>
      <c r="K567" s="32" t="n"/>
      <c r="L567" s="32" t="n"/>
      <c r="M567" s="32" t="n"/>
      <c r="N567" s="32" t="n"/>
      <c r="O567" s="32" t="n"/>
      <c r="P567" s="32" t="n"/>
      <c r="Q567" s="32" t="n"/>
      <c r="R567" s="32" t="n"/>
      <c r="S567" s="32" t="n"/>
      <c r="T567" s="32" t="n"/>
      <c r="U567" s="32" t="n"/>
      <c r="V567" s="32" t="n"/>
      <c r="W567" s="32" t="n"/>
      <c r="X567" s="32" t="n"/>
      <c r="Y567" s="32" t="n"/>
      <c r="Z567" s="32" t="n"/>
    </row>
    <row r="568">
      <c r="A568" s="32" t="n"/>
      <c r="B568" s="32" t="n"/>
      <c r="C568" s="32" t="n"/>
      <c r="D568" s="32" t="n"/>
      <c r="E568" s="32" t="n"/>
      <c r="F568" s="32" t="n"/>
      <c r="G568" s="32" t="n"/>
      <c r="H568" s="32" t="n"/>
      <c r="I568" s="32" t="n"/>
      <c r="J568" s="32" t="n"/>
      <c r="K568" s="32" t="n"/>
      <c r="L568" s="32" t="n"/>
      <c r="M568" s="32" t="n"/>
      <c r="N568" s="32" t="n"/>
      <c r="O568" s="32" t="n"/>
      <c r="P568" s="32" t="n"/>
      <c r="Q568" s="32" t="n"/>
      <c r="R568" s="32" t="n"/>
      <c r="S568" s="32" t="n"/>
      <c r="T568" s="32" t="n"/>
      <c r="U568" s="32" t="n"/>
      <c r="V568" s="32" t="n"/>
      <c r="W568" s="32" t="n"/>
      <c r="X568" s="32" t="n"/>
      <c r="Y568" s="32" t="n"/>
      <c r="Z568" s="32" t="n"/>
    </row>
    <row r="569">
      <c r="A569" s="32" t="n"/>
      <c r="B569" s="32" t="n"/>
      <c r="C569" s="32" t="n"/>
      <c r="D569" s="32" t="n"/>
      <c r="E569" s="32" t="n"/>
      <c r="F569" s="32" t="n"/>
      <c r="G569" s="32" t="n"/>
      <c r="H569" s="32" t="n"/>
      <c r="I569" s="32" t="n"/>
      <c r="J569" s="32" t="n"/>
      <c r="K569" s="32" t="n"/>
      <c r="L569" s="32" t="n"/>
      <c r="M569" s="32" t="n"/>
      <c r="N569" s="32" t="n"/>
      <c r="O569" s="32" t="n"/>
      <c r="P569" s="32" t="n"/>
      <c r="Q569" s="32" t="n"/>
      <c r="R569" s="32" t="n"/>
      <c r="S569" s="32" t="n"/>
      <c r="T569" s="32" t="n"/>
      <c r="U569" s="32" t="n"/>
      <c r="V569" s="32" t="n"/>
      <c r="W569" s="32" t="n"/>
      <c r="X569" s="32" t="n"/>
      <c r="Y569" s="32" t="n"/>
      <c r="Z569" s="32" t="n"/>
    </row>
    <row r="570">
      <c r="A570" s="32" t="n"/>
      <c r="B570" s="32" t="n"/>
      <c r="C570" s="32" t="n"/>
      <c r="D570" s="32" t="n"/>
      <c r="E570" s="32" t="n"/>
      <c r="F570" s="32" t="n"/>
      <c r="G570" s="32" t="n"/>
      <c r="H570" s="32" t="n"/>
      <c r="I570" s="32" t="n"/>
      <c r="J570" s="32" t="n"/>
      <c r="K570" s="32" t="n"/>
      <c r="L570" s="32" t="n"/>
      <c r="M570" s="32" t="n"/>
      <c r="N570" s="32" t="n"/>
      <c r="O570" s="32" t="n"/>
      <c r="P570" s="32" t="n"/>
      <c r="Q570" s="32" t="n"/>
      <c r="R570" s="32" t="n"/>
      <c r="S570" s="32" t="n"/>
      <c r="T570" s="32" t="n"/>
      <c r="U570" s="32" t="n"/>
      <c r="V570" s="32" t="n"/>
      <c r="W570" s="32" t="n"/>
      <c r="X570" s="32" t="n"/>
      <c r="Y570" s="32" t="n"/>
      <c r="Z570" s="32" t="n"/>
    </row>
    <row r="571">
      <c r="A571" s="32" t="n"/>
      <c r="B571" s="32" t="n"/>
      <c r="C571" s="32" t="n"/>
      <c r="D571" s="32" t="n"/>
      <c r="E571" s="32" t="n"/>
      <c r="F571" s="32" t="n"/>
      <c r="G571" s="32" t="n"/>
      <c r="H571" s="32" t="n"/>
      <c r="I571" s="32" t="n"/>
      <c r="J571" s="32" t="n"/>
      <c r="K571" s="32" t="n"/>
      <c r="L571" s="32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2" t="n"/>
      <c r="W571" s="32" t="n"/>
      <c r="X571" s="32" t="n"/>
      <c r="Y571" s="32" t="n"/>
      <c r="Z571" s="32" t="n"/>
    </row>
    <row r="572">
      <c r="A572" s="32" t="n"/>
      <c r="B572" s="32" t="n"/>
      <c r="C572" s="32" t="n"/>
      <c r="D572" s="32" t="n"/>
      <c r="E572" s="32" t="n"/>
      <c r="F572" s="32" t="n"/>
      <c r="G572" s="32" t="n"/>
      <c r="H572" s="32" t="n"/>
      <c r="I572" s="32" t="n"/>
      <c r="J572" s="32" t="n"/>
      <c r="K572" s="32" t="n"/>
      <c r="L572" s="32" t="n"/>
      <c r="M572" s="32" t="n"/>
      <c r="N572" s="32" t="n"/>
      <c r="O572" s="32" t="n"/>
      <c r="P572" s="32" t="n"/>
      <c r="Q572" s="32" t="n"/>
      <c r="R572" s="32" t="n"/>
      <c r="S572" s="32" t="n"/>
      <c r="T572" s="32" t="n"/>
      <c r="U572" s="32" t="n"/>
      <c r="V572" s="32" t="n"/>
      <c r="W572" s="32" t="n"/>
      <c r="X572" s="32" t="n"/>
      <c r="Y572" s="32" t="n"/>
      <c r="Z572" s="32" t="n"/>
    </row>
    <row r="573">
      <c r="A573" s="32" t="n"/>
      <c r="B573" s="32" t="n"/>
      <c r="C573" s="32" t="n"/>
      <c r="D573" s="32" t="n"/>
      <c r="E573" s="32" t="n"/>
      <c r="F573" s="32" t="n"/>
      <c r="G573" s="32" t="n"/>
      <c r="H573" s="32" t="n"/>
      <c r="I573" s="32" t="n"/>
      <c r="J573" s="32" t="n"/>
      <c r="K573" s="32" t="n"/>
      <c r="L573" s="32" t="n"/>
      <c r="M573" s="32" t="n"/>
      <c r="N573" s="32" t="n"/>
      <c r="O573" s="32" t="n"/>
      <c r="P573" s="32" t="n"/>
      <c r="Q573" s="32" t="n"/>
      <c r="R573" s="32" t="n"/>
      <c r="S573" s="32" t="n"/>
      <c r="T573" s="32" t="n"/>
      <c r="U573" s="32" t="n"/>
      <c r="V573" s="32" t="n"/>
      <c r="W573" s="32" t="n"/>
      <c r="X573" s="32" t="n"/>
      <c r="Y573" s="32" t="n"/>
      <c r="Z573" s="32" t="n"/>
    </row>
    <row r="574">
      <c r="A574" s="32" t="n"/>
      <c r="B574" s="32" t="n"/>
      <c r="C574" s="32" t="n"/>
      <c r="D574" s="32" t="n"/>
      <c r="E574" s="32" t="n"/>
      <c r="F574" s="32" t="n"/>
      <c r="G574" s="32" t="n"/>
      <c r="H574" s="32" t="n"/>
      <c r="I574" s="32" t="n"/>
      <c r="J574" s="32" t="n"/>
      <c r="K574" s="32" t="n"/>
      <c r="L574" s="32" t="n"/>
      <c r="M574" s="32" t="n"/>
      <c r="N574" s="32" t="n"/>
      <c r="O574" s="32" t="n"/>
      <c r="P574" s="32" t="n"/>
      <c r="Q574" s="32" t="n"/>
      <c r="R574" s="32" t="n"/>
      <c r="S574" s="32" t="n"/>
      <c r="T574" s="32" t="n"/>
      <c r="U574" s="32" t="n"/>
      <c r="V574" s="32" t="n"/>
      <c r="W574" s="32" t="n"/>
      <c r="X574" s="32" t="n"/>
      <c r="Y574" s="32" t="n"/>
      <c r="Z574" s="32" t="n"/>
    </row>
    <row r="575">
      <c r="A575" s="32" t="n"/>
      <c r="B575" s="32" t="n"/>
      <c r="C575" s="32" t="n"/>
      <c r="D575" s="32" t="n"/>
      <c r="E575" s="32" t="n"/>
      <c r="F575" s="32" t="n"/>
      <c r="G575" s="32" t="n"/>
      <c r="H575" s="32" t="n"/>
      <c r="I575" s="32" t="n"/>
      <c r="J575" s="32" t="n"/>
      <c r="K575" s="32" t="n"/>
      <c r="L575" s="32" t="n"/>
      <c r="M575" s="32" t="n"/>
      <c r="N575" s="32" t="n"/>
      <c r="O575" s="32" t="n"/>
      <c r="P575" s="32" t="n"/>
      <c r="Q575" s="32" t="n"/>
      <c r="R575" s="32" t="n"/>
      <c r="S575" s="32" t="n"/>
      <c r="T575" s="32" t="n"/>
      <c r="U575" s="32" t="n"/>
      <c r="V575" s="32" t="n"/>
      <c r="W575" s="32" t="n"/>
      <c r="X575" s="32" t="n"/>
      <c r="Y575" s="32" t="n"/>
      <c r="Z575" s="32" t="n"/>
    </row>
    <row r="576">
      <c r="A576" s="32" t="n"/>
      <c r="B576" s="32" t="n"/>
      <c r="C576" s="32" t="n"/>
      <c r="D576" s="32" t="n"/>
      <c r="E576" s="32" t="n"/>
      <c r="F576" s="32" t="n"/>
      <c r="G576" s="32" t="n"/>
      <c r="H576" s="32" t="n"/>
      <c r="I576" s="32" t="n"/>
      <c r="J576" s="32" t="n"/>
      <c r="K576" s="32" t="n"/>
      <c r="L576" s="32" t="n"/>
      <c r="M576" s="32" t="n"/>
      <c r="N576" s="32" t="n"/>
      <c r="O576" s="32" t="n"/>
      <c r="P576" s="32" t="n"/>
      <c r="Q576" s="32" t="n"/>
      <c r="R576" s="32" t="n"/>
      <c r="S576" s="32" t="n"/>
      <c r="T576" s="32" t="n"/>
      <c r="U576" s="32" t="n"/>
      <c r="V576" s="32" t="n"/>
      <c r="W576" s="32" t="n"/>
      <c r="X576" s="32" t="n"/>
      <c r="Y576" s="32" t="n"/>
      <c r="Z576" s="32" t="n"/>
    </row>
    <row r="577">
      <c r="A577" s="32" t="n"/>
      <c r="B577" s="32" t="n"/>
      <c r="C577" s="32" t="n"/>
      <c r="D577" s="32" t="n"/>
      <c r="E577" s="32" t="n"/>
      <c r="F577" s="32" t="n"/>
      <c r="G577" s="32" t="n"/>
      <c r="H577" s="32" t="n"/>
      <c r="I577" s="32" t="n"/>
      <c r="J577" s="32" t="n"/>
      <c r="K577" s="32" t="n"/>
      <c r="L577" s="32" t="n"/>
      <c r="M577" s="32" t="n"/>
      <c r="N577" s="32" t="n"/>
      <c r="O577" s="32" t="n"/>
      <c r="P577" s="32" t="n"/>
      <c r="Q577" s="32" t="n"/>
      <c r="R577" s="32" t="n"/>
      <c r="S577" s="32" t="n"/>
      <c r="T577" s="32" t="n"/>
      <c r="U577" s="32" t="n"/>
      <c r="V577" s="32" t="n"/>
      <c r="W577" s="32" t="n"/>
      <c r="X577" s="32" t="n"/>
      <c r="Y577" s="32" t="n"/>
      <c r="Z577" s="32" t="n"/>
    </row>
    <row r="578">
      <c r="A578" s="32" t="n"/>
      <c r="B578" s="32" t="n"/>
      <c r="C578" s="32" t="n"/>
      <c r="D578" s="32" t="n"/>
      <c r="E578" s="32" t="n"/>
      <c r="F578" s="32" t="n"/>
      <c r="G578" s="32" t="n"/>
      <c r="H578" s="32" t="n"/>
      <c r="I578" s="32" t="n"/>
      <c r="J578" s="32" t="n"/>
      <c r="K578" s="32" t="n"/>
      <c r="L578" s="32" t="n"/>
      <c r="M578" s="32" t="n"/>
      <c r="N578" s="32" t="n"/>
      <c r="O578" s="32" t="n"/>
      <c r="P578" s="32" t="n"/>
      <c r="Q578" s="32" t="n"/>
      <c r="R578" s="32" t="n"/>
      <c r="S578" s="32" t="n"/>
      <c r="T578" s="32" t="n"/>
      <c r="U578" s="32" t="n"/>
      <c r="V578" s="32" t="n"/>
      <c r="W578" s="32" t="n"/>
      <c r="X578" s="32" t="n"/>
      <c r="Y578" s="32" t="n"/>
      <c r="Z578" s="32" t="n"/>
    </row>
    <row r="579">
      <c r="A579" s="32" t="n"/>
      <c r="B579" s="32" t="n"/>
      <c r="C579" s="32" t="n"/>
      <c r="D579" s="32" t="n"/>
      <c r="E579" s="32" t="n"/>
      <c r="F579" s="32" t="n"/>
      <c r="G579" s="32" t="n"/>
      <c r="H579" s="32" t="n"/>
      <c r="I579" s="32" t="n"/>
      <c r="J579" s="32" t="n"/>
      <c r="K579" s="32" t="n"/>
      <c r="L579" s="32" t="n"/>
      <c r="M579" s="32" t="n"/>
      <c r="N579" s="32" t="n"/>
      <c r="O579" s="32" t="n"/>
      <c r="P579" s="32" t="n"/>
      <c r="Q579" s="32" t="n"/>
      <c r="R579" s="32" t="n"/>
      <c r="S579" s="32" t="n"/>
      <c r="T579" s="32" t="n"/>
      <c r="U579" s="32" t="n"/>
      <c r="V579" s="32" t="n"/>
      <c r="W579" s="32" t="n"/>
      <c r="X579" s="32" t="n"/>
      <c r="Y579" s="32" t="n"/>
      <c r="Z579" s="32" t="n"/>
    </row>
    <row r="580">
      <c r="A580" s="32" t="n"/>
      <c r="B580" s="32" t="n"/>
      <c r="C580" s="32" t="n"/>
      <c r="D580" s="32" t="n"/>
      <c r="E580" s="32" t="n"/>
      <c r="F580" s="32" t="n"/>
      <c r="G580" s="32" t="n"/>
      <c r="H580" s="32" t="n"/>
      <c r="I580" s="32" t="n"/>
      <c r="J580" s="32" t="n"/>
      <c r="K580" s="32" t="n"/>
      <c r="L580" s="32" t="n"/>
      <c r="M580" s="32" t="n"/>
      <c r="N580" s="32" t="n"/>
      <c r="O580" s="32" t="n"/>
      <c r="P580" s="32" t="n"/>
      <c r="Q580" s="32" t="n"/>
      <c r="R580" s="32" t="n"/>
      <c r="S580" s="32" t="n"/>
      <c r="T580" s="32" t="n"/>
      <c r="U580" s="32" t="n"/>
      <c r="V580" s="32" t="n"/>
      <c r="W580" s="32" t="n"/>
      <c r="X580" s="32" t="n"/>
      <c r="Y580" s="32" t="n"/>
      <c r="Z580" s="32" t="n"/>
    </row>
    <row r="581">
      <c r="A581" s="32" t="n"/>
      <c r="B581" s="32" t="n"/>
      <c r="C581" s="32" t="n"/>
      <c r="D581" s="32" t="n"/>
      <c r="E581" s="32" t="n"/>
      <c r="F581" s="32" t="n"/>
      <c r="G581" s="32" t="n"/>
      <c r="H581" s="32" t="n"/>
      <c r="I581" s="32" t="n"/>
      <c r="J581" s="32" t="n"/>
      <c r="K581" s="32" t="n"/>
      <c r="L581" s="32" t="n"/>
      <c r="M581" s="32" t="n"/>
      <c r="N581" s="32" t="n"/>
      <c r="O581" s="32" t="n"/>
      <c r="P581" s="32" t="n"/>
      <c r="Q581" s="32" t="n"/>
      <c r="R581" s="32" t="n"/>
      <c r="S581" s="32" t="n"/>
      <c r="T581" s="32" t="n"/>
      <c r="U581" s="32" t="n"/>
      <c r="V581" s="32" t="n"/>
      <c r="W581" s="32" t="n"/>
      <c r="X581" s="32" t="n"/>
      <c r="Y581" s="32" t="n"/>
      <c r="Z581" s="32" t="n"/>
    </row>
    <row r="582">
      <c r="A582" s="32" t="n"/>
      <c r="B582" s="32" t="n"/>
      <c r="C582" s="32" t="n"/>
      <c r="D582" s="32" t="n"/>
      <c r="E582" s="32" t="n"/>
      <c r="F582" s="32" t="n"/>
      <c r="G582" s="32" t="n"/>
      <c r="H582" s="32" t="n"/>
      <c r="I582" s="32" t="n"/>
      <c r="J582" s="32" t="n"/>
      <c r="K582" s="32" t="n"/>
      <c r="L582" s="32" t="n"/>
      <c r="M582" s="32" t="n"/>
      <c r="N582" s="32" t="n"/>
      <c r="O582" s="32" t="n"/>
      <c r="P582" s="32" t="n"/>
      <c r="Q582" s="32" t="n"/>
      <c r="R582" s="32" t="n"/>
      <c r="S582" s="32" t="n"/>
      <c r="T582" s="32" t="n"/>
      <c r="U582" s="32" t="n"/>
      <c r="V582" s="32" t="n"/>
      <c r="W582" s="32" t="n"/>
      <c r="X582" s="32" t="n"/>
      <c r="Y582" s="32" t="n"/>
      <c r="Z582" s="32" t="n"/>
    </row>
    <row r="583">
      <c r="A583" s="32" t="n"/>
      <c r="B583" s="32" t="n"/>
      <c r="C583" s="32" t="n"/>
      <c r="D583" s="32" t="n"/>
      <c r="E583" s="32" t="n"/>
      <c r="F583" s="32" t="n"/>
      <c r="G583" s="32" t="n"/>
      <c r="H583" s="32" t="n"/>
      <c r="I583" s="32" t="n"/>
      <c r="J583" s="32" t="n"/>
      <c r="K583" s="32" t="n"/>
      <c r="L583" s="32" t="n"/>
      <c r="M583" s="32" t="n"/>
      <c r="N583" s="32" t="n"/>
      <c r="O583" s="32" t="n"/>
      <c r="P583" s="32" t="n"/>
      <c r="Q583" s="32" t="n"/>
      <c r="R583" s="32" t="n"/>
      <c r="S583" s="32" t="n"/>
      <c r="T583" s="32" t="n"/>
      <c r="U583" s="32" t="n"/>
      <c r="V583" s="32" t="n"/>
      <c r="W583" s="32" t="n"/>
      <c r="X583" s="32" t="n"/>
      <c r="Y583" s="32" t="n"/>
      <c r="Z583" s="32" t="n"/>
    </row>
    <row r="584">
      <c r="A584" s="32" t="n"/>
      <c r="B584" s="32" t="n"/>
      <c r="C584" s="32" t="n"/>
      <c r="D584" s="32" t="n"/>
      <c r="E584" s="32" t="n"/>
      <c r="F584" s="32" t="n"/>
      <c r="G584" s="32" t="n"/>
      <c r="H584" s="32" t="n"/>
      <c r="I584" s="32" t="n"/>
      <c r="J584" s="32" t="n"/>
      <c r="K584" s="32" t="n"/>
      <c r="L584" s="32" t="n"/>
      <c r="M584" s="32" t="n"/>
      <c r="N584" s="32" t="n"/>
      <c r="O584" s="32" t="n"/>
      <c r="P584" s="32" t="n"/>
      <c r="Q584" s="32" t="n"/>
      <c r="R584" s="32" t="n"/>
      <c r="S584" s="32" t="n"/>
      <c r="T584" s="32" t="n"/>
      <c r="U584" s="32" t="n"/>
      <c r="V584" s="32" t="n"/>
      <c r="W584" s="32" t="n"/>
      <c r="X584" s="32" t="n"/>
      <c r="Y584" s="32" t="n"/>
      <c r="Z584" s="32" t="n"/>
    </row>
    <row r="585">
      <c r="A585" s="32" t="n"/>
      <c r="B585" s="32" t="n"/>
      <c r="C585" s="32" t="n"/>
      <c r="D585" s="32" t="n"/>
      <c r="E585" s="32" t="n"/>
      <c r="F585" s="32" t="n"/>
      <c r="G585" s="32" t="n"/>
      <c r="H585" s="32" t="n"/>
      <c r="I585" s="32" t="n"/>
      <c r="J585" s="32" t="n"/>
      <c r="K585" s="32" t="n"/>
      <c r="L585" s="32" t="n"/>
      <c r="M585" s="32" t="n"/>
      <c r="N585" s="32" t="n"/>
      <c r="O585" s="32" t="n"/>
      <c r="P585" s="32" t="n"/>
      <c r="Q585" s="32" t="n"/>
      <c r="R585" s="32" t="n"/>
      <c r="S585" s="32" t="n"/>
      <c r="T585" s="32" t="n"/>
      <c r="U585" s="32" t="n"/>
      <c r="V585" s="32" t="n"/>
      <c r="W585" s="32" t="n"/>
      <c r="X585" s="32" t="n"/>
      <c r="Y585" s="32" t="n"/>
      <c r="Z585" s="32" t="n"/>
    </row>
    <row r="586">
      <c r="A586" s="32" t="n"/>
      <c r="B586" s="32" t="n"/>
      <c r="C586" s="32" t="n"/>
      <c r="D586" s="32" t="n"/>
      <c r="E586" s="32" t="n"/>
      <c r="F586" s="32" t="n"/>
      <c r="G586" s="32" t="n"/>
      <c r="H586" s="32" t="n"/>
      <c r="I586" s="32" t="n"/>
      <c r="J586" s="32" t="n"/>
      <c r="K586" s="32" t="n"/>
      <c r="L586" s="32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2" t="n"/>
      <c r="W586" s="32" t="n"/>
      <c r="X586" s="32" t="n"/>
      <c r="Y586" s="32" t="n"/>
      <c r="Z586" s="32" t="n"/>
    </row>
    <row r="587">
      <c r="A587" s="32" t="n"/>
      <c r="B587" s="32" t="n"/>
      <c r="C587" s="32" t="n"/>
      <c r="D587" s="32" t="n"/>
      <c r="E587" s="32" t="n"/>
      <c r="F587" s="32" t="n"/>
      <c r="G587" s="32" t="n"/>
      <c r="H587" s="32" t="n"/>
      <c r="I587" s="32" t="n"/>
      <c r="J587" s="32" t="n"/>
      <c r="K587" s="32" t="n"/>
      <c r="L587" s="32" t="n"/>
      <c r="M587" s="32" t="n"/>
      <c r="N587" s="32" t="n"/>
      <c r="O587" s="32" t="n"/>
      <c r="P587" s="32" t="n"/>
      <c r="Q587" s="32" t="n"/>
      <c r="R587" s="32" t="n"/>
      <c r="S587" s="32" t="n"/>
      <c r="T587" s="32" t="n"/>
      <c r="U587" s="32" t="n"/>
      <c r="V587" s="32" t="n"/>
      <c r="W587" s="32" t="n"/>
      <c r="X587" s="32" t="n"/>
      <c r="Y587" s="32" t="n"/>
      <c r="Z587" s="32" t="n"/>
    </row>
    <row r="588">
      <c r="A588" s="32" t="n"/>
      <c r="B588" s="32" t="n"/>
      <c r="C588" s="32" t="n"/>
      <c r="D588" s="32" t="n"/>
      <c r="E588" s="32" t="n"/>
      <c r="F588" s="32" t="n"/>
      <c r="G588" s="32" t="n"/>
      <c r="H588" s="32" t="n"/>
      <c r="I588" s="32" t="n"/>
      <c r="J588" s="32" t="n"/>
      <c r="K588" s="32" t="n"/>
      <c r="L588" s="32" t="n"/>
      <c r="M588" s="32" t="n"/>
      <c r="N588" s="32" t="n"/>
      <c r="O588" s="32" t="n"/>
      <c r="P588" s="32" t="n"/>
      <c r="Q588" s="32" t="n"/>
      <c r="R588" s="32" t="n"/>
      <c r="S588" s="32" t="n"/>
      <c r="T588" s="32" t="n"/>
      <c r="U588" s="32" t="n"/>
      <c r="V588" s="32" t="n"/>
      <c r="W588" s="32" t="n"/>
      <c r="X588" s="32" t="n"/>
      <c r="Y588" s="32" t="n"/>
      <c r="Z588" s="32" t="n"/>
    </row>
    <row r="589">
      <c r="A589" s="32" t="n"/>
      <c r="B589" s="32" t="n"/>
      <c r="C589" s="32" t="n"/>
      <c r="D589" s="32" t="n"/>
      <c r="E589" s="32" t="n"/>
      <c r="F589" s="32" t="n"/>
      <c r="G589" s="32" t="n"/>
      <c r="H589" s="32" t="n"/>
      <c r="I589" s="32" t="n"/>
      <c r="J589" s="32" t="n"/>
      <c r="K589" s="32" t="n"/>
      <c r="L589" s="32" t="n"/>
      <c r="M589" s="32" t="n"/>
      <c r="N589" s="32" t="n"/>
      <c r="O589" s="32" t="n"/>
      <c r="P589" s="32" t="n"/>
      <c r="Q589" s="32" t="n"/>
      <c r="R589" s="32" t="n"/>
      <c r="S589" s="32" t="n"/>
      <c r="T589" s="32" t="n"/>
      <c r="U589" s="32" t="n"/>
      <c r="V589" s="32" t="n"/>
      <c r="W589" s="32" t="n"/>
      <c r="X589" s="32" t="n"/>
      <c r="Y589" s="32" t="n"/>
      <c r="Z589" s="32" t="n"/>
    </row>
    <row r="590">
      <c r="A590" s="32" t="n"/>
      <c r="B590" s="32" t="n"/>
      <c r="C590" s="32" t="n"/>
      <c r="D590" s="32" t="n"/>
      <c r="E590" s="32" t="n"/>
      <c r="F590" s="32" t="n"/>
      <c r="G590" s="32" t="n"/>
      <c r="H590" s="32" t="n"/>
      <c r="I590" s="32" t="n"/>
      <c r="J590" s="32" t="n"/>
      <c r="K590" s="32" t="n"/>
      <c r="L590" s="32" t="n"/>
      <c r="M590" s="32" t="n"/>
      <c r="N590" s="32" t="n"/>
      <c r="O590" s="32" t="n"/>
      <c r="P590" s="32" t="n"/>
      <c r="Q590" s="32" t="n"/>
      <c r="R590" s="32" t="n"/>
      <c r="S590" s="32" t="n"/>
      <c r="T590" s="32" t="n"/>
      <c r="U590" s="32" t="n"/>
      <c r="V590" s="32" t="n"/>
      <c r="W590" s="32" t="n"/>
      <c r="X590" s="32" t="n"/>
      <c r="Y590" s="32" t="n"/>
      <c r="Z590" s="32" t="n"/>
    </row>
    <row r="591">
      <c r="A591" s="32" t="n"/>
      <c r="B591" s="32" t="n"/>
      <c r="C591" s="32" t="n"/>
      <c r="D591" s="32" t="n"/>
      <c r="E591" s="32" t="n"/>
      <c r="F591" s="32" t="n"/>
      <c r="G591" s="32" t="n"/>
      <c r="H591" s="32" t="n"/>
      <c r="I591" s="32" t="n"/>
      <c r="J591" s="32" t="n"/>
      <c r="K591" s="32" t="n"/>
      <c r="L591" s="32" t="n"/>
      <c r="M591" s="32" t="n"/>
      <c r="N591" s="32" t="n"/>
      <c r="O591" s="32" t="n"/>
      <c r="P591" s="32" t="n"/>
      <c r="Q591" s="32" t="n"/>
      <c r="R591" s="32" t="n"/>
      <c r="S591" s="32" t="n"/>
      <c r="T591" s="32" t="n"/>
      <c r="U591" s="32" t="n"/>
      <c r="V591" s="32" t="n"/>
      <c r="W591" s="32" t="n"/>
      <c r="X591" s="32" t="n"/>
      <c r="Y591" s="32" t="n"/>
      <c r="Z591" s="32" t="n"/>
    </row>
    <row r="592">
      <c r="A592" s="32" t="n"/>
      <c r="B592" s="32" t="n"/>
      <c r="C592" s="32" t="n"/>
      <c r="D592" s="32" t="n"/>
      <c r="E592" s="32" t="n"/>
      <c r="F592" s="32" t="n"/>
      <c r="G592" s="32" t="n"/>
      <c r="H592" s="32" t="n"/>
      <c r="I592" s="32" t="n"/>
      <c r="J592" s="32" t="n"/>
      <c r="K592" s="32" t="n"/>
      <c r="L592" s="32" t="n"/>
      <c r="M592" s="32" t="n"/>
      <c r="N592" s="32" t="n"/>
      <c r="O592" s="32" t="n"/>
      <c r="P592" s="32" t="n"/>
      <c r="Q592" s="32" t="n"/>
      <c r="R592" s="32" t="n"/>
      <c r="S592" s="32" t="n"/>
      <c r="T592" s="32" t="n"/>
      <c r="U592" s="32" t="n"/>
      <c r="V592" s="32" t="n"/>
      <c r="W592" s="32" t="n"/>
      <c r="X592" s="32" t="n"/>
      <c r="Y592" s="32" t="n"/>
      <c r="Z592" s="32" t="n"/>
    </row>
    <row r="593">
      <c r="A593" s="32" t="n"/>
      <c r="B593" s="32" t="n"/>
      <c r="C593" s="32" t="n"/>
      <c r="D593" s="32" t="n"/>
      <c r="E593" s="32" t="n"/>
      <c r="F593" s="32" t="n"/>
      <c r="G593" s="32" t="n"/>
      <c r="H593" s="32" t="n"/>
      <c r="I593" s="32" t="n"/>
      <c r="J593" s="32" t="n"/>
      <c r="K593" s="32" t="n"/>
      <c r="L593" s="32" t="n"/>
      <c r="M593" s="32" t="n"/>
      <c r="N593" s="32" t="n"/>
      <c r="O593" s="32" t="n"/>
      <c r="P593" s="32" t="n"/>
      <c r="Q593" s="32" t="n"/>
      <c r="R593" s="32" t="n"/>
      <c r="S593" s="32" t="n"/>
      <c r="T593" s="32" t="n"/>
      <c r="U593" s="32" t="n"/>
      <c r="V593" s="32" t="n"/>
      <c r="W593" s="32" t="n"/>
      <c r="X593" s="32" t="n"/>
      <c r="Y593" s="32" t="n"/>
      <c r="Z593" s="32" t="n"/>
    </row>
    <row r="594">
      <c r="A594" s="32" t="n"/>
      <c r="B594" s="32" t="n"/>
      <c r="C594" s="32" t="n"/>
      <c r="D594" s="32" t="n"/>
      <c r="E594" s="32" t="n"/>
      <c r="F594" s="32" t="n"/>
      <c r="G594" s="32" t="n"/>
      <c r="H594" s="32" t="n"/>
      <c r="I594" s="32" t="n"/>
      <c r="J594" s="32" t="n"/>
      <c r="K594" s="32" t="n"/>
      <c r="L594" s="32" t="n"/>
      <c r="M594" s="32" t="n"/>
      <c r="N594" s="32" t="n"/>
      <c r="O594" s="32" t="n"/>
      <c r="P594" s="32" t="n"/>
      <c r="Q594" s="32" t="n"/>
      <c r="R594" s="32" t="n"/>
      <c r="S594" s="32" t="n"/>
      <c r="T594" s="32" t="n"/>
      <c r="U594" s="32" t="n"/>
      <c r="V594" s="32" t="n"/>
      <c r="W594" s="32" t="n"/>
      <c r="X594" s="32" t="n"/>
      <c r="Y594" s="32" t="n"/>
      <c r="Z594" s="32" t="n"/>
    </row>
    <row r="595">
      <c r="A595" s="32" t="n"/>
      <c r="B595" s="32" t="n"/>
      <c r="C595" s="32" t="n"/>
      <c r="D595" s="32" t="n"/>
      <c r="E595" s="32" t="n"/>
      <c r="F595" s="32" t="n"/>
      <c r="G595" s="32" t="n"/>
      <c r="H595" s="32" t="n"/>
      <c r="I595" s="32" t="n"/>
      <c r="J595" s="32" t="n"/>
      <c r="K595" s="32" t="n"/>
      <c r="L595" s="32" t="n"/>
      <c r="M595" s="32" t="n"/>
      <c r="N595" s="32" t="n"/>
      <c r="O595" s="32" t="n"/>
      <c r="P595" s="32" t="n"/>
      <c r="Q595" s="32" t="n"/>
      <c r="R595" s="32" t="n"/>
      <c r="S595" s="32" t="n"/>
      <c r="T595" s="32" t="n"/>
      <c r="U595" s="32" t="n"/>
      <c r="V595" s="32" t="n"/>
      <c r="W595" s="32" t="n"/>
      <c r="X595" s="32" t="n"/>
      <c r="Y595" s="32" t="n"/>
      <c r="Z595" s="32" t="n"/>
    </row>
    <row r="596">
      <c r="A596" s="32" t="n"/>
      <c r="B596" s="32" t="n"/>
      <c r="C596" s="32" t="n"/>
      <c r="D596" s="32" t="n"/>
      <c r="E596" s="32" t="n"/>
      <c r="F596" s="32" t="n"/>
      <c r="G596" s="32" t="n"/>
      <c r="H596" s="32" t="n"/>
      <c r="I596" s="32" t="n"/>
      <c r="J596" s="32" t="n"/>
      <c r="K596" s="32" t="n"/>
      <c r="L596" s="32" t="n"/>
      <c r="M596" s="32" t="n"/>
      <c r="N596" s="32" t="n"/>
      <c r="O596" s="32" t="n"/>
      <c r="P596" s="32" t="n"/>
      <c r="Q596" s="32" t="n"/>
      <c r="R596" s="32" t="n"/>
      <c r="S596" s="32" t="n"/>
      <c r="T596" s="32" t="n"/>
      <c r="U596" s="32" t="n"/>
      <c r="V596" s="32" t="n"/>
      <c r="W596" s="32" t="n"/>
      <c r="X596" s="32" t="n"/>
      <c r="Y596" s="32" t="n"/>
      <c r="Z596" s="32" t="n"/>
    </row>
    <row r="597">
      <c r="A597" s="32" t="n"/>
      <c r="B597" s="32" t="n"/>
      <c r="C597" s="32" t="n"/>
      <c r="D597" s="32" t="n"/>
      <c r="E597" s="32" t="n"/>
      <c r="F597" s="32" t="n"/>
      <c r="G597" s="32" t="n"/>
      <c r="H597" s="32" t="n"/>
      <c r="I597" s="32" t="n"/>
      <c r="J597" s="32" t="n"/>
      <c r="K597" s="32" t="n"/>
      <c r="L597" s="32" t="n"/>
      <c r="M597" s="32" t="n"/>
      <c r="N597" s="32" t="n"/>
      <c r="O597" s="32" t="n"/>
      <c r="P597" s="32" t="n"/>
      <c r="Q597" s="32" t="n"/>
      <c r="R597" s="32" t="n"/>
      <c r="S597" s="32" t="n"/>
      <c r="T597" s="32" t="n"/>
      <c r="U597" s="32" t="n"/>
      <c r="V597" s="32" t="n"/>
      <c r="W597" s="32" t="n"/>
      <c r="X597" s="32" t="n"/>
      <c r="Y597" s="32" t="n"/>
      <c r="Z597" s="32" t="n"/>
    </row>
    <row r="598">
      <c r="A598" s="32" t="n"/>
      <c r="B598" s="32" t="n"/>
      <c r="C598" s="32" t="n"/>
      <c r="D598" s="32" t="n"/>
      <c r="E598" s="32" t="n"/>
      <c r="F598" s="32" t="n"/>
      <c r="G598" s="32" t="n"/>
      <c r="H598" s="32" t="n"/>
      <c r="I598" s="32" t="n"/>
      <c r="J598" s="32" t="n"/>
      <c r="K598" s="32" t="n"/>
      <c r="L598" s="32" t="n"/>
      <c r="M598" s="32" t="n"/>
      <c r="N598" s="32" t="n"/>
      <c r="O598" s="32" t="n"/>
      <c r="P598" s="32" t="n"/>
      <c r="Q598" s="32" t="n"/>
      <c r="R598" s="32" t="n"/>
      <c r="S598" s="32" t="n"/>
      <c r="T598" s="32" t="n"/>
      <c r="U598" s="32" t="n"/>
      <c r="V598" s="32" t="n"/>
      <c r="W598" s="32" t="n"/>
      <c r="X598" s="32" t="n"/>
      <c r="Y598" s="32" t="n"/>
      <c r="Z598" s="32" t="n"/>
    </row>
    <row r="599">
      <c r="A599" s="32" t="n"/>
      <c r="B599" s="32" t="n"/>
      <c r="C599" s="32" t="n"/>
      <c r="D599" s="32" t="n"/>
      <c r="E599" s="32" t="n"/>
      <c r="F599" s="32" t="n"/>
      <c r="G599" s="32" t="n"/>
      <c r="H599" s="32" t="n"/>
      <c r="I599" s="32" t="n"/>
      <c r="J599" s="32" t="n"/>
      <c r="K599" s="32" t="n"/>
      <c r="L599" s="32" t="n"/>
      <c r="M599" s="32" t="n"/>
      <c r="N599" s="32" t="n"/>
      <c r="O599" s="32" t="n"/>
      <c r="P599" s="32" t="n"/>
      <c r="Q599" s="32" t="n"/>
      <c r="R599" s="32" t="n"/>
      <c r="S599" s="32" t="n"/>
      <c r="T599" s="32" t="n"/>
      <c r="U599" s="32" t="n"/>
      <c r="V599" s="32" t="n"/>
      <c r="W599" s="32" t="n"/>
      <c r="X599" s="32" t="n"/>
      <c r="Y599" s="32" t="n"/>
      <c r="Z599" s="32" t="n"/>
    </row>
    <row r="600">
      <c r="A600" s="32" t="n"/>
      <c r="B600" s="32" t="n"/>
      <c r="C600" s="32" t="n"/>
      <c r="D600" s="32" t="n"/>
      <c r="E600" s="32" t="n"/>
      <c r="F600" s="32" t="n"/>
      <c r="G600" s="32" t="n"/>
      <c r="H600" s="32" t="n"/>
      <c r="I600" s="32" t="n"/>
      <c r="J600" s="32" t="n"/>
      <c r="K600" s="32" t="n"/>
      <c r="L600" s="32" t="n"/>
      <c r="M600" s="32" t="n"/>
      <c r="N600" s="32" t="n"/>
      <c r="O600" s="32" t="n"/>
      <c r="P600" s="32" t="n"/>
      <c r="Q600" s="32" t="n"/>
      <c r="R600" s="32" t="n"/>
      <c r="S600" s="32" t="n"/>
      <c r="T600" s="32" t="n"/>
      <c r="U600" s="32" t="n"/>
      <c r="V600" s="32" t="n"/>
      <c r="W600" s="32" t="n"/>
      <c r="X600" s="32" t="n"/>
      <c r="Y600" s="32" t="n"/>
      <c r="Z600" s="32" t="n"/>
    </row>
    <row r="601">
      <c r="A601" s="32" t="n"/>
      <c r="B601" s="32" t="n"/>
      <c r="C601" s="32" t="n"/>
      <c r="D601" s="32" t="n"/>
      <c r="E601" s="32" t="n"/>
      <c r="F601" s="32" t="n"/>
      <c r="G601" s="32" t="n"/>
      <c r="H601" s="32" t="n"/>
      <c r="I601" s="32" t="n"/>
      <c r="J601" s="32" t="n"/>
      <c r="K601" s="32" t="n"/>
      <c r="L601" s="32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2" t="n"/>
      <c r="W601" s="32" t="n"/>
      <c r="X601" s="32" t="n"/>
      <c r="Y601" s="32" t="n"/>
      <c r="Z601" s="32" t="n"/>
    </row>
    <row r="602">
      <c r="A602" s="32" t="n"/>
      <c r="B602" s="32" t="n"/>
      <c r="C602" s="32" t="n"/>
      <c r="D602" s="32" t="n"/>
      <c r="E602" s="32" t="n"/>
      <c r="F602" s="32" t="n"/>
      <c r="G602" s="32" t="n"/>
      <c r="H602" s="32" t="n"/>
      <c r="I602" s="32" t="n"/>
      <c r="J602" s="32" t="n"/>
      <c r="K602" s="32" t="n"/>
      <c r="L602" s="32" t="n"/>
      <c r="M602" s="32" t="n"/>
      <c r="N602" s="32" t="n"/>
      <c r="O602" s="32" t="n"/>
      <c r="P602" s="32" t="n"/>
      <c r="Q602" s="32" t="n"/>
      <c r="R602" s="32" t="n"/>
      <c r="S602" s="32" t="n"/>
      <c r="T602" s="32" t="n"/>
      <c r="U602" s="32" t="n"/>
      <c r="V602" s="32" t="n"/>
      <c r="W602" s="32" t="n"/>
      <c r="X602" s="32" t="n"/>
      <c r="Y602" s="32" t="n"/>
      <c r="Z602" s="32" t="n"/>
    </row>
    <row r="603">
      <c r="A603" s="32" t="n"/>
      <c r="B603" s="32" t="n"/>
      <c r="C603" s="32" t="n"/>
      <c r="D603" s="32" t="n"/>
      <c r="E603" s="32" t="n"/>
      <c r="F603" s="32" t="n"/>
      <c r="G603" s="32" t="n"/>
      <c r="H603" s="32" t="n"/>
      <c r="I603" s="32" t="n"/>
      <c r="J603" s="32" t="n"/>
      <c r="K603" s="32" t="n"/>
      <c r="L603" s="32" t="n"/>
      <c r="M603" s="32" t="n"/>
      <c r="N603" s="32" t="n"/>
      <c r="O603" s="32" t="n"/>
      <c r="P603" s="32" t="n"/>
      <c r="Q603" s="32" t="n"/>
      <c r="R603" s="32" t="n"/>
      <c r="S603" s="32" t="n"/>
      <c r="T603" s="32" t="n"/>
      <c r="U603" s="32" t="n"/>
      <c r="V603" s="32" t="n"/>
      <c r="W603" s="32" t="n"/>
      <c r="X603" s="32" t="n"/>
      <c r="Y603" s="32" t="n"/>
      <c r="Z603" s="32" t="n"/>
    </row>
    <row r="604">
      <c r="A604" s="32" t="n"/>
      <c r="B604" s="32" t="n"/>
      <c r="C604" s="32" t="n"/>
      <c r="D604" s="32" t="n"/>
      <c r="E604" s="32" t="n"/>
      <c r="F604" s="32" t="n"/>
      <c r="G604" s="32" t="n"/>
      <c r="H604" s="32" t="n"/>
      <c r="I604" s="32" t="n"/>
      <c r="J604" s="32" t="n"/>
      <c r="K604" s="32" t="n"/>
      <c r="L604" s="32" t="n"/>
      <c r="M604" s="32" t="n"/>
      <c r="N604" s="32" t="n"/>
      <c r="O604" s="32" t="n"/>
      <c r="P604" s="32" t="n"/>
      <c r="Q604" s="32" t="n"/>
      <c r="R604" s="32" t="n"/>
      <c r="S604" s="32" t="n"/>
      <c r="T604" s="32" t="n"/>
      <c r="U604" s="32" t="n"/>
      <c r="V604" s="32" t="n"/>
      <c r="W604" s="32" t="n"/>
      <c r="X604" s="32" t="n"/>
      <c r="Y604" s="32" t="n"/>
      <c r="Z604" s="32" t="n"/>
    </row>
    <row r="605">
      <c r="A605" s="32" t="n"/>
      <c r="B605" s="32" t="n"/>
      <c r="C605" s="32" t="n"/>
      <c r="D605" s="32" t="n"/>
      <c r="E605" s="32" t="n"/>
      <c r="F605" s="32" t="n"/>
      <c r="G605" s="32" t="n"/>
      <c r="H605" s="32" t="n"/>
      <c r="I605" s="32" t="n"/>
      <c r="J605" s="32" t="n"/>
      <c r="K605" s="32" t="n"/>
      <c r="L605" s="32" t="n"/>
      <c r="M605" s="32" t="n"/>
      <c r="N605" s="32" t="n"/>
      <c r="O605" s="32" t="n"/>
      <c r="P605" s="32" t="n"/>
      <c r="Q605" s="32" t="n"/>
      <c r="R605" s="32" t="n"/>
      <c r="S605" s="32" t="n"/>
      <c r="T605" s="32" t="n"/>
      <c r="U605" s="32" t="n"/>
      <c r="V605" s="32" t="n"/>
      <c r="W605" s="32" t="n"/>
      <c r="X605" s="32" t="n"/>
      <c r="Y605" s="32" t="n"/>
      <c r="Z605" s="32" t="n"/>
    </row>
    <row r="606">
      <c r="A606" s="32" t="n"/>
      <c r="B606" s="32" t="n"/>
      <c r="C606" s="32" t="n"/>
      <c r="D606" s="32" t="n"/>
      <c r="E606" s="32" t="n"/>
      <c r="F606" s="32" t="n"/>
      <c r="G606" s="32" t="n"/>
      <c r="H606" s="32" t="n"/>
      <c r="I606" s="32" t="n"/>
      <c r="J606" s="32" t="n"/>
      <c r="K606" s="32" t="n"/>
      <c r="L606" s="32" t="n"/>
      <c r="M606" s="32" t="n"/>
      <c r="N606" s="32" t="n"/>
      <c r="O606" s="32" t="n"/>
      <c r="P606" s="32" t="n"/>
      <c r="Q606" s="32" t="n"/>
      <c r="R606" s="32" t="n"/>
      <c r="S606" s="32" t="n"/>
      <c r="T606" s="32" t="n"/>
      <c r="U606" s="32" t="n"/>
      <c r="V606" s="32" t="n"/>
      <c r="W606" s="32" t="n"/>
      <c r="X606" s="32" t="n"/>
      <c r="Y606" s="32" t="n"/>
      <c r="Z606" s="32" t="n"/>
    </row>
    <row r="607">
      <c r="A607" s="32" t="n"/>
      <c r="B607" s="32" t="n"/>
      <c r="C607" s="32" t="n"/>
      <c r="D607" s="32" t="n"/>
      <c r="E607" s="32" t="n"/>
      <c r="F607" s="32" t="n"/>
      <c r="G607" s="32" t="n"/>
      <c r="H607" s="32" t="n"/>
      <c r="I607" s="32" t="n"/>
      <c r="J607" s="32" t="n"/>
      <c r="K607" s="32" t="n"/>
      <c r="L607" s="32" t="n"/>
      <c r="M607" s="32" t="n"/>
      <c r="N607" s="32" t="n"/>
      <c r="O607" s="32" t="n"/>
      <c r="P607" s="32" t="n"/>
      <c r="Q607" s="32" t="n"/>
      <c r="R607" s="32" t="n"/>
      <c r="S607" s="32" t="n"/>
      <c r="T607" s="32" t="n"/>
      <c r="U607" s="32" t="n"/>
      <c r="V607" s="32" t="n"/>
      <c r="W607" s="32" t="n"/>
      <c r="X607" s="32" t="n"/>
      <c r="Y607" s="32" t="n"/>
      <c r="Z607" s="32" t="n"/>
    </row>
    <row r="608">
      <c r="A608" s="32" t="n"/>
      <c r="B608" s="32" t="n"/>
      <c r="C608" s="32" t="n"/>
      <c r="D608" s="32" t="n"/>
      <c r="E608" s="32" t="n"/>
      <c r="F608" s="32" t="n"/>
      <c r="G608" s="32" t="n"/>
      <c r="H608" s="32" t="n"/>
      <c r="I608" s="32" t="n"/>
      <c r="J608" s="32" t="n"/>
      <c r="K608" s="32" t="n"/>
      <c r="L608" s="32" t="n"/>
      <c r="M608" s="32" t="n"/>
      <c r="N608" s="32" t="n"/>
      <c r="O608" s="32" t="n"/>
      <c r="P608" s="32" t="n"/>
      <c r="Q608" s="32" t="n"/>
      <c r="R608" s="32" t="n"/>
      <c r="S608" s="32" t="n"/>
      <c r="T608" s="32" t="n"/>
      <c r="U608" s="32" t="n"/>
      <c r="V608" s="32" t="n"/>
      <c r="W608" s="32" t="n"/>
      <c r="X608" s="32" t="n"/>
      <c r="Y608" s="32" t="n"/>
      <c r="Z608" s="32" t="n"/>
    </row>
    <row r="609">
      <c r="A609" s="32" t="n"/>
      <c r="B609" s="32" t="n"/>
      <c r="C609" s="32" t="n"/>
      <c r="D609" s="32" t="n"/>
      <c r="E609" s="32" t="n"/>
      <c r="F609" s="32" t="n"/>
      <c r="G609" s="32" t="n"/>
      <c r="H609" s="32" t="n"/>
      <c r="I609" s="32" t="n"/>
      <c r="J609" s="32" t="n"/>
      <c r="K609" s="32" t="n"/>
      <c r="L609" s="32" t="n"/>
      <c r="M609" s="32" t="n"/>
      <c r="N609" s="32" t="n"/>
      <c r="O609" s="32" t="n"/>
      <c r="P609" s="32" t="n"/>
      <c r="Q609" s="32" t="n"/>
      <c r="R609" s="32" t="n"/>
      <c r="S609" s="32" t="n"/>
      <c r="T609" s="32" t="n"/>
      <c r="U609" s="32" t="n"/>
      <c r="V609" s="32" t="n"/>
      <c r="W609" s="32" t="n"/>
      <c r="X609" s="32" t="n"/>
      <c r="Y609" s="32" t="n"/>
      <c r="Z609" s="32" t="n"/>
    </row>
    <row r="610">
      <c r="A610" s="32" t="n"/>
      <c r="B610" s="32" t="n"/>
      <c r="C610" s="32" t="n"/>
      <c r="D610" s="32" t="n"/>
      <c r="E610" s="32" t="n"/>
      <c r="F610" s="32" t="n"/>
      <c r="G610" s="32" t="n"/>
      <c r="H610" s="32" t="n"/>
      <c r="I610" s="32" t="n"/>
      <c r="J610" s="32" t="n"/>
      <c r="K610" s="32" t="n"/>
      <c r="L610" s="32" t="n"/>
      <c r="M610" s="32" t="n"/>
      <c r="N610" s="32" t="n"/>
      <c r="O610" s="32" t="n"/>
      <c r="P610" s="32" t="n"/>
      <c r="Q610" s="32" t="n"/>
      <c r="R610" s="32" t="n"/>
      <c r="S610" s="32" t="n"/>
      <c r="T610" s="32" t="n"/>
      <c r="U610" s="32" t="n"/>
      <c r="V610" s="32" t="n"/>
      <c r="W610" s="32" t="n"/>
      <c r="X610" s="32" t="n"/>
      <c r="Y610" s="32" t="n"/>
      <c r="Z610" s="32" t="n"/>
    </row>
    <row r="611">
      <c r="A611" s="32" t="n"/>
      <c r="B611" s="32" t="n"/>
      <c r="C611" s="32" t="n"/>
      <c r="D611" s="32" t="n"/>
      <c r="E611" s="32" t="n"/>
      <c r="F611" s="32" t="n"/>
      <c r="G611" s="32" t="n"/>
      <c r="H611" s="32" t="n"/>
      <c r="I611" s="32" t="n"/>
      <c r="J611" s="32" t="n"/>
      <c r="K611" s="32" t="n"/>
      <c r="L611" s="32" t="n"/>
      <c r="M611" s="32" t="n"/>
      <c r="N611" s="32" t="n"/>
      <c r="O611" s="32" t="n"/>
      <c r="P611" s="32" t="n"/>
      <c r="Q611" s="32" t="n"/>
      <c r="R611" s="32" t="n"/>
      <c r="S611" s="32" t="n"/>
      <c r="T611" s="32" t="n"/>
      <c r="U611" s="32" t="n"/>
      <c r="V611" s="32" t="n"/>
      <c r="W611" s="32" t="n"/>
      <c r="X611" s="32" t="n"/>
      <c r="Y611" s="32" t="n"/>
      <c r="Z611" s="32" t="n"/>
    </row>
    <row r="612">
      <c r="A612" s="32" t="n"/>
      <c r="B612" s="32" t="n"/>
      <c r="C612" s="32" t="n"/>
      <c r="D612" s="32" t="n"/>
      <c r="E612" s="32" t="n"/>
      <c r="F612" s="32" t="n"/>
      <c r="G612" s="32" t="n"/>
      <c r="H612" s="32" t="n"/>
      <c r="I612" s="32" t="n"/>
      <c r="J612" s="32" t="n"/>
      <c r="K612" s="32" t="n"/>
      <c r="L612" s="32" t="n"/>
      <c r="M612" s="32" t="n"/>
      <c r="N612" s="32" t="n"/>
      <c r="O612" s="32" t="n"/>
      <c r="P612" s="32" t="n"/>
      <c r="Q612" s="32" t="n"/>
      <c r="R612" s="32" t="n"/>
      <c r="S612" s="32" t="n"/>
      <c r="T612" s="32" t="n"/>
      <c r="U612" s="32" t="n"/>
      <c r="V612" s="32" t="n"/>
      <c r="W612" s="32" t="n"/>
      <c r="X612" s="32" t="n"/>
      <c r="Y612" s="32" t="n"/>
      <c r="Z612" s="32" t="n"/>
    </row>
    <row r="613">
      <c r="A613" s="32" t="n"/>
      <c r="B613" s="32" t="n"/>
      <c r="C613" s="32" t="n"/>
      <c r="D613" s="32" t="n"/>
      <c r="E613" s="32" t="n"/>
      <c r="F613" s="32" t="n"/>
      <c r="G613" s="32" t="n"/>
      <c r="H613" s="32" t="n"/>
      <c r="I613" s="32" t="n"/>
      <c r="J613" s="32" t="n"/>
      <c r="K613" s="32" t="n"/>
      <c r="L613" s="32" t="n"/>
      <c r="M613" s="32" t="n"/>
      <c r="N613" s="32" t="n"/>
      <c r="O613" s="32" t="n"/>
      <c r="P613" s="32" t="n"/>
      <c r="Q613" s="32" t="n"/>
      <c r="R613" s="32" t="n"/>
      <c r="S613" s="32" t="n"/>
      <c r="T613" s="32" t="n"/>
      <c r="U613" s="32" t="n"/>
      <c r="V613" s="32" t="n"/>
      <c r="W613" s="32" t="n"/>
      <c r="X613" s="32" t="n"/>
      <c r="Y613" s="32" t="n"/>
      <c r="Z613" s="32" t="n"/>
    </row>
    <row r="614">
      <c r="A614" s="32" t="n"/>
      <c r="B614" s="32" t="n"/>
      <c r="C614" s="32" t="n"/>
      <c r="D614" s="32" t="n"/>
      <c r="E614" s="32" t="n"/>
      <c r="F614" s="32" t="n"/>
      <c r="G614" s="32" t="n"/>
      <c r="H614" s="32" t="n"/>
      <c r="I614" s="32" t="n"/>
      <c r="J614" s="32" t="n"/>
      <c r="K614" s="32" t="n"/>
      <c r="L614" s="32" t="n"/>
      <c r="M614" s="32" t="n"/>
      <c r="N614" s="32" t="n"/>
      <c r="O614" s="32" t="n"/>
      <c r="P614" s="32" t="n"/>
      <c r="Q614" s="32" t="n"/>
      <c r="R614" s="32" t="n"/>
      <c r="S614" s="32" t="n"/>
      <c r="T614" s="32" t="n"/>
      <c r="U614" s="32" t="n"/>
      <c r="V614" s="32" t="n"/>
      <c r="W614" s="32" t="n"/>
      <c r="X614" s="32" t="n"/>
      <c r="Y614" s="32" t="n"/>
      <c r="Z614" s="32" t="n"/>
    </row>
    <row r="615">
      <c r="A615" s="32" t="n"/>
      <c r="B615" s="32" t="n"/>
      <c r="C615" s="32" t="n"/>
      <c r="D615" s="32" t="n"/>
      <c r="E615" s="32" t="n"/>
      <c r="F615" s="32" t="n"/>
      <c r="G615" s="32" t="n"/>
      <c r="H615" s="32" t="n"/>
      <c r="I615" s="32" t="n"/>
      <c r="J615" s="32" t="n"/>
      <c r="K615" s="32" t="n"/>
      <c r="L615" s="32" t="n"/>
      <c r="M615" s="32" t="n"/>
      <c r="N615" s="32" t="n"/>
      <c r="O615" s="32" t="n"/>
      <c r="P615" s="32" t="n"/>
      <c r="Q615" s="32" t="n"/>
      <c r="R615" s="32" t="n"/>
      <c r="S615" s="32" t="n"/>
      <c r="T615" s="32" t="n"/>
      <c r="U615" s="32" t="n"/>
      <c r="V615" s="32" t="n"/>
      <c r="W615" s="32" t="n"/>
      <c r="X615" s="32" t="n"/>
      <c r="Y615" s="32" t="n"/>
      <c r="Z615" s="32" t="n"/>
    </row>
    <row r="616">
      <c r="A616" s="32" t="n"/>
      <c r="B616" s="32" t="n"/>
      <c r="C616" s="32" t="n"/>
      <c r="D616" s="32" t="n"/>
      <c r="E616" s="32" t="n"/>
      <c r="F616" s="32" t="n"/>
      <c r="G616" s="32" t="n"/>
      <c r="H616" s="32" t="n"/>
      <c r="I616" s="32" t="n"/>
      <c r="J616" s="32" t="n"/>
      <c r="K616" s="32" t="n"/>
      <c r="L616" s="32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2" t="n"/>
      <c r="W616" s="32" t="n"/>
      <c r="X616" s="32" t="n"/>
      <c r="Y616" s="32" t="n"/>
      <c r="Z616" s="32" t="n"/>
    </row>
    <row r="617">
      <c r="A617" s="32" t="n"/>
      <c r="B617" s="32" t="n"/>
      <c r="C617" s="32" t="n"/>
      <c r="D617" s="32" t="n"/>
      <c r="E617" s="32" t="n"/>
      <c r="F617" s="32" t="n"/>
      <c r="G617" s="32" t="n"/>
      <c r="H617" s="32" t="n"/>
      <c r="I617" s="32" t="n"/>
      <c r="J617" s="32" t="n"/>
      <c r="K617" s="32" t="n"/>
      <c r="L617" s="32" t="n"/>
      <c r="M617" s="32" t="n"/>
      <c r="N617" s="32" t="n"/>
      <c r="O617" s="32" t="n"/>
      <c r="P617" s="32" t="n"/>
      <c r="Q617" s="32" t="n"/>
      <c r="R617" s="32" t="n"/>
      <c r="S617" s="32" t="n"/>
      <c r="T617" s="32" t="n"/>
      <c r="U617" s="32" t="n"/>
      <c r="V617" s="32" t="n"/>
      <c r="W617" s="32" t="n"/>
      <c r="X617" s="32" t="n"/>
      <c r="Y617" s="32" t="n"/>
      <c r="Z617" s="32" t="n"/>
    </row>
    <row r="618">
      <c r="A618" s="32" t="n"/>
      <c r="B618" s="32" t="n"/>
      <c r="C618" s="32" t="n"/>
      <c r="D618" s="32" t="n"/>
      <c r="E618" s="32" t="n"/>
      <c r="F618" s="32" t="n"/>
      <c r="G618" s="32" t="n"/>
      <c r="H618" s="32" t="n"/>
      <c r="I618" s="32" t="n"/>
      <c r="J618" s="32" t="n"/>
      <c r="K618" s="32" t="n"/>
      <c r="L618" s="32" t="n"/>
      <c r="M618" s="32" t="n"/>
      <c r="N618" s="32" t="n"/>
      <c r="O618" s="32" t="n"/>
      <c r="P618" s="32" t="n"/>
      <c r="Q618" s="32" t="n"/>
      <c r="R618" s="32" t="n"/>
      <c r="S618" s="32" t="n"/>
      <c r="T618" s="32" t="n"/>
      <c r="U618" s="32" t="n"/>
      <c r="V618" s="32" t="n"/>
      <c r="W618" s="32" t="n"/>
      <c r="X618" s="32" t="n"/>
      <c r="Y618" s="32" t="n"/>
      <c r="Z618" s="32" t="n"/>
    </row>
    <row r="619">
      <c r="A619" s="32" t="n"/>
      <c r="B619" s="32" t="n"/>
      <c r="C619" s="32" t="n"/>
      <c r="D619" s="32" t="n"/>
      <c r="E619" s="32" t="n"/>
      <c r="F619" s="32" t="n"/>
      <c r="G619" s="32" t="n"/>
      <c r="H619" s="32" t="n"/>
      <c r="I619" s="32" t="n"/>
      <c r="J619" s="32" t="n"/>
      <c r="K619" s="32" t="n"/>
      <c r="L619" s="32" t="n"/>
      <c r="M619" s="32" t="n"/>
      <c r="N619" s="32" t="n"/>
      <c r="O619" s="32" t="n"/>
      <c r="P619" s="32" t="n"/>
      <c r="Q619" s="32" t="n"/>
      <c r="R619" s="32" t="n"/>
      <c r="S619" s="32" t="n"/>
      <c r="T619" s="32" t="n"/>
      <c r="U619" s="32" t="n"/>
      <c r="V619" s="32" t="n"/>
      <c r="W619" s="32" t="n"/>
      <c r="X619" s="32" t="n"/>
      <c r="Y619" s="32" t="n"/>
      <c r="Z619" s="32" t="n"/>
    </row>
    <row r="620">
      <c r="A620" s="32" t="n"/>
      <c r="B620" s="32" t="n"/>
      <c r="C620" s="32" t="n"/>
      <c r="D620" s="32" t="n"/>
      <c r="E620" s="32" t="n"/>
      <c r="F620" s="32" t="n"/>
      <c r="G620" s="32" t="n"/>
      <c r="H620" s="32" t="n"/>
      <c r="I620" s="32" t="n"/>
      <c r="J620" s="32" t="n"/>
      <c r="K620" s="32" t="n"/>
      <c r="L620" s="32" t="n"/>
      <c r="M620" s="32" t="n"/>
      <c r="N620" s="32" t="n"/>
      <c r="O620" s="32" t="n"/>
      <c r="P620" s="32" t="n"/>
      <c r="Q620" s="32" t="n"/>
      <c r="R620" s="32" t="n"/>
      <c r="S620" s="32" t="n"/>
      <c r="T620" s="32" t="n"/>
      <c r="U620" s="32" t="n"/>
      <c r="V620" s="32" t="n"/>
      <c r="W620" s="32" t="n"/>
      <c r="X620" s="32" t="n"/>
      <c r="Y620" s="32" t="n"/>
      <c r="Z620" s="32" t="n"/>
    </row>
    <row r="621">
      <c r="A621" s="32" t="n"/>
      <c r="B621" s="32" t="n"/>
      <c r="C621" s="32" t="n"/>
      <c r="D621" s="32" t="n"/>
      <c r="E621" s="32" t="n"/>
      <c r="F621" s="32" t="n"/>
      <c r="G621" s="32" t="n"/>
      <c r="H621" s="32" t="n"/>
      <c r="I621" s="32" t="n"/>
      <c r="J621" s="32" t="n"/>
      <c r="K621" s="32" t="n"/>
      <c r="L621" s="32" t="n"/>
      <c r="M621" s="32" t="n"/>
      <c r="N621" s="32" t="n"/>
      <c r="O621" s="32" t="n"/>
      <c r="P621" s="32" t="n"/>
      <c r="Q621" s="32" t="n"/>
      <c r="R621" s="32" t="n"/>
      <c r="S621" s="32" t="n"/>
      <c r="T621" s="32" t="n"/>
      <c r="U621" s="32" t="n"/>
      <c r="V621" s="32" t="n"/>
      <c r="W621" s="32" t="n"/>
      <c r="X621" s="32" t="n"/>
      <c r="Y621" s="32" t="n"/>
      <c r="Z621" s="32" t="n"/>
    </row>
    <row r="622">
      <c r="A622" s="32" t="n"/>
      <c r="B622" s="32" t="n"/>
      <c r="C622" s="32" t="n"/>
      <c r="D622" s="32" t="n"/>
      <c r="E622" s="32" t="n"/>
      <c r="F622" s="32" t="n"/>
      <c r="G622" s="32" t="n"/>
      <c r="H622" s="32" t="n"/>
      <c r="I622" s="32" t="n"/>
      <c r="J622" s="32" t="n"/>
      <c r="K622" s="32" t="n"/>
      <c r="L622" s="32" t="n"/>
      <c r="M622" s="32" t="n"/>
      <c r="N622" s="32" t="n"/>
      <c r="O622" s="32" t="n"/>
      <c r="P622" s="32" t="n"/>
      <c r="Q622" s="32" t="n"/>
      <c r="R622" s="32" t="n"/>
      <c r="S622" s="32" t="n"/>
      <c r="T622" s="32" t="n"/>
      <c r="U622" s="32" t="n"/>
      <c r="V622" s="32" t="n"/>
      <c r="W622" s="32" t="n"/>
      <c r="X622" s="32" t="n"/>
      <c r="Y622" s="32" t="n"/>
      <c r="Z622" s="32" t="n"/>
    </row>
    <row r="623">
      <c r="A623" s="32" t="n"/>
      <c r="B623" s="32" t="n"/>
      <c r="C623" s="32" t="n"/>
      <c r="D623" s="32" t="n"/>
      <c r="E623" s="32" t="n"/>
      <c r="F623" s="32" t="n"/>
      <c r="G623" s="32" t="n"/>
      <c r="H623" s="32" t="n"/>
      <c r="I623" s="32" t="n"/>
      <c r="J623" s="32" t="n"/>
      <c r="K623" s="32" t="n"/>
      <c r="L623" s="32" t="n"/>
      <c r="M623" s="32" t="n"/>
      <c r="N623" s="32" t="n"/>
      <c r="O623" s="32" t="n"/>
      <c r="P623" s="32" t="n"/>
      <c r="Q623" s="32" t="n"/>
      <c r="R623" s="32" t="n"/>
      <c r="S623" s="32" t="n"/>
      <c r="T623" s="32" t="n"/>
      <c r="U623" s="32" t="n"/>
      <c r="V623" s="32" t="n"/>
      <c r="W623" s="32" t="n"/>
      <c r="X623" s="32" t="n"/>
      <c r="Y623" s="32" t="n"/>
      <c r="Z623" s="32" t="n"/>
    </row>
    <row r="624">
      <c r="A624" s="32" t="n"/>
      <c r="B624" s="32" t="n"/>
      <c r="C624" s="32" t="n"/>
      <c r="D624" s="32" t="n"/>
      <c r="E624" s="32" t="n"/>
      <c r="F624" s="32" t="n"/>
      <c r="G624" s="32" t="n"/>
      <c r="H624" s="32" t="n"/>
      <c r="I624" s="32" t="n"/>
      <c r="J624" s="32" t="n"/>
      <c r="K624" s="32" t="n"/>
      <c r="L624" s="32" t="n"/>
      <c r="M624" s="32" t="n"/>
      <c r="N624" s="32" t="n"/>
      <c r="O624" s="32" t="n"/>
      <c r="P624" s="32" t="n"/>
      <c r="Q624" s="32" t="n"/>
      <c r="R624" s="32" t="n"/>
      <c r="S624" s="32" t="n"/>
      <c r="T624" s="32" t="n"/>
      <c r="U624" s="32" t="n"/>
      <c r="V624" s="32" t="n"/>
      <c r="W624" s="32" t="n"/>
      <c r="X624" s="32" t="n"/>
      <c r="Y624" s="32" t="n"/>
      <c r="Z624" s="32" t="n"/>
    </row>
    <row r="625">
      <c r="A625" s="32" t="n"/>
      <c r="B625" s="32" t="n"/>
      <c r="C625" s="32" t="n"/>
      <c r="D625" s="32" t="n"/>
      <c r="E625" s="32" t="n"/>
      <c r="F625" s="32" t="n"/>
      <c r="G625" s="32" t="n"/>
      <c r="H625" s="32" t="n"/>
      <c r="I625" s="32" t="n"/>
      <c r="J625" s="32" t="n"/>
      <c r="K625" s="32" t="n"/>
      <c r="L625" s="32" t="n"/>
      <c r="M625" s="32" t="n"/>
      <c r="N625" s="32" t="n"/>
      <c r="O625" s="32" t="n"/>
      <c r="P625" s="32" t="n"/>
      <c r="Q625" s="32" t="n"/>
      <c r="R625" s="32" t="n"/>
      <c r="S625" s="32" t="n"/>
      <c r="T625" s="32" t="n"/>
      <c r="U625" s="32" t="n"/>
      <c r="V625" s="32" t="n"/>
      <c r="W625" s="32" t="n"/>
      <c r="X625" s="32" t="n"/>
      <c r="Y625" s="32" t="n"/>
      <c r="Z625" s="32" t="n"/>
    </row>
    <row r="626">
      <c r="A626" s="32" t="n"/>
      <c r="B626" s="32" t="n"/>
      <c r="C626" s="32" t="n"/>
      <c r="D626" s="32" t="n"/>
      <c r="E626" s="32" t="n"/>
      <c r="F626" s="32" t="n"/>
      <c r="G626" s="32" t="n"/>
      <c r="H626" s="32" t="n"/>
      <c r="I626" s="32" t="n"/>
      <c r="J626" s="32" t="n"/>
      <c r="K626" s="32" t="n"/>
      <c r="L626" s="32" t="n"/>
      <c r="M626" s="32" t="n"/>
      <c r="N626" s="32" t="n"/>
      <c r="O626" s="32" t="n"/>
      <c r="P626" s="32" t="n"/>
      <c r="Q626" s="32" t="n"/>
      <c r="R626" s="32" t="n"/>
      <c r="S626" s="32" t="n"/>
      <c r="T626" s="32" t="n"/>
      <c r="U626" s="32" t="n"/>
      <c r="V626" s="32" t="n"/>
      <c r="W626" s="32" t="n"/>
      <c r="X626" s="32" t="n"/>
      <c r="Y626" s="32" t="n"/>
      <c r="Z626" s="32" t="n"/>
    </row>
    <row r="627">
      <c r="A627" s="32" t="n"/>
      <c r="B627" s="32" t="n"/>
      <c r="C627" s="32" t="n"/>
      <c r="D627" s="32" t="n"/>
      <c r="E627" s="32" t="n"/>
      <c r="F627" s="32" t="n"/>
      <c r="G627" s="32" t="n"/>
      <c r="H627" s="32" t="n"/>
      <c r="I627" s="32" t="n"/>
      <c r="J627" s="32" t="n"/>
      <c r="K627" s="32" t="n"/>
      <c r="L627" s="32" t="n"/>
      <c r="M627" s="32" t="n"/>
      <c r="N627" s="32" t="n"/>
      <c r="O627" s="32" t="n"/>
      <c r="P627" s="32" t="n"/>
      <c r="Q627" s="32" t="n"/>
      <c r="R627" s="32" t="n"/>
      <c r="S627" s="32" t="n"/>
      <c r="T627" s="32" t="n"/>
      <c r="U627" s="32" t="n"/>
      <c r="V627" s="32" t="n"/>
      <c r="W627" s="32" t="n"/>
      <c r="X627" s="32" t="n"/>
      <c r="Y627" s="32" t="n"/>
      <c r="Z627" s="32" t="n"/>
    </row>
    <row r="628">
      <c r="A628" s="32" t="n"/>
      <c r="B628" s="32" t="n"/>
      <c r="C628" s="32" t="n"/>
      <c r="D628" s="32" t="n"/>
      <c r="E628" s="32" t="n"/>
      <c r="F628" s="32" t="n"/>
      <c r="G628" s="32" t="n"/>
      <c r="H628" s="32" t="n"/>
      <c r="I628" s="32" t="n"/>
      <c r="J628" s="32" t="n"/>
      <c r="K628" s="32" t="n"/>
      <c r="L628" s="32" t="n"/>
      <c r="M628" s="32" t="n"/>
      <c r="N628" s="32" t="n"/>
      <c r="O628" s="32" t="n"/>
      <c r="P628" s="32" t="n"/>
      <c r="Q628" s="32" t="n"/>
      <c r="R628" s="32" t="n"/>
      <c r="S628" s="32" t="n"/>
      <c r="T628" s="32" t="n"/>
      <c r="U628" s="32" t="n"/>
      <c r="V628" s="32" t="n"/>
      <c r="W628" s="32" t="n"/>
      <c r="X628" s="32" t="n"/>
      <c r="Y628" s="32" t="n"/>
      <c r="Z628" s="32" t="n"/>
    </row>
    <row r="629">
      <c r="A629" s="32" t="n"/>
      <c r="B629" s="32" t="n"/>
      <c r="C629" s="32" t="n"/>
      <c r="D629" s="32" t="n"/>
      <c r="E629" s="32" t="n"/>
      <c r="F629" s="32" t="n"/>
      <c r="G629" s="32" t="n"/>
      <c r="H629" s="32" t="n"/>
      <c r="I629" s="32" t="n"/>
      <c r="J629" s="32" t="n"/>
      <c r="K629" s="32" t="n"/>
      <c r="L629" s="32" t="n"/>
      <c r="M629" s="32" t="n"/>
      <c r="N629" s="32" t="n"/>
      <c r="O629" s="32" t="n"/>
      <c r="P629" s="32" t="n"/>
      <c r="Q629" s="32" t="n"/>
      <c r="R629" s="32" t="n"/>
      <c r="S629" s="32" t="n"/>
      <c r="T629" s="32" t="n"/>
      <c r="U629" s="32" t="n"/>
      <c r="V629" s="32" t="n"/>
      <c r="W629" s="32" t="n"/>
      <c r="X629" s="32" t="n"/>
      <c r="Y629" s="32" t="n"/>
      <c r="Z629" s="32" t="n"/>
    </row>
    <row r="630">
      <c r="A630" s="32" t="n"/>
      <c r="B630" s="32" t="n"/>
      <c r="C630" s="32" t="n"/>
      <c r="D630" s="32" t="n"/>
      <c r="E630" s="32" t="n"/>
      <c r="F630" s="32" t="n"/>
      <c r="G630" s="32" t="n"/>
      <c r="H630" s="32" t="n"/>
      <c r="I630" s="32" t="n"/>
      <c r="J630" s="32" t="n"/>
      <c r="K630" s="32" t="n"/>
      <c r="L630" s="32" t="n"/>
      <c r="M630" s="32" t="n"/>
      <c r="N630" s="32" t="n"/>
      <c r="O630" s="32" t="n"/>
      <c r="P630" s="32" t="n"/>
      <c r="Q630" s="32" t="n"/>
      <c r="R630" s="32" t="n"/>
      <c r="S630" s="32" t="n"/>
      <c r="T630" s="32" t="n"/>
      <c r="U630" s="32" t="n"/>
      <c r="V630" s="32" t="n"/>
      <c r="W630" s="32" t="n"/>
      <c r="X630" s="32" t="n"/>
      <c r="Y630" s="32" t="n"/>
      <c r="Z630" s="32" t="n"/>
    </row>
    <row r="631">
      <c r="A631" s="32" t="n"/>
      <c r="B631" s="32" t="n"/>
      <c r="C631" s="32" t="n"/>
      <c r="D631" s="32" t="n"/>
      <c r="E631" s="32" t="n"/>
      <c r="F631" s="32" t="n"/>
      <c r="G631" s="32" t="n"/>
      <c r="H631" s="32" t="n"/>
      <c r="I631" s="32" t="n"/>
      <c r="J631" s="32" t="n"/>
      <c r="K631" s="32" t="n"/>
      <c r="L631" s="32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2" t="n"/>
      <c r="W631" s="32" t="n"/>
      <c r="X631" s="32" t="n"/>
      <c r="Y631" s="32" t="n"/>
      <c r="Z631" s="32" t="n"/>
    </row>
    <row r="632">
      <c r="A632" s="32" t="n"/>
      <c r="B632" s="32" t="n"/>
      <c r="C632" s="32" t="n"/>
      <c r="D632" s="32" t="n"/>
      <c r="E632" s="32" t="n"/>
      <c r="F632" s="32" t="n"/>
      <c r="G632" s="32" t="n"/>
      <c r="H632" s="32" t="n"/>
      <c r="I632" s="32" t="n"/>
      <c r="J632" s="32" t="n"/>
      <c r="K632" s="32" t="n"/>
      <c r="L632" s="32" t="n"/>
      <c r="M632" s="32" t="n"/>
      <c r="N632" s="32" t="n"/>
      <c r="O632" s="32" t="n"/>
      <c r="P632" s="32" t="n"/>
      <c r="Q632" s="32" t="n"/>
      <c r="R632" s="32" t="n"/>
      <c r="S632" s="32" t="n"/>
      <c r="T632" s="32" t="n"/>
      <c r="U632" s="32" t="n"/>
      <c r="V632" s="32" t="n"/>
      <c r="W632" s="32" t="n"/>
      <c r="X632" s="32" t="n"/>
      <c r="Y632" s="32" t="n"/>
      <c r="Z632" s="32" t="n"/>
    </row>
    <row r="633">
      <c r="A633" s="32" t="n"/>
      <c r="B633" s="32" t="n"/>
      <c r="C633" s="32" t="n"/>
      <c r="D633" s="32" t="n"/>
      <c r="E633" s="32" t="n"/>
      <c r="F633" s="32" t="n"/>
      <c r="G633" s="32" t="n"/>
      <c r="H633" s="32" t="n"/>
      <c r="I633" s="32" t="n"/>
      <c r="J633" s="32" t="n"/>
      <c r="K633" s="32" t="n"/>
      <c r="L633" s="32" t="n"/>
      <c r="M633" s="32" t="n"/>
      <c r="N633" s="32" t="n"/>
      <c r="O633" s="32" t="n"/>
      <c r="P633" s="32" t="n"/>
      <c r="Q633" s="32" t="n"/>
      <c r="R633" s="32" t="n"/>
      <c r="S633" s="32" t="n"/>
      <c r="T633" s="32" t="n"/>
      <c r="U633" s="32" t="n"/>
      <c r="V633" s="32" t="n"/>
      <c r="W633" s="32" t="n"/>
      <c r="X633" s="32" t="n"/>
      <c r="Y633" s="32" t="n"/>
      <c r="Z633" s="32" t="n"/>
    </row>
    <row r="634">
      <c r="A634" s="32" t="n"/>
      <c r="B634" s="32" t="n"/>
      <c r="C634" s="32" t="n"/>
      <c r="D634" s="32" t="n"/>
      <c r="E634" s="32" t="n"/>
      <c r="F634" s="32" t="n"/>
      <c r="G634" s="32" t="n"/>
      <c r="H634" s="32" t="n"/>
      <c r="I634" s="32" t="n"/>
      <c r="J634" s="32" t="n"/>
      <c r="K634" s="32" t="n"/>
      <c r="L634" s="32" t="n"/>
      <c r="M634" s="32" t="n"/>
      <c r="N634" s="32" t="n"/>
      <c r="O634" s="32" t="n"/>
      <c r="P634" s="32" t="n"/>
      <c r="Q634" s="32" t="n"/>
      <c r="R634" s="32" t="n"/>
      <c r="S634" s="32" t="n"/>
      <c r="T634" s="32" t="n"/>
      <c r="U634" s="32" t="n"/>
      <c r="V634" s="32" t="n"/>
      <c r="W634" s="32" t="n"/>
      <c r="X634" s="32" t="n"/>
      <c r="Y634" s="32" t="n"/>
      <c r="Z634" s="32" t="n"/>
    </row>
    <row r="635">
      <c r="A635" s="32" t="n"/>
      <c r="B635" s="32" t="n"/>
      <c r="C635" s="32" t="n"/>
      <c r="D635" s="32" t="n"/>
      <c r="E635" s="32" t="n"/>
      <c r="F635" s="32" t="n"/>
      <c r="G635" s="32" t="n"/>
      <c r="H635" s="32" t="n"/>
      <c r="I635" s="32" t="n"/>
      <c r="J635" s="32" t="n"/>
      <c r="K635" s="32" t="n"/>
      <c r="L635" s="32" t="n"/>
      <c r="M635" s="32" t="n"/>
      <c r="N635" s="32" t="n"/>
      <c r="O635" s="32" t="n"/>
      <c r="P635" s="32" t="n"/>
      <c r="Q635" s="32" t="n"/>
      <c r="R635" s="32" t="n"/>
      <c r="S635" s="32" t="n"/>
      <c r="T635" s="32" t="n"/>
      <c r="U635" s="32" t="n"/>
      <c r="V635" s="32" t="n"/>
      <c r="W635" s="32" t="n"/>
      <c r="X635" s="32" t="n"/>
      <c r="Y635" s="32" t="n"/>
      <c r="Z635" s="32" t="n"/>
    </row>
    <row r="636">
      <c r="A636" s="32" t="n"/>
      <c r="B636" s="32" t="n"/>
      <c r="C636" s="32" t="n"/>
      <c r="D636" s="32" t="n"/>
      <c r="E636" s="32" t="n"/>
      <c r="F636" s="32" t="n"/>
      <c r="G636" s="32" t="n"/>
      <c r="H636" s="32" t="n"/>
      <c r="I636" s="32" t="n"/>
      <c r="J636" s="32" t="n"/>
      <c r="K636" s="32" t="n"/>
      <c r="L636" s="32" t="n"/>
      <c r="M636" s="32" t="n"/>
      <c r="N636" s="32" t="n"/>
      <c r="O636" s="32" t="n"/>
      <c r="P636" s="32" t="n"/>
      <c r="Q636" s="32" t="n"/>
      <c r="R636" s="32" t="n"/>
      <c r="S636" s="32" t="n"/>
      <c r="T636" s="32" t="n"/>
      <c r="U636" s="32" t="n"/>
      <c r="V636" s="32" t="n"/>
      <c r="W636" s="32" t="n"/>
      <c r="X636" s="32" t="n"/>
      <c r="Y636" s="32" t="n"/>
      <c r="Z636" s="32" t="n"/>
    </row>
    <row r="637">
      <c r="A637" s="32" t="n"/>
      <c r="B637" s="32" t="n"/>
      <c r="C637" s="32" t="n"/>
      <c r="D637" s="32" t="n"/>
      <c r="E637" s="32" t="n"/>
      <c r="F637" s="32" t="n"/>
      <c r="G637" s="32" t="n"/>
      <c r="H637" s="32" t="n"/>
      <c r="I637" s="32" t="n"/>
      <c r="J637" s="32" t="n"/>
      <c r="K637" s="32" t="n"/>
      <c r="L637" s="32" t="n"/>
      <c r="M637" s="32" t="n"/>
      <c r="N637" s="32" t="n"/>
      <c r="O637" s="32" t="n"/>
      <c r="P637" s="32" t="n"/>
      <c r="Q637" s="32" t="n"/>
      <c r="R637" s="32" t="n"/>
      <c r="S637" s="32" t="n"/>
      <c r="T637" s="32" t="n"/>
      <c r="U637" s="32" t="n"/>
      <c r="V637" s="32" t="n"/>
      <c r="W637" s="32" t="n"/>
      <c r="X637" s="32" t="n"/>
      <c r="Y637" s="32" t="n"/>
      <c r="Z637" s="32" t="n"/>
    </row>
    <row r="638">
      <c r="A638" s="32" t="n"/>
      <c r="B638" s="32" t="n"/>
      <c r="C638" s="32" t="n"/>
      <c r="D638" s="32" t="n"/>
      <c r="E638" s="32" t="n"/>
      <c r="F638" s="32" t="n"/>
      <c r="G638" s="32" t="n"/>
      <c r="H638" s="32" t="n"/>
      <c r="I638" s="32" t="n"/>
      <c r="J638" s="32" t="n"/>
      <c r="K638" s="32" t="n"/>
      <c r="L638" s="32" t="n"/>
      <c r="M638" s="32" t="n"/>
      <c r="N638" s="32" t="n"/>
      <c r="O638" s="32" t="n"/>
      <c r="P638" s="32" t="n"/>
      <c r="Q638" s="32" t="n"/>
      <c r="R638" s="32" t="n"/>
      <c r="S638" s="32" t="n"/>
      <c r="T638" s="32" t="n"/>
      <c r="U638" s="32" t="n"/>
      <c r="V638" s="32" t="n"/>
      <c r="W638" s="32" t="n"/>
      <c r="X638" s="32" t="n"/>
      <c r="Y638" s="32" t="n"/>
      <c r="Z638" s="32" t="n"/>
    </row>
    <row r="639">
      <c r="A639" s="32" t="n"/>
      <c r="B639" s="32" t="n"/>
      <c r="C639" s="32" t="n"/>
      <c r="D639" s="32" t="n"/>
      <c r="E639" s="32" t="n"/>
      <c r="F639" s="32" t="n"/>
      <c r="G639" s="32" t="n"/>
      <c r="H639" s="32" t="n"/>
      <c r="I639" s="32" t="n"/>
      <c r="J639" s="32" t="n"/>
      <c r="K639" s="32" t="n"/>
      <c r="L639" s="32" t="n"/>
      <c r="M639" s="32" t="n"/>
      <c r="N639" s="32" t="n"/>
      <c r="O639" s="32" t="n"/>
      <c r="P639" s="32" t="n"/>
      <c r="Q639" s="32" t="n"/>
      <c r="R639" s="32" t="n"/>
      <c r="S639" s="32" t="n"/>
      <c r="T639" s="32" t="n"/>
      <c r="U639" s="32" t="n"/>
      <c r="V639" s="32" t="n"/>
      <c r="W639" s="32" t="n"/>
      <c r="X639" s="32" t="n"/>
      <c r="Y639" s="32" t="n"/>
      <c r="Z639" s="32" t="n"/>
    </row>
    <row r="640">
      <c r="A640" s="32" t="n"/>
      <c r="B640" s="32" t="n"/>
      <c r="C640" s="32" t="n"/>
      <c r="D640" s="32" t="n"/>
      <c r="E640" s="32" t="n"/>
      <c r="F640" s="32" t="n"/>
      <c r="G640" s="32" t="n"/>
      <c r="H640" s="32" t="n"/>
      <c r="I640" s="32" t="n"/>
      <c r="J640" s="32" t="n"/>
      <c r="K640" s="32" t="n"/>
      <c r="L640" s="32" t="n"/>
      <c r="M640" s="32" t="n"/>
      <c r="N640" s="32" t="n"/>
      <c r="O640" s="32" t="n"/>
      <c r="P640" s="32" t="n"/>
      <c r="Q640" s="32" t="n"/>
      <c r="R640" s="32" t="n"/>
      <c r="S640" s="32" t="n"/>
      <c r="T640" s="32" t="n"/>
      <c r="U640" s="32" t="n"/>
      <c r="V640" s="32" t="n"/>
      <c r="W640" s="32" t="n"/>
      <c r="X640" s="32" t="n"/>
      <c r="Y640" s="32" t="n"/>
      <c r="Z640" s="32" t="n"/>
    </row>
    <row r="641">
      <c r="A641" s="32" t="n"/>
      <c r="B641" s="32" t="n"/>
      <c r="C641" s="32" t="n"/>
      <c r="D641" s="32" t="n"/>
      <c r="E641" s="32" t="n"/>
      <c r="F641" s="32" t="n"/>
      <c r="G641" s="32" t="n"/>
      <c r="H641" s="32" t="n"/>
      <c r="I641" s="32" t="n"/>
      <c r="J641" s="32" t="n"/>
      <c r="K641" s="32" t="n"/>
      <c r="L641" s="32" t="n"/>
      <c r="M641" s="32" t="n"/>
      <c r="N641" s="32" t="n"/>
      <c r="O641" s="32" t="n"/>
      <c r="P641" s="32" t="n"/>
      <c r="Q641" s="32" t="n"/>
      <c r="R641" s="32" t="n"/>
      <c r="S641" s="32" t="n"/>
      <c r="T641" s="32" t="n"/>
      <c r="U641" s="32" t="n"/>
      <c r="V641" s="32" t="n"/>
      <c r="W641" s="32" t="n"/>
      <c r="X641" s="32" t="n"/>
      <c r="Y641" s="32" t="n"/>
      <c r="Z641" s="32" t="n"/>
    </row>
    <row r="642">
      <c r="A642" s="32" t="n"/>
      <c r="B642" s="32" t="n"/>
      <c r="C642" s="32" t="n"/>
      <c r="D642" s="32" t="n"/>
      <c r="E642" s="32" t="n"/>
      <c r="F642" s="32" t="n"/>
      <c r="G642" s="32" t="n"/>
      <c r="H642" s="32" t="n"/>
      <c r="I642" s="32" t="n"/>
      <c r="J642" s="32" t="n"/>
      <c r="K642" s="32" t="n"/>
      <c r="L642" s="32" t="n"/>
      <c r="M642" s="32" t="n"/>
      <c r="N642" s="32" t="n"/>
      <c r="O642" s="32" t="n"/>
      <c r="P642" s="32" t="n"/>
      <c r="Q642" s="32" t="n"/>
      <c r="R642" s="32" t="n"/>
      <c r="S642" s="32" t="n"/>
      <c r="T642" s="32" t="n"/>
      <c r="U642" s="32" t="n"/>
      <c r="V642" s="32" t="n"/>
      <c r="W642" s="32" t="n"/>
      <c r="X642" s="32" t="n"/>
      <c r="Y642" s="32" t="n"/>
      <c r="Z642" s="32" t="n"/>
    </row>
    <row r="643">
      <c r="A643" s="32" t="n"/>
      <c r="B643" s="32" t="n"/>
      <c r="C643" s="32" t="n"/>
      <c r="D643" s="32" t="n"/>
      <c r="E643" s="32" t="n"/>
      <c r="F643" s="32" t="n"/>
      <c r="G643" s="32" t="n"/>
      <c r="H643" s="32" t="n"/>
      <c r="I643" s="32" t="n"/>
      <c r="J643" s="32" t="n"/>
      <c r="K643" s="32" t="n"/>
      <c r="L643" s="32" t="n"/>
      <c r="M643" s="32" t="n"/>
      <c r="N643" s="32" t="n"/>
      <c r="O643" s="32" t="n"/>
      <c r="P643" s="32" t="n"/>
      <c r="Q643" s="32" t="n"/>
      <c r="R643" s="32" t="n"/>
      <c r="S643" s="32" t="n"/>
      <c r="T643" s="32" t="n"/>
      <c r="U643" s="32" t="n"/>
      <c r="V643" s="32" t="n"/>
      <c r="W643" s="32" t="n"/>
      <c r="X643" s="32" t="n"/>
      <c r="Y643" s="32" t="n"/>
      <c r="Z643" s="32" t="n"/>
    </row>
    <row r="644">
      <c r="A644" s="32" t="n"/>
      <c r="B644" s="32" t="n"/>
      <c r="C644" s="32" t="n"/>
      <c r="D644" s="32" t="n"/>
      <c r="E644" s="32" t="n"/>
      <c r="F644" s="32" t="n"/>
      <c r="G644" s="32" t="n"/>
      <c r="H644" s="32" t="n"/>
      <c r="I644" s="32" t="n"/>
      <c r="J644" s="32" t="n"/>
      <c r="K644" s="32" t="n"/>
      <c r="L644" s="32" t="n"/>
      <c r="M644" s="32" t="n"/>
      <c r="N644" s="32" t="n"/>
      <c r="O644" s="32" t="n"/>
      <c r="P644" s="32" t="n"/>
      <c r="Q644" s="32" t="n"/>
      <c r="R644" s="32" t="n"/>
      <c r="S644" s="32" t="n"/>
      <c r="T644" s="32" t="n"/>
      <c r="U644" s="32" t="n"/>
      <c r="V644" s="32" t="n"/>
      <c r="W644" s="32" t="n"/>
      <c r="X644" s="32" t="n"/>
      <c r="Y644" s="32" t="n"/>
      <c r="Z644" s="32" t="n"/>
    </row>
    <row r="645">
      <c r="A645" s="32" t="n"/>
      <c r="B645" s="32" t="n"/>
      <c r="C645" s="32" t="n"/>
      <c r="D645" s="32" t="n"/>
      <c r="E645" s="32" t="n"/>
      <c r="F645" s="32" t="n"/>
      <c r="G645" s="32" t="n"/>
      <c r="H645" s="32" t="n"/>
      <c r="I645" s="32" t="n"/>
      <c r="J645" s="32" t="n"/>
      <c r="K645" s="32" t="n"/>
      <c r="L645" s="32" t="n"/>
      <c r="M645" s="32" t="n"/>
      <c r="N645" s="32" t="n"/>
      <c r="O645" s="32" t="n"/>
      <c r="P645" s="32" t="n"/>
      <c r="Q645" s="32" t="n"/>
      <c r="R645" s="32" t="n"/>
      <c r="S645" s="32" t="n"/>
      <c r="T645" s="32" t="n"/>
      <c r="U645" s="32" t="n"/>
      <c r="V645" s="32" t="n"/>
      <c r="W645" s="32" t="n"/>
      <c r="X645" s="32" t="n"/>
      <c r="Y645" s="32" t="n"/>
      <c r="Z645" s="32" t="n"/>
    </row>
    <row r="646">
      <c r="A646" s="32" t="n"/>
      <c r="B646" s="32" t="n"/>
      <c r="C646" s="32" t="n"/>
      <c r="D646" s="32" t="n"/>
      <c r="E646" s="32" t="n"/>
      <c r="F646" s="32" t="n"/>
      <c r="G646" s="32" t="n"/>
      <c r="H646" s="32" t="n"/>
      <c r="I646" s="32" t="n"/>
      <c r="J646" s="32" t="n"/>
      <c r="K646" s="32" t="n"/>
      <c r="L646" s="32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2" t="n"/>
      <c r="W646" s="32" t="n"/>
      <c r="X646" s="32" t="n"/>
      <c r="Y646" s="32" t="n"/>
      <c r="Z646" s="32" t="n"/>
    </row>
    <row r="647">
      <c r="A647" s="32" t="n"/>
      <c r="B647" s="32" t="n"/>
      <c r="C647" s="32" t="n"/>
      <c r="D647" s="32" t="n"/>
      <c r="E647" s="32" t="n"/>
      <c r="F647" s="32" t="n"/>
      <c r="G647" s="32" t="n"/>
      <c r="H647" s="32" t="n"/>
      <c r="I647" s="32" t="n"/>
      <c r="J647" s="32" t="n"/>
      <c r="K647" s="32" t="n"/>
      <c r="L647" s="32" t="n"/>
      <c r="M647" s="32" t="n"/>
      <c r="N647" s="32" t="n"/>
      <c r="O647" s="32" t="n"/>
      <c r="P647" s="32" t="n"/>
      <c r="Q647" s="32" t="n"/>
      <c r="R647" s="32" t="n"/>
      <c r="S647" s="32" t="n"/>
      <c r="T647" s="32" t="n"/>
      <c r="U647" s="32" t="n"/>
      <c r="V647" s="32" t="n"/>
      <c r="W647" s="32" t="n"/>
      <c r="X647" s="32" t="n"/>
      <c r="Y647" s="32" t="n"/>
      <c r="Z647" s="32" t="n"/>
    </row>
    <row r="648">
      <c r="A648" s="32" t="n"/>
      <c r="B648" s="32" t="n"/>
      <c r="C648" s="32" t="n"/>
      <c r="D648" s="32" t="n"/>
      <c r="E648" s="32" t="n"/>
      <c r="F648" s="32" t="n"/>
      <c r="G648" s="32" t="n"/>
      <c r="H648" s="32" t="n"/>
      <c r="I648" s="32" t="n"/>
      <c r="J648" s="32" t="n"/>
      <c r="K648" s="32" t="n"/>
      <c r="L648" s="32" t="n"/>
      <c r="M648" s="32" t="n"/>
      <c r="N648" s="32" t="n"/>
      <c r="O648" s="32" t="n"/>
      <c r="P648" s="32" t="n"/>
      <c r="Q648" s="32" t="n"/>
      <c r="R648" s="32" t="n"/>
      <c r="S648" s="32" t="n"/>
      <c r="T648" s="32" t="n"/>
      <c r="U648" s="32" t="n"/>
      <c r="V648" s="32" t="n"/>
      <c r="W648" s="32" t="n"/>
      <c r="X648" s="32" t="n"/>
      <c r="Y648" s="32" t="n"/>
      <c r="Z648" s="32" t="n"/>
    </row>
    <row r="649">
      <c r="A649" s="32" t="n"/>
      <c r="B649" s="32" t="n"/>
      <c r="C649" s="32" t="n"/>
      <c r="D649" s="32" t="n"/>
      <c r="E649" s="32" t="n"/>
      <c r="F649" s="32" t="n"/>
      <c r="G649" s="32" t="n"/>
      <c r="H649" s="32" t="n"/>
      <c r="I649" s="32" t="n"/>
      <c r="J649" s="32" t="n"/>
      <c r="K649" s="32" t="n"/>
      <c r="L649" s="32" t="n"/>
      <c r="M649" s="32" t="n"/>
      <c r="N649" s="32" t="n"/>
      <c r="O649" s="32" t="n"/>
      <c r="P649" s="32" t="n"/>
      <c r="Q649" s="32" t="n"/>
      <c r="R649" s="32" t="n"/>
      <c r="S649" s="32" t="n"/>
      <c r="T649" s="32" t="n"/>
      <c r="U649" s="32" t="n"/>
      <c r="V649" s="32" t="n"/>
      <c r="W649" s="32" t="n"/>
      <c r="X649" s="32" t="n"/>
      <c r="Y649" s="32" t="n"/>
      <c r="Z649" s="32" t="n"/>
    </row>
    <row r="650">
      <c r="A650" s="32" t="n"/>
      <c r="B650" s="32" t="n"/>
      <c r="C650" s="32" t="n"/>
      <c r="D650" s="32" t="n"/>
      <c r="E650" s="32" t="n"/>
      <c r="F650" s="32" t="n"/>
      <c r="G650" s="32" t="n"/>
      <c r="H650" s="32" t="n"/>
      <c r="I650" s="32" t="n"/>
      <c r="J650" s="32" t="n"/>
      <c r="K650" s="32" t="n"/>
      <c r="L650" s="32" t="n"/>
      <c r="M650" s="32" t="n"/>
      <c r="N650" s="32" t="n"/>
      <c r="O650" s="32" t="n"/>
      <c r="P650" s="32" t="n"/>
      <c r="Q650" s="32" t="n"/>
      <c r="R650" s="32" t="n"/>
      <c r="S650" s="32" t="n"/>
      <c r="T650" s="32" t="n"/>
      <c r="U650" s="32" t="n"/>
      <c r="V650" s="32" t="n"/>
      <c r="W650" s="32" t="n"/>
      <c r="X650" s="32" t="n"/>
      <c r="Y650" s="32" t="n"/>
      <c r="Z650" s="32" t="n"/>
    </row>
    <row r="651">
      <c r="A651" s="32" t="n"/>
      <c r="B651" s="32" t="n"/>
      <c r="C651" s="32" t="n"/>
      <c r="D651" s="32" t="n"/>
      <c r="E651" s="32" t="n"/>
      <c r="F651" s="32" t="n"/>
      <c r="G651" s="32" t="n"/>
      <c r="H651" s="32" t="n"/>
      <c r="I651" s="32" t="n"/>
      <c r="J651" s="32" t="n"/>
      <c r="K651" s="32" t="n"/>
      <c r="L651" s="32" t="n"/>
      <c r="M651" s="32" t="n"/>
      <c r="N651" s="32" t="n"/>
      <c r="O651" s="32" t="n"/>
      <c r="P651" s="32" t="n"/>
      <c r="Q651" s="32" t="n"/>
      <c r="R651" s="32" t="n"/>
      <c r="S651" s="32" t="n"/>
      <c r="T651" s="32" t="n"/>
      <c r="U651" s="32" t="n"/>
      <c r="V651" s="32" t="n"/>
      <c r="W651" s="32" t="n"/>
      <c r="X651" s="32" t="n"/>
      <c r="Y651" s="32" t="n"/>
      <c r="Z651" s="32" t="n"/>
    </row>
    <row r="652">
      <c r="A652" s="32" t="n"/>
      <c r="B652" s="32" t="n"/>
      <c r="C652" s="32" t="n"/>
      <c r="D652" s="32" t="n"/>
      <c r="E652" s="32" t="n"/>
      <c r="F652" s="32" t="n"/>
      <c r="G652" s="32" t="n"/>
      <c r="H652" s="32" t="n"/>
      <c r="I652" s="32" t="n"/>
      <c r="J652" s="32" t="n"/>
      <c r="K652" s="32" t="n"/>
      <c r="L652" s="32" t="n"/>
      <c r="M652" s="32" t="n"/>
      <c r="N652" s="32" t="n"/>
      <c r="O652" s="32" t="n"/>
      <c r="P652" s="32" t="n"/>
      <c r="Q652" s="32" t="n"/>
      <c r="R652" s="32" t="n"/>
      <c r="S652" s="32" t="n"/>
      <c r="T652" s="32" t="n"/>
      <c r="U652" s="32" t="n"/>
      <c r="V652" s="32" t="n"/>
      <c r="W652" s="32" t="n"/>
      <c r="X652" s="32" t="n"/>
      <c r="Y652" s="32" t="n"/>
      <c r="Z652" s="32" t="n"/>
    </row>
    <row r="653">
      <c r="A653" s="32" t="n"/>
      <c r="B653" s="32" t="n"/>
      <c r="C653" s="32" t="n"/>
      <c r="D653" s="32" t="n"/>
      <c r="E653" s="32" t="n"/>
      <c r="F653" s="32" t="n"/>
      <c r="G653" s="32" t="n"/>
      <c r="H653" s="32" t="n"/>
      <c r="I653" s="32" t="n"/>
      <c r="J653" s="32" t="n"/>
      <c r="K653" s="32" t="n"/>
      <c r="L653" s="32" t="n"/>
      <c r="M653" s="32" t="n"/>
      <c r="N653" s="32" t="n"/>
      <c r="O653" s="32" t="n"/>
      <c r="P653" s="32" t="n"/>
      <c r="Q653" s="32" t="n"/>
      <c r="R653" s="32" t="n"/>
      <c r="S653" s="32" t="n"/>
      <c r="T653" s="32" t="n"/>
      <c r="U653" s="32" t="n"/>
      <c r="V653" s="32" t="n"/>
      <c r="W653" s="32" t="n"/>
      <c r="X653" s="32" t="n"/>
      <c r="Y653" s="32" t="n"/>
      <c r="Z653" s="32" t="n"/>
    </row>
    <row r="654">
      <c r="A654" s="32" t="n"/>
      <c r="B654" s="32" t="n"/>
      <c r="C654" s="32" t="n"/>
      <c r="D654" s="32" t="n"/>
      <c r="E654" s="32" t="n"/>
      <c r="F654" s="32" t="n"/>
      <c r="G654" s="32" t="n"/>
      <c r="H654" s="32" t="n"/>
      <c r="I654" s="32" t="n"/>
      <c r="J654" s="32" t="n"/>
      <c r="K654" s="32" t="n"/>
      <c r="L654" s="32" t="n"/>
      <c r="M654" s="32" t="n"/>
      <c r="N654" s="32" t="n"/>
      <c r="O654" s="32" t="n"/>
      <c r="P654" s="32" t="n"/>
      <c r="Q654" s="32" t="n"/>
      <c r="R654" s="32" t="n"/>
      <c r="S654" s="32" t="n"/>
      <c r="T654" s="32" t="n"/>
      <c r="U654" s="32" t="n"/>
      <c r="V654" s="32" t="n"/>
      <c r="W654" s="32" t="n"/>
      <c r="X654" s="32" t="n"/>
      <c r="Y654" s="32" t="n"/>
      <c r="Z654" s="32" t="n"/>
    </row>
    <row r="655">
      <c r="A655" s="32" t="n"/>
      <c r="B655" s="32" t="n"/>
      <c r="C655" s="32" t="n"/>
      <c r="D655" s="32" t="n"/>
      <c r="E655" s="32" t="n"/>
      <c r="F655" s="32" t="n"/>
      <c r="G655" s="32" t="n"/>
      <c r="H655" s="32" t="n"/>
      <c r="I655" s="32" t="n"/>
      <c r="J655" s="32" t="n"/>
      <c r="K655" s="32" t="n"/>
      <c r="L655" s="32" t="n"/>
      <c r="M655" s="32" t="n"/>
      <c r="N655" s="32" t="n"/>
      <c r="O655" s="32" t="n"/>
      <c r="P655" s="32" t="n"/>
      <c r="Q655" s="32" t="n"/>
      <c r="R655" s="32" t="n"/>
      <c r="S655" s="32" t="n"/>
      <c r="T655" s="32" t="n"/>
      <c r="U655" s="32" t="n"/>
      <c r="V655" s="32" t="n"/>
      <c r="W655" s="32" t="n"/>
      <c r="X655" s="32" t="n"/>
      <c r="Y655" s="32" t="n"/>
      <c r="Z655" s="32" t="n"/>
    </row>
    <row r="656">
      <c r="A656" s="32" t="n"/>
      <c r="B656" s="32" t="n"/>
      <c r="C656" s="32" t="n"/>
      <c r="D656" s="32" t="n"/>
      <c r="E656" s="32" t="n"/>
      <c r="F656" s="32" t="n"/>
      <c r="G656" s="32" t="n"/>
      <c r="H656" s="32" t="n"/>
      <c r="I656" s="32" t="n"/>
      <c r="J656" s="32" t="n"/>
      <c r="K656" s="32" t="n"/>
      <c r="L656" s="32" t="n"/>
      <c r="M656" s="32" t="n"/>
      <c r="N656" s="32" t="n"/>
      <c r="O656" s="32" t="n"/>
      <c r="P656" s="32" t="n"/>
      <c r="Q656" s="32" t="n"/>
      <c r="R656" s="32" t="n"/>
      <c r="S656" s="32" t="n"/>
      <c r="T656" s="32" t="n"/>
      <c r="U656" s="32" t="n"/>
      <c r="V656" s="32" t="n"/>
      <c r="W656" s="32" t="n"/>
      <c r="X656" s="32" t="n"/>
      <c r="Y656" s="32" t="n"/>
      <c r="Z656" s="32" t="n"/>
    </row>
    <row r="657">
      <c r="A657" s="32" t="n"/>
      <c r="B657" s="32" t="n"/>
      <c r="C657" s="32" t="n"/>
      <c r="D657" s="32" t="n"/>
      <c r="E657" s="32" t="n"/>
      <c r="F657" s="32" t="n"/>
      <c r="G657" s="32" t="n"/>
      <c r="H657" s="32" t="n"/>
      <c r="I657" s="32" t="n"/>
      <c r="J657" s="32" t="n"/>
      <c r="K657" s="32" t="n"/>
      <c r="L657" s="32" t="n"/>
      <c r="M657" s="32" t="n"/>
      <c r="N657" s="32" t="n"/>
      <c r="O657" s="32" t="n"/>
      <c r="P657" s="32" t="n"/>
      <c r="Q657" s="32" t="n"/>
      <c r="R657" s="32" t="n"/>
      <c r="S657" s="32" t="n"/>
      <c r="T657" s="32" t="n"/>
      <c r="U657" s="32" t="n"/>
      <c r="V657" s="32" t="n"/>
      <c r="W657" s="32" t="n"/>
      <c r="X657" s="32" t="n"/>
      <c r="Y657" s="32" t="n"/>
      <c r="Z657" s="32" t="n"/>
    </row>
    <row r="658">
      <c r="A658" s="32" t="n"/>
      <c r="B658" s="32" t="n"/>
      <c r="C658" s="32" t="n"/>
      <c r="D658" s="32" t="n"/>
      <c r="E658" s="32" t="n"/>
      <c r="F658" s="32" t="n"/>
      <c r="G658" s="32" t="n"/>
      <c r="H658" s="32" t="n"/>
      <c r="I658" s="32" t="n"/>
      <c r="J658" s="32" t="n"/>
      <c r="K658" s="32" t="n"/>
      <c r="L658" s="32" t="n"/>
      <c r="M658" s="32" t="n"/>
      <c r="N658" s="32" t="n"/>
      <c r="O658" s="32" t="n"/>
      <c r="P658" s="32" t="n"/>
      <c r="Q658" s="32" t="n"/>
      <c r="R658" s="32" t="n"/>
      <c r="S658" s="32" t="n"/>
      <c r="T658" s="32" t="n"/>
      <c r="U658" s="32" t="n"/>
      <c r="V658" s="32" t="n"/>
      <c r="W658" s="32" t="n"/>
      <c r="X658" s="32" t="n"/>
      <c r="Y658" s="32" t="n"/>
      <c r="Z658" s="32" t="n"/>
    </row>
    <row r="659">
      <c r="A659" s="32" t="n"/>
      <c r="B659" s="32" t="n"/>
      <c r="C659" s="32" t="n"/>
      <c r="D659" s="32" t="n"/>
      <c r="E659" s="32" t="n"/>
      <c r="F659" s="32" t="n"/>
      <c r="G659" s="32" t="n"/>
      <c r="H659" s="32" t="n"/>
      <c r="I659" s="32" t="n"/>
      <c r="J659" s="32" t="n"/>
      <c r="K659" s="32" t="n"/>
      <c r="L659" s="32" t="n"/>
      <c r="M659" s="32" t="n"/>
      <c r="N659" s="32" t="n"/>
      <c r="O659" s="32" t="n"/>
      <c r="P659" s="32" t="n"/>
      <c r="Q659" s="32" t="n"/>
      <c r="R659" s="32" t="n"/>
      <c r="S659" s="32" t="n"/>
      <c r="T659" s="32" t="n"/>
      <c r="U659" s="32" t="n"/>
      <c r="V659" s="32" t="n"/>
      <c r="W659" s="32" t="n"/>
      <c r="X659" s="32" t="n"/>
      <c r="Y659" s="32" t="n"/>
      <c r="Z659" s="32" t="n"/>
    </row>
    <row r="660">
      <c r="A660" s="32" t="n"/>
      <c r="B660" s="32" t="n"/>
      <c r="C660" s="32" t="n"/>
      <c r="D660" s="32" t="n"/>
      <c r="E660" s="32" t="n"/>
      <c r="F660" s="32" t="n"/>
      <c r="G660" s="32" t="n"/>
      <c r="H660" s="32" t="n"/>
      <c r="I660" s="32" t="n"/>
      <c r="J660" s="32" t="n"/>
      <c r="K660" s="32" t="n"/>
      <c r="L660" s="32" t="n"/>
      <c r="M660" s="32" t="n"/>
      <c r="N660" s="32" t="n"/>
      <c r="O660" s="32" t="n"/>
      <c r="P660" s="32" t="n"/>
      <c r="Q660" s="32" t="n"/>
      <c r="R660" s="32" t="n"/>
      <c r="S660" s="32" t="n"/>
      <c r="T660" s="32" t="n"/>
      <c r="U660" s="32" t="n"/>
      <c r="V660" s="32" t="n"/>
      <c r="W660" s="32" t="n"/>
      <c r="X660" s="32" t="n"/>
      <c r="Y660" s="32" t="n"/>
      <c r="Z660" s="32" t="n"/>
    </row>
    <row r="661">
      <c r="A661" s="32" t="n"/>
      <c r="B661" s="32" t="n"/>
      <c r="C661" s="32" t="n"/>
      <c r="D661" s="32" t="n"/>
      <c r="E661" s="32" t="n"/>
      <c r="F661" s="32" t="n"/>
      <c r="G661" s="32" t="n"/>
      <c r="H661" s="32" t="n"/>
      <c r="I661" s="32" t="n"/>
      <c r="J661" s="32" t="n"/>
      <c r="K661" s="32" t="n"/>
      <c r="L661" s="32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2" t="n"/>
      <c r="W661" s="32" t="n"/>
      <c r="X661" s="32" t="n"/>
      <c r="Y661" s="32" t="n"/>
      <c r="Z661" s="32" t="n"/>
    </row>
    <row r="662">
      <c r="A662" s="32" t="n"/>
      <c r="B662" s="32" t="n"/>
      <c r="C662" s="32" t="n"/>
      <c r="D662" s="32" t="n"/>
      <c r="E662" s="32" t="n"/>
      <c r="F662" s="32" t="n"/>
      <c r="G662" s="32" t="n"/>
      <c r="H662" s="32" t="n"/>
      <c r="I662" s="32" t="n"/>
      <c r="J662" s="32" t="n"/>
      <c r="K662" s="32" t="n"/>
      <c r="L662" s="32" t="n"/>
      <c r="M662" s="32" t="n"/>
      <c r="N662" s="32" t="n"/>
      <c r="O662" s="32" t="n"/>
      <c r="P662" s="32" t="n"/>
      <c r="Q662" s="32" t="n"/>
      <c r="R662" s="32" t="n"/>
      <c r="S662" s="32" t="n"/>
      <c r="T662" s="32" t="n"/>
      <c r="U662" s="32" t="n"/>
      <c r="V662" s="32" t="n"/>
      <c r="W662" s="32" t="n"/>
      <c r="X662" s="32" t="n"/>
      <c r="Y662" s="32" t="n"/>
      <c r="Z662" s="32" t="n"/>
    </row>
    <row r="663">
      <c r="A663" s="32" t="n"/>
      <c r="B663" s="32" t="n"/>
      <c r="C663" s="32" t="n"/>
      <c r="D663" s="32" t="n"/>
      <c r="E663" s="32" t="n"/>
      <c r="F663" s="32" t="n"/>
      <c r="G663" s="32" t="n"/>
      <c r="H663" s="32" t="n"/>
      <c r="I663" s="32" t="n"/>
      <c r="J663" s="32" t="n"/>
      <c r="K663" s="32" t="n"/>
      <c r="L663" s="32" t="n"/>
      <c r="M663" s="32" t="n"/>
      <c r="N663" s="32" t="n"/>
      <c r="O663" s="32" t="n"/>
      <c r="P663" s="32" t="n"/>
      <c r="Q663" s="32" t="n"/>
      <c r="R663" s="32" t="n"/>
      <c r="S663" s="32" t="n"/>
      <c r="T663" s="32" t="n"/>
      <c r="U663" s="32" t="n"/>
      <c r="V663" s="32" t="n"/>
      <c r="W663" s="32" t="n"/>
      <c r="X663" s="32" t="n"/>
      <c r="Y663" s="32" t="n"/>
      <c r="Z663" s="32" t="n"/>
    </row>
    <row r="664">
      <c r="A664" s="32" t="n"/>
      <c r="B664" s="32" t="n"/>
      <c r="C664" s="32" t="n"/>
      <c r="D664" s="32" t="n"/>
      <c r="E664" s="32" t="n"/>
      <c r="F664" s="32" t="n"/>
      <c r="G664" s="32" t="n"/>
      <c r="H664" s="32" t="n"/>
      <c r="I664" s="32" t="n"/>
      <c r="J664" s="32" t="n"/>
      <c r="K664" s="32" t="n"/>
      <c r="L664" s="32" t="n"/>
      <c r="M664" s="32" t="n"/>
      <c r="N664" s="32" t="n"/>
      <c r="O664" s="32" t="n"/>
      <c r="P664" s="32" t="n"/>
      <c r="Q664" s="32" t="n"/>
      <c r="R664" s="32" t="n"/>
      <c r="S664" s="32" t="n"/>
      <c r="T664" s="32" t="n"/>
      <c r="U664" s="32" t="n"/>
      <c r="V664" s="32" t="n"/>
      <c r="W664" s="32" t="n"/>
      <c r="X664" s="32" t="n"/>
      <c r="Y664" s="32" t="n"/>
      <c r="Z664" s="32" t="n"/>
    </row>
    <row r="665">
      <c r="A665" s="32" t="n"/>
      <c r="B665" s="32" t="n"/>
      <c r="C665" s="32" t="n"/>
      <c r="D665" s="32" t="n"/>
      <c r="E665" s="32" t="n"/>
      <c r="F665" s="32" t="n"/>
      <c r="G665" s="32" t="n"/>
      <c r="H665" s="32" t="n"/>
      <c r="I665" s="32" t="n"/>
      <c r="J665" s="32" t="n"/>
      <c r="K665" s="32" t="n"/>
      <c r="L665" s="32" t="n"/>
      <c r="M665" s="32" t="n"/>
      <c r="N665" s="32" t="n"/>
      <c r="O665" s="32" t="n"/>
      <c r="P665" s="32" t="n"/>
      <c r="Q665" s="32" t="n"/>
      <c r="R665" s="32" t="n"/>
      <c r="S665" s="32" t="n"/>
      <c r="T665" s="32" t="n"/>
      <c r="U665" s="32" t="n"/>
      <c r="V665" s="32" t="n"/>
      <c r="W665" s="32" t="n"/>
      <c r="X665" s="32" t="n"/>
      <c r="Y665" s="32" t="n"/>
      <c r="Z665" s="32" t="n"/>
    </row>
    <row r="666">
      <c r="A666" s="32" t="n"/>
      <c r="B666" s="32" t="n"/>
      <c r="C666" s="32" t="n"/>
      <c r="D666" s="32" t="n"/>
      <c r="E666" s="32" t="n"/>
      <c r="F666" s="32" t="n"/>
      <c r="G666" s="32" t="n"/>
      <c r="H666" s="32" t="n"/>
      <c r="I666" s="32" t="n"/>
      <c r="J666" s="32" t="n"/>
      <c r="K666" s="32" t="n"/>
      <c r="L666" s="32" t="n"/>
      <c r="M666" s="32" t="n"/>
      <c r="N666" s="32" t="n"/>
      <c r="O666" s="32" t="n"/>
      <c r="P666" s="32" t="n"/>
      <c r="Q666" s="32" t="n"/>
      <c r="R666" s="32" t="n"/>
      <c r="S666" s="32" t="n"/>
      <c r="T666" s="32" t="n"/>
      <c r="U666" s="32" t="n"/>
      <c r="V666" s="32" t="n"/>
      <c r="W666" s="32" t="n"/>
      <c r="X666" s="32" t="n"/>
      <c r="Y666" s="32" t="n"/>
      <c r="Z666" s="32" t="n"/>
    </row>
    <row r="667">
      <c r="A667" s="32" t="n"/>
      <c r="B667" s="32" t="n"/>
      <c r="C667" s="32" t="n"/>
      <c r="D667" s="32" t="n"/>
      <c r="E667" s="32" t="n"/>
      <c r="F667" s="32" t="n"/>
      <c r="G667" s="32" t="n"/>
      <c r="H667" s="32" t="n"/>
      <c r="I667" s="32" t="n"/>
      <c r="J667" s="32" t="n"/>
      <c r="K667" s="32" t="n"/>
      <c r="L667" s="32" t="n"/>
      <c r="M667" s="32" t="n"/>
      <c r="N667" s="32" t="n"/>
      <c r="O667" s="32" t="n"/>
      <c r="P667" s="32" t="n"/>
      <c r="Q667" s="32" t="n"/>
      <c r="R667" s="32" t="n"/>
      <c r="S667" s="32" t="n"/>
      <c r="T667" s="32" t="n"/>
      <c r="U667" s="32" t="n"/>
      <c r="V667" s="32" t="n"/>
      <c r="W667" s="32" t="n"/>
      <c r="X667" s="32" t="n"/>
      <c r="Y667" s="32" t="n"/>
      <c r="Z667" s="32" t="n"/>
    </row>
    <row r="668">
      <c r="A668" s="32" t="n"/>
      <c r="B668" s="32" t="n"/>
      <c r="C668" s="32" t="n"/>
      <c r="D668" s="32" t="n"/>
      <c r="E668" s="32" t="n"/>
      <c r="F668" s="32" t="n"/>
      <c r="G668" s="32" t="n"/>
      <c r="H668" s="32" t="n"/>
      <c r="I668" s="32" t="n"/>
      <c r="J668" s="32" t="n"/>
      <c r="K668" s="32" t="n"/>
      <c r="L668" s="32" t="n"/>
      <c r="M668" s="32" t="n"/>
      <c r="N668" s="32" t="n"/>
      <c r="O668" s="32" t="n"/>
      <c r="P668" s="32" t="n"/>
      <c r="Q668" s="32" t="n"/>
      <c r="R668" s="32" t="n"/>
      <c r="S668" s="32" t="n"/>
      <c r="T668" s="32" t="n"/>
      <c r="U668" s="32" t="n"/>
      <c r="V668" s="32" t="n"/>
      <c r="W668" s="32" t="n"/>
      <c r="X668" s="32" t="n"/>
      <c r="Y668" s="32" t="n"/>
      <c r="Z668" s="32" t="n"/>
    </row>
    <row r="669">
      <c r="A669" s="32" t="n"/>
      <c r="B669" s="32" t="n"/>
      <c r="C669" s="32" t="n"/>
      <c r="D669" s="32" t="n"/>
      <c r="E669" s="32" t="n"/>
      <c r="F669" s="32" t="n"/>
      <c r="G669" s="32" t="n"/>
      <c r="H669" s="32" t="n"/>
      <c r="I669" s="32" t="n"/>
      <c r="J669" s="32" t="n"/>
      <c r="K669" s="32" t="n"/>
      <c r="L669" s="32" t="n"/>
      <c r="M669" s="32" t="n"/>
      <c r="N669" s="32" t="n"/>
      <c r="O669" s="32" t="n"/>
      <c r="P669" s="32" t="n"/>
      <c r="Q669" s="32" t="n"/>
      <c r="R669" s="32" t="n"/>
      <c r="S669" s="32" t="n"/>
      <c r="T669" s="32" t="n"/>
      <c r="U669" s="32" t="n"/>
      <c r="V669" s="32" t="n"/>
      <c r="W669" s="32" t="n"/>
      <c r="X669" s="32" t="n"/>
      <c r="Y669" s="32" t="n"/>
      <c r="Z669" s="32" t="n"/>
    </row>
    <row r="670">
      <c r="A670" s="32" t="n"/>
      <c r="B670" s="32" t="n"/>
      <c r="C670" s="32" t="n"/>
      <c r="D670" s="32" t="n"/>
      <c r="E670" s="32" t="n"/>
      <c r="F670" s="32" t="n"/>
      <c r="G670" s="32" t="n"/>
      <c r="H670" s="32" t="n"/>
      <c r="I670" s="32" t="n"/>
      <c r="J670" s="32" t="n"/>
      <c r="K670" s="32" t="n"/>
      <c r="L670" s="32" t="n"/>
      <c r="M670" s="32" t="n"/>
      <c r="N670" s="32" t="n"/>
      <c r="O670" s="32" t="n"/>
      <c r="P670" s="32" t="n"/>
      <c r="Q670" s="32" t="n"/>
      <c r="R670" s="32" t="n"/>
      <c r="S670" s="32" t="n"/>
      <c r="T670" s="32" t="n"/>
      <c r="U670" s="32" t="n"/>
      <c r="V670" s="32" t="n"/>
      <c r="W670" s="32" t="n"/>
      <c r="X670" s="32" t="n"/>
      <c r="Y670" s="32" t="n"/>
      <c r="Z670" s="32" t="n"/>
    </row>
    <row r="671">
      <c r="A671" s="32" t="n"/>
      <c r="B671" s="32" t="n"/>
      <c r="C671" s="32" t="n"/>
      <c r="D671" s="32" t="n"/>
      <c r="E671" s="32" t="n"/>
      <c r="F671" s="32" t="n"/>
      <c r="G671" s="32" t="n"/>
      <c r="H671" s="32" t="n"/>
      <c r="I671" s="32" t="n"/>
      <c r="J671" s="32" t="n"/>
      <c r="K671" s="32" t="n"/>
      <c r="L671" s="32" t="n"/>
      <c r="M671" s="32" t="n"/>
      <c r="N671" s="32" t="n"/>
      <c r="O671" s="32" t="n"/>
      <c r="P671" s="32" t="n"/>
      <c r="Q671" s="32" t="n"/>
      <c r="R671" s="32" t="n"/>
      <c r="S671" s="32" t="n"/>
      <c r="T671" s="32" t="n"/>
      <c r="U671" s="32" t="n"/>
      <c r="V671" s="32" t="n"/>
      <c r="W671" s="32" t="n"/>
      <c r="X671" s="32" t="n"/>
      <c r="Y671" s="32" t="n"/>
      <c r="Z671" s="32" t="n"/>
    </row>
    <row r="672">
      <c r="A672" s="32" t="n"/>
      <c r="B672" s="32" t="n"/>
      <c r="C672" s="32" t="n"/>
      <c r="D672" s="32" t="n"/>
      <c r="E672" s="32" t="n"/>
      <c r="F672" s="32" t="n"/>
      <c r="G672" s="32" t="n"/>
      <c r="H672" s="32" t="n"/>
      <c r="I672" s="32" t="n"/>
      <c r="J672" s="32" t="n"/>
      <c r="K672" s="32" t="n"/>
      <c r="L672" s="32" t="n"/>
      <c r="M672" s="32" t="n"/>
      <c r="N672" s="32" t="n"/>
      <c r="O672" s="32" t="n"/>
      <c r="P672" s="32" t="n"/>
      <c r="Q672" s="32" t="n"/>
      <c r="R672" s="32" t="n"/>
      <c r="S672" s="32" t="n"/>
      <c r="T672" s="32" t="n"/>
      <c r="U672" s="32" t="n"/>
      <c r="V672" s="32" t="n"/>
      <c r="W672" s="32" t="n"/>
      <c r="X672" s="32" t="n"/>
      <c r="Y672" s="32" t="n"/>
      <c r="Z672" s="32" t="n"/>
    </row>
    <row r="673">
      <c r="A673" s="32" t="n"/>
      <c r="B673" s="32" t="n"/>
      <c r="C673" s="32" t="n"/>
      <c r="D673" s="32" t="n"/>
      <c r="E673" s="32" t="n"/>
      <c r="F673" s="32" t="n"/>
      <c r="G673" s="32" t="n"/>
      <c r="H673" s="32" t="n"/>
      <c r="I673" s="32" t="n"/>
      <c r="J673" s="32" t="n"/>
      <c r="K673" s="32" t="n"/>
      <c r="L673" s="32" t="n"/>
      <c r="M673" s="32" t="n"/>
      <c r="N673" s="32" t="n"/>
      <c r="O673" s="32" t="n"/>
      <c r="P673" s="32" t="n"/>
      <c r="Q673" s="32" t="n"/>
      <c r="R673" s="32" t="n"/>
      <c r="S673" s="32" t="n"/>
      <c r="T673" s="32" t="n"/>
      <c r="U673" s="32" t="n"/>
      <c r="V673" s="32" t="n"/>
      <c r="W673" s="32" t="n"/>
      <c r="X673" s="32" t="n"/>
      <c r="Y673" s="32" t="n"/>
      <c r="Z673" s="32" t="n"/>
    </row>
    <row r="674">
      <c r="A674" s="32" t="n"/>
      <c r="B674" s="32" t="n"/>
      <c r="C674" s="32" t="n"/>
      <c r="D674" s="32" t="n"/>
      <c r="E674" s="32" t="n"/>
      <c r="F674" s="32" t="n"/>
      <c r="G674" s="32" t="n"/>
      <c r="H674" s="32" t="n"/>
      <c r="I674" s="32" t="n"/>
      <c r="J674" s="32" t="n"/>
      <c r="K674" s="32" t="n"/>
      <c r="L674" s="32" t="n"/>
      <c r="M674" s="32" t="n"/>
      <c r="N674" s="32" t="n"/>
      <c r="O674" s="32" t="n"/>
      <c r="P674" s="32" t="n"/>
      <c r="Q674" s="32" t="n"/>
      <c r="R674" s="32" t="n"/>
      <c r="S674" s="32" t="n"/>
      <c r="T674" s="32" t="n"/>
      <c r="U674" s="32" t="n"/>
      <c r="V674" s="32" t="n"/>
      <c r="W674" s="32" t="n"/>
      <c r="X674" s="32" t="n"/>
      <c r="Y674" s="32" t="n"/>
      <c r="Z674" s="32" t="n"/>
    </row>
    <row r="675">
      <c r="A675" s="32" t="n"/>
      <c r="B675" s="32" t="n"/>
      <c r="C675" s="32" t="n"/>
      <c r="D675" s="32" t="n"/>
      <c r="E675" s="32" t="n"/>
      <c r="F675" s="32" t="n"/>
      <c r="G675" s="32" t="n"/>
      <c r="H675" s="32" t="n"/>
      <c r="I675" s="32" t="n"/>
      <c r="J675" s="32" t="n"/>
      <c r="K675" s="32" t="n"/>
      <c r="L675" s="32" t="n"/>
      <c r="M675" s="32" t="n"/>
      <c r="N675" s="32" t="n"/>
      <c r="O675" s="32" t="n"/>
      <c r="P675" s="32" t="n"/>
      <c r="Q675" s="32" t="n"/>
      <c r="R675" s="32" t="n"/>
      <c r="S675" s="32" t="n"/>
      <c r="T675" s="32" t="n"/>
      <c r="U675" s="32" t="n"/>
      <c r="V675" s="32" t="n"/>
      <c r="W675" s="32" t="n"/>
      <c r="X675" s="32" t="n"/>
      <c r="Y675" s="32" t="n"/>
      <c r="Z675" s="32" t="n"/>
    </row>
    <row r="676">
      <c r="A676" s="32" t="n"/>
      <c r="B676" s="32" t="n"/>
      <c r="C676" s="32" t="n"/>
      <c r="D676" s="32" t="n"/>
      <c r="E676" s="32" t="n"/>
      <c r="F676" s="32" t="n"/>
      <c r="G676" s="32" t="n"/>
      <c r="H676" s="32" t="n"/>
      <c r="I676" s="32" t="n"/>
      <c r="J676" s="32" t="n"/>
      <c r="K676" s="32" t="n"/>
      <c r="L676" s="32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2" t="n"/>
      <c r="W676" s="32" t="n"/>
      <c r="X676" s="32" t="n"/>
      <c r="Y676" s="32" t="n"/>
      <c r="Z676" s="32" t="n"/>
    </row>
    <row r="677">
      <c r="A677" s="32" t="n"/>
      <c r="B677" s="32" t="n"/>
      <c r="C677" s="32" t="n"/>
      <c r="D677" s="32" t="n"/>
      <c r="E677" s="32" t="n"/>
      <c r="F677" s="32" t="n"/>
      <c r="G677" s="32" t="n"/>
      <c r="H677" s="32" t="n"/>
      <c r="I677" s="32" t="n"/>
      <c r="J677" s="32" t="n"/>
      <c r="K677" s="32" t="n"/>
      <c r="L677" s="32" t="n"/>
      <c r="M677" s="32" t="n"/>
      <c r="N677" s="32" t="n"/>
      <c r="O677" s="32" t="n"/>
      <c r="P677" s="32" t="n"/>
      <c r="Q677" s="32" t="n"/>
      <c r="R677" s="32" t="n"/>
      <c r="S677" s="32" t="n"/>
      <c r="T677" s="32" t="n"/>
      <c r="U677" s="32" t="n"/>
      <c r="V677" s="32" t="n"/>
      <c r="W677" s="32" t="n"/>
      <c r="X677" s="32" t="n"/>
      <c r="Y677" s="32" t="n"/>
      <c r="Z677" s="32" t="n"/>
    </row>
    <row r="678">
      <c r="A678" s="32" t="n"/>
      <c r="B678" s="32" t="n"/>
      <c r="C678" s="32" t="n"/>
      <c r="D678" s="32" t="n"/>
      <c r="E678" s="32" t="n"/>
      <c r="F678" s="32" t="n"/>
      <c r="G678" s="32" t="n"/>
      <c r="H678" s="32" t="n"/>
      <c r="I678" s="32" t="n"/>
      <c r="J678" s="32" t="n"/>
      <c r="K678" s="32" t="n"/>
      <c r="L678" s="32" t="n"/>
      <c r="M678" s="32" t="n"/>
      <c r="N678" s="32" t="n"/>
      <c r="O678" s="32" t="n"/>
      <c r="P678" s="32" t="n"/>
      <c r="Q678" s="32" t="n"/>
      <c r="R678" s="32" t="n"/>
      <c r="S678" s="32" t="n"/>
      <c r="T678" s="32" t="n"/>
      <c r="U678" s="32" t="n"/>
      <c r="V678" s="32" t="n"/>
      <c r="W678" s="32" t="n"/>
      <c r="X678" s="32" t="n"/>
      <c r="Y678" s="32" t="n"/>
      <c r="Z678" s="32" t="n"/>
    </row>
    <row r="679">
      <c r="A679" s="32" t="n"/>
      <c r="B679" s="32" t="n"/>
      <c r="C679" s="32" t="n"/>
      <c r="D679" s="32" t="n"/>
      <c r="E679" s="32" t="n"/>
      <c r="F679" s="32" t="n"/>
      <c r="G679" s="32" t="n"/>
      <c r="H679" s="32" t="n"/>
      <c r="I679" s="32" t="n"/>
      <c r="J679" s="32" t="n"/>
      <c r="K679" s="32" t="n"/>
      <c r="L679" s="32" t="n"/>
      <c r="M679" s="32" t="n"/>
      <c r="N679" s="32" t="n"/>
      <c r="O679" s="32" t="n"/>
      <c r="P679" s="32" t="n"/>
      <c r="Q679" s="32" t="n"/>
      <c r="R679" s="32" t="n"/>
      <c r="S679" s="32" t="n"/>
      <c r="T679" s="32" t="n"/>
      <c r="U679" s="32" t="n"/>
      <c r="V679" s="32" t="n"/>
      <c r="W679" s="32" t="n"/>
      <c r="X679" s="32" t="n"/>
      <c r="Y679" s="32" t="n"/>
      <c r="Z679" s="32" t="n"/>
    </row>
    <row r="680">
      <c r="A680" s="32" t="n"/>
      <c r="B680" s="32" t="n"/>
      <c r="C680" s="32" t="n"/>
      <c r="D680" s="32" t="n"/>
      <c r="E680" s="32" t="n"/>
      <c r="F680" s="32" t="n"/>
      <c r="G680" s="32" t="n"/>
      <c r="H680" s="32" t="n"/>
      <c r="I680" s="32" t="n"/>
      <c r="J680" s="32" t="n"/>
      <c r="K680" s="32" t="n"/>
      <c r="L680" s="32" t="n"/>
      <c r="M680" s="32" t="n"/>
      <c r="N680" s="32" t="n"/>
      <c r="O680" s="32" t="n"/>
      <c r="P680" s="32" t="n"/>
      <c r="Q680" s="32" t="n"/>
      <c r="R680" s="32" t="n"/>
      <c r="S680" s="32" t="n"/>
      <c r="T680" s="32" t="n"/>
      <c r="U680" s="32" t="n"/>
      <c r="V680" s="32" t="n"/>
      <c r="W680" s="32" t="n"/>
      <c r="X680" s="32" t="n"/>
      <c r="Y680" s="32" t="n"/>
      <c r="Z680" s="32" t="n"/>
    </row>
    <row r="681">
      <c r="A681" s="32" t="n"/>
      <c r="B681" s="32" t="n"/>
      <c r="C681" s="32" t="n"/>
      <c r="D681" s="32" t="n"/>
      <c r="E681" s="32" t="n"/>
      <c r="F681" s="32" t="n"/>
      <c r="G681" s="32" t="n"/>
      <c r="H681" s="32" t="n"/>
      <c r="I681" s="32" t="n"/>
      <c r="J681" s="32" t="n"/>
      <c r="K681" s="32" t="n"/>
      <c r="L681" s="32" t="n"/>
      <c r="M681" s="32" t="n"/>
      <c r="N681" s="32" t="n"/>
      <c r="O681" s="32" t="n"/>
      <c r="P681" s="32" t="n"/>
      <c r="Q681" s="32" t="n"/>
      <c r="R681" s="32" t="n"/>
      <c r="S681" s="32" t="n"/>
      <c r="T681" s="32" t="n"/>
      <c r="U681" s="32" t="n"/>
      <c r="V681" s="32" t="n"/>
      <c r="W681" s="32" t="n"/>
      <c r="X681" s="32" t="n"/>
      <c r="Y681" s="32" t="n"/>
      <c r="Z681" s="32" t="n"/>
    </row>
    <row r="682">
      <c r="A682" s="32" t="n"/>
      <c r="B682" s="32" t="n"/>
      <c r="C682" s="32" t="n"/>
      <c r="D682" s="32" t="n"/>
      <c r="E682" s="32" t="n"/>
      <c r="F682" s="32" t="n"/>
      <c r="G682" s="32" t="n"/>
      <c r="H682" s="32" t="n"/>
      <c r="I682" s="32" t="n"/>
      <c r="J682" s="32" t="n"/>
      <c r="K682" s="32" t="n"/>
      <c r="L682" s="32" t="n"/>
      <c r="M682" s="32" t="n"/>
      <c r="N682" s="32" t="n"/>
      <c r="O682" s="32" t="n"/>
      <c r="P682" s="32" t="n"/>
      <c r="Q682" s="32" t="n"/>
      <c r="R682" s="32" t="n"/>
      <c r="S682" s="32" t="n"/>
      <c r="T682" s="32" t="n"/>
      <c r="U682" s="32" t="n"/>
      <c r="V682" s="32" t="n"/>
      <c r="W682" s="32" t="n"/>
      <c r="X682" s="32" t="n"/>
      <c r="Y682" s="32" t="n"/>
      <c r="Z682" s="32" t="n"/>
    </row>
    <row r="683">
      <c r="A683" s="32" t="n"/>
      <c r="B683" s="32" t="n"/>
      <c r="C683" s="32" t="n"/>
      <c r="D683" s="32" t="n"/>
      <c r="E683" s="32" t="n"/>
      <c r="F683" s="32" t="n"/>
      <c r="G683" s="32" t="n"/>
      <c r="H683" s="32" t="n"/>
      <c r="I683" s="32" t="n"/>
      <c r="J683" s="32" t="n"/>
      <c r="K683" s="32" t="n"/>
      <c r="L683" s="32" t="n"/>
      <c r="M683" s="32" t="n"/>
      <c r="N683" s="32" t="n"/>
      <c r="O683" s="32" t="n"/>
      <c r="P683" s="32" t="n"/>
      <c r="Q683" s="32" t="n"/>
      <c r="R683" s="32" t="n"/>
      <c r="S683" s="32" t="n"/>
      <c r="T683" s="32" t="n"/>
      <c r="U683" s="32" t="n"/>
      <c r="V683" s="32" t="n"/>
      <c r="W683" s="32" t="n"/>
      <c r="X683" s="32" t="n"/>
      <c r="Y683" s="32" t="n"/>
      <c r="Z683" s="32" t="n"/>
    </row>
    <row r="684">
      <c r="A684" s="32" t="n"/>
      <c r="B684" s="32" t="n"/>
      <c r="C684" s="32" t="n"/>
      <c r="D684" s="32" t="n"/>
      <c r="E684" s="32" t="n"/>
      <c r="F684" s="32" t="n"/>
      <c r="G684" s="32" t="n"/>
      <c r="H684" s="32" t="n"/>
      <c r="I684" s="32" t="n"/>
      <c r="J684" s="32" t="n"/>
      <c r="K684" s="32" t="n"/>
      <c r="L684" s="32" t="n"/>
      <c r="M684" s="32" t="n"/>
      <c r="N684" s="32" t="n"/>
      <c r="O684" s="32" t="n"/>
      <c r="P684" s="32" t="n"/>
      <c r="Q684" s="32" t="n"/>
      <c r="R684" s="32" t="n"/>
      <c r="S684" s="32" t="n"/>
      <c r="T684" s="32" t="n"/>
      <c r="U684" s="32" t="n"/>
      <c r="V684" s="32" t="n"/>
      <c r="W684" s="32" t="n"/>
      <c r="X684" s="32" t="n"/>
      <c r="Y684" s="32" t="n"/>
      <c r="Z684" s="32" t="n"/>
    </row>
    <row r="685">
      <c r="A685" s="32" t="n"/>
      <c r="B685" s="32" t="n"/>
      <c r="C685" s="32" t="n"/>
      <c r="D685" s="32" t="n"/>
      <c r="E685" s="32" t="n"/>
      <c r="F685" s="32" t="n"/>
      <c r="G685" s="32" t="n"/>
      <c r="H685" s="32" t="n"/>
      <c r="I685" s="32" t="n"/>
      <c r="J685" s="32" t="n"/>
      <c r="K685" s="32" t="n"/>
      <c r="L685" s="32" t="n"/>
      <c r="M685" s="32" t="n"/>
      <c r="N685" s="32" t="n"/>
      <c r="O685" s="32" t="n"/>
      <c r="P685" s="32" t="n"/>
      <c r="Q685" s="32" t="n"/>
      <c r="R685" s="32" t="n"/>
      <c r="S685" s="32" t="n"/>
      <c r="T685" s="32" t="n"/>
      <c r="U685" s="32" t="n"/>
      <c r="V685" s="32" t="n"/>
      <c r="W685" s="32" t="n"/>
      <c r="X685" s="32" t="n"/>
      <c r="Y685" s="32" t="n"/>
      <c r="Z685" s="32" t="n"/>
    </row>
    <row r="686">
      <c r="A686" s="32" t="n"/>
      <c r="B686" s="32" t="n"/>
      <c r="C686" s="32" t="n"/>
      <c r="D686" s="32" t="n"/>
      <c r="E686" s="32" t="n"/>
      <c r="F686" s="32" t="n"/>
      <c r="G686" s="32" t="n"/>
      <c r="H686" s="32" t="n"/>
      <c r="I686" s="32" t="n"/>
      <c r="J686" s="32" t="n"/>
      <c r="K686" s="32" t="n"/>
      <c r="L686" s="32" t="n"/>
      <c r="M686" s="32" t="n"/>
      <c r="N686" s="32" t="n"/>
      <c r="O686" s="32" t="n"/>
      <c r="P686" s="32" t="n"/>
      <c r="Q686" s="32" t="n"/>
      <c r="R686" s="32" t="n"/>
      <c r="S686" s="32" t="n"/>
      <c r="T686" s="32" t="n"/>
      <c r="U686" s="32" t="n"/>
      <c r="V686" s="32" t="n"/>
      <c r="W686" s="32" t="n"/>
      <c r="X686" s="32" t="n"/>
      <c r="Y686" s="32" t="n"/>
      <c r="Z686" s="32" t="n"/>
    </row>
    <row r="687">
      <c r="A687" s="32" t="n"/>
      <c r="B687" s="32" t="n"/>
      <c r="C687" s="32" t="n"/>
      <c r="D687" s="32" t="n"/>
      <c r="E687" s="32" t="n"/>
      <c r="F687" s="32" t="n"/>
      <c r="G687" s="32" t="n"/>
      <c r="H687" s="32" t="n"/>
      <c r="I687" s="32" t="n"/>
      <c r="J687" s="32" t="n"/>
      <c r="K687" s="32" t="n"/>
      <c r="L687" s="32" t="n"/>
      <c r="M687" s="32" t="n"/>
      <c r="N687" s="32" t="n"/>
      <c r="O687" s="32" t="n"/>
      <c r="P687" s="32" t="n"/>
      <c r="Q687" s="32" t="n"/>
      <c r="R687" s="32" t="n"/>
      <c r="S687" s="32" t="n"/>
      <c r="T687" s="32" t="n"/>
      <c r="U687" s="32" t="n"/>
      <c r="V687" s="32" t="n"/>
      <c r="W687" s="32" t="n"/>
      <c r="X687" s="32" t="n"/>
      <c r="Y687" s="32" t="n"/>
      <c r="Z687" s="32" t="n"/>
    </row>
    <row r="688">
      <c r="A688" s="32" t="n"/>
      <c r="B688" s="32" t="n"/>
      <c r="C688" s="32" t="n"/>
      <c r="D688" s="32" t="n"/>
      <c r="E688" s="32" t="n"/>
      <c r="F688" s="32" t="n"/>
      <c r="G688" s="32" t="n"/>
      <c r="H688" s="32" t="n"/>
      <c r="I688" s="32" t="n"/>
      <c r="J688" s="32" t="n"/>
      <c r="K688" s="32" t="n"/>
      <c r="L688" s="32" t="n"/>
      <c r="M688" s="32" t="n"/>
      <c r="N688" s="32" t="n"/>
      <c r="O688" s="32" t="n"/>
      <c r="P688" s="32" t="n"/>
      <c r="Q688" s="32" t="n"/>
      <c r="R688" s="32" t="n"/>
      <c r="S688" s="32" t="n"/>
      <c r="T688" s="32" t="n"/>
      <c r="U688" s="32" t="n"/>
      <c r="V688" s="32" t="n"/>
      <c r="W688" s="32" t="n"/>
      <c r="X688" s="32" t="n"/>
      <c r="Y688" s="32" t="n"/>
      <c r="Z688" s="32" t="n"/>
    </row>
    <row r="689">
      <c r="A689" s="32" t="n"/>
      <c r="B689" s="32" t="n"/>
      <c r="C689" s="32" t="n"/>
      <c r="D689" s="32" t="n"/>
      <c r="E689" s="32" t="n"/>
      <c r="F689" s="32" t="n"/>
      <c r="G689" s="32" t="n"/>
      <c r="H689" s="32" t="n"/>
      <c r="I689" s="32" t="n"/>
      <c r="J689" s="32" t="n"/>
      <c r="K689" s="32" t="n"/>
      <c r="L689" s="32" t="n"/>
      <c r="M689" s="32" t="n"/>
      <c r="N689" s="32" t="n"/>
      <c r="O689" s="32" t="n"/>
      <c r="P689" s="32" t="n"/>
      <c r="Q689" s="32" t="n"/>
      <c r="R689" s="32" t="n"/>
      <c r="S689" s="32" t="n"/>
      <c r="T689" s="32" t="n"/>
      <c r="U689" s="32" t="n"/>
      <c r="V689" s="32" t="n"/>
      <c r="W689" s="32" t="n"/>
      <c r="X689" s="32" t="n"/>
      <c r="Y689" s="32" t="n"/>
      <c r="Z689" s="32" t="n"/>
    </row>
    <row r="690">
      <c r="A690" s="32" t="n"/>
      <c r="B690" s="32" t="n"/>
      <c r="C690" s="32" t="n"/>
      <c r="D690" s="32" t="n"/>
      <c r="E690" s="32" t="n"/>
      <c r="F690" s="32" t="n"/>
      <c r="G690" s="32" t="n"/>
      <c r="H690" s="32" t="n"/>
      <c r="I690" s="32" t="n"/>
      <c r="J690" s="32" t="n"/>
      <c r="K690" s="32" t="n"/>
      <c r="L690" s="32" t="n"/>
      <c r="M690" s="32" t="n"/>
      <c r="N690" s="32" t="n"/>
      <c r="O690" s="32" t="n"/>
      <c r="P690" s="32" t="n"/>
      <c r="Q690" s="32" t="n"/>
      <c r="R690" s="32" t="n"/>
      <c r="S690" s="32" t="n"/>
      <c r="T690" s="32" t="n"/>
      <c r="U690" s="32" t="n"/>
      <c r="V690" s="32" t="n"/>
      <c r="W690" s="32" t="n"/>
      <c r="X690" s="32" t="n"/>
      <c r="Y690" s="32" t="n"/>
      <c r="Z690" s="32" t="n"/>
    </row>
    <row r="691">
      <c r="A691" s="32" t="n"/>
      <c r="B691" s="32" t="n"/>
      <c r="C691" s="32" t="n"/>
      <c r="D691" s="32" t="n"/>
      <c r="E691" s="32" t="n"/>
      <c r="F691" s="32" t="n"/>
      <c r="G691" s="32" t="n"/>
      <c r="H691" s="32" t="n"/>
      <c r="I691" s="32" t="n"/>
      <c r="J691" s="32" t="n"/>
      <c r="K691" s="32" t="n"/>
      <c r="L691" s="32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2" t="n"/>
      <c r="W691" s="32" t="n"/>
      <c r="X691" s="32" t="n"/>
      <c r="Y691" s="32" t="n"/>
      <c r="Z691" s="32" t="n"/>
    </row>
    <row r="692">
      <c r="A692" s="32" t="n"/>
      <c r="B692" s="32" t="n"/>
      <c r="C692" s="32" t="n"/>
      <c r="D692" s="32" t="n"/>
      <c r="E692" s="32" t="n"/>
      <c r="F692" s="32" t="n"/>
      <c r="G692" s="32" t="n"/>
      <c r="H692" s="32" t="n"/>
      <c r="I692" s="32" t="n"/>
      <c r="J692" s="32" t="n"/>
      <c r="K692" s="32" t="n"/>
      <c r="L692" s="32" t="n"/>
      <c r="M692" s="32" t="n"/>
      <c r="N692" s="32" t="n"/>
      <c r="O692" s="32" t="n"/>
      <c r="P692" s="32" t="n"/>
      <c r="Q692" s="32" t="n"/>
      <c r="R692" s="32" t="n"/>
      <c r="S692" s="32" t="n"/>
      <c r="T692" s="32" t="n"/>
      <c r="U692" s="32" t="n"/>
      <c r="V692" s="32" t="n"/>
      <c r="W692" s="32" t="n"/>
      <c r="X692" s="32" t="n"/>
      <c r="Y692" s="32" t="n"/>
      <c r="Z692" s="32" t="n"/>
    </row>
    <row r="693">
      <c r="A693" s="32" t="n"/>
      <c r="B693" s="32" t="n"/>
      <c r="C693" s="32" t="n"/>
      <c r="D693" s="32" t="n"/>
      <c r="E693" s="32" t="n"/>
      <c r="F693" s="32" t="n"/>
      <c r="G693" s="32" t="n"/>
      <c r="H693" s="32" t="n"/>
      <c r="I693" s="32" t="n"/>
      <c r="J693" s="32" t="n"/>
      <c r="K693" s="32" t="n"/>
      <c r="L693" s="32" t="n"/>
      <c r="M693" s="32" t="n"/>
      <c r="N693" s="32" t="n"/>
      <c r="O693" s="32" t="n"/>
      <c r="P693" s="32" t="n"/>
      <c r="Q693" s="32" t="n"/>
      <c r="R693" s="32" t="n"/>
      <c r="S693" s="32" t="n"/>
      <c r="T693" s="32" t="n"/>
      <c r="U693" s="32" t="n"/>
      <c r="V693" s="32" t="n"/>
      <c r="W693" s="32" t="n"/>
      <c r="X693" s="32" t="n"/>
      <c r="Y693" s="32" t="n"/>
      <c r="Z693" s="32" t="n"/>
    </row>
    <row r="694">
      <c r="A694" s="32" t="n"/>
      <c r="B694" s="32" t="n"/>
      <c r="C694" s="32" t="n"/>
      <c r="D694" s="32" t="n"/>
      <c r="E694" s="32" t="n"/>
      <c r="F694" s="32" t="n"/>
      <c r="G694" s="32" t="n"/>
      <c r="H694" s="32" t="n"/>
      <c r="I694" s="32" t="n"/>
      <c r="J694" s="32" t="n"/>
      <c r="K694" s="32" t="n"/>
      <c r="L694" s="32" t="n"/>
      <c r="M694" s="32" t="n"/>
      <c r="N694" s="32" t="n"/>
      <c r="O694" s="32" t="n"/>
      <c r="P694" s="32" t="n"/>
      <c r="Q694" s="32" t="n"/>
      <c r="R694" s="32" t="n"/>
      <c r="S694" s="32" t="n"/>
      <c r="T694" s="32" t="n"/>
      <c r="U694" s="32" t="n"/>
      <c r="V694" s="32" t="n"/>
      <c r="W694" s="32" t="n"/>
      <c r="X694" s="32" t="n"/>
      <c r="Y694" s="32" t="n"/>
      <c r="Z694" s="32" t="n"/>
    </row>
    <row r="695">
      <c r="A695" s="32" t="n"/>
      <c r="B695" s="32" t="n"/>
      <c r="C695" s="32" t="n"/>
      <c r="D695" s="32" t="n"/>
      <c r="E695" s="32" t="n"/>
      <c r="F695" s="32" t="n"/>
      <c r="G695" s="32" t="n"/>
      <c r="H695" s="32" t="n"/>
      <c r="I695" s="32" t="n"/>
      <c r="J695" s="32" t="n"/>
      <c r="K695" s="32" t="n"/>
      <c r="L695" s="32" t="n"/>
      <c r="M695" s="32" t="n"/>
      <c r="N695" s="32" t="n"/>
      <c r="O695" s="32" t="n"/>
      <c r="P695" s="32" t="n"/>
      <c r="Q695" s="32" t="n"/>
      <c r="R695" s="32" t="n"/>
      <c r="S695" s="32" t="n"/>
      <c r="T695" s="32" t="n"/>
      <c r="U695" s="32" t="n"/>
      <c r="V695" s="32" t="n"/>
      <c r="W695" s="32" t="n"/>
      <c r="X695" s="32" t="n"/>
      <c r="Y695" s="32" t="n"/>
      <c r="Z695" s="32" t="n"/>
    </row>
    <row r="696">
      <c r="A696" s="32" t="n"/>
      <c r="B696" s="32" t="n"/>
      <c r="C696" s="32" t="n"/>
      <c r="D696" s="32" t="n"/>
      <c r="E696" s="32" t="n"/>
      <c r="F696" s="32" t="n"/>
      <c r="G696" s="32" t="n"/>
      <c r="H696" s="32" t="n"/>
      <c r="I696" s="32" t="n"/>
      <c r="J696" s="32" t="n"/>
      <c r="K696" s="32" t="n"/>
      <c r="L696" s="32" t="n"/>
      <c r="M696" s="32" t="n"/>
      <c r="N696" s="32" t="n"/>
      <c r="O696" s="32" t="n"/>
      <c r="P696" s="32" t="n"/>
      <c r="Q696" s="32" t="n"/>
      <c r="R696" s="32" t="n"/>
      <c r="S696" s="32" t="n"/>
      <c r="T696" s="32" t="n"/>
      <c r="U696" s="32" t="n"/>
      <c r="V696" s="32" t="n"/>
      <c r="W696" s="32" t="n"/>
      <c r="X696" s="32" t="n"/>
      <c r="Y696" s="32" t="n"/>
      <c r="Z696" s="32" t="n"/>
    </row>
    <row r="697">
      <c r="A697" s="32" t="n"/>
      <c r="B697" s="32" t="n"/>
      <c r="C697" s="32" t="n"/>
      <c r="D697" s="32" t="n"/>
      <c r="E697" s="32" t="n"/>
      <c r="F697" s="32" t="n"/>
      <c r="G697" s="32" t="n"/>
      <c r="H697" s="32" t="n"/>
      <c r="I697" s="32" t="n"/>
      <c r="J697" s="32" t="n"/>
      <c r="K697" s="32" t="n"/>
      <c r="L697" s="32" t="n"/>
      <c r="M697" s="32" t="n"/>
      <c r="N697" s="32" t="n"/>
      <c r="O697" s="32" t="n"/>
      <c r="P697" s="32" t="n"/>
      <c r="Q697" s="32" t="n"/>
      <c r="R697" s="32" t="n"/>
      <c r="S697" s="32" t="n"/>
      <c r="T697" s="32" t="n"/>
      <c r="U697" s="32" t="n"/>
      <c r="V697" s="32" t="n"/>
      <c r="W697" s="32" t="n"/>
      <c r="X697" s="32" t="n"/>
      <c r="Y697" s="32" t="n"/>
      <c r="Z697" s="32" t="n"/>
    </row>
    <row r="698">
      <c r="A698" s="32" t="n"/>
      <c r="B698" s="32" t="n"/>
      <c r="C698" s="32" t="n"/>
      <c r="D698" s="32" t="n"/>
      <c r="E698" s="32" t="n"/>
      <c r="F698" s="32" t="n"/>
      <c r="G698" s="32" t="n"/>
      <c r="H698" s="32" t="n"/>
      <c r="I698" s="32" t="n"/>
      <c r="J698" s="32" t="n"/>
      <c r="K698" s="32" t="n"/>
      <c r="L698" s="32" t="n"/>
      <c r="M698" s="32" t="n"/>
      <c r="N698" s="32" t="n"/>
      <c r="O698" s="32" t="n"/>
      <c r="P698" s="32" t="n"/>
      <c r="Q698" s="32" t="n"/>
      <c r="R698" s="32" t="n"/>
      <c r="S698" s="32" t="n"/>
      <c r="T698" s="32" t="n"/>
      <c r="U698" s="32" t="n"/>
      <c r="V698" s="32" t="n"/>
      <c r="W698" s="32" t="n"/>
      <c r="X698" s="32" t="n"/>
      <c r="Y698" s="32" t="n"/>
      <c r="Z698" s="32" t="n"/>
    </row>
    <row r="699">
      <c r="A699" s="32" t="n"/>
      <c r="B699" s="32" t="n"/>
      <c r="C699" s="32" t="n"/>
      <c r="D699" s="32" t="n"/>
      <c r="E699" s="32" t="n"/>
      <c r="F699" s="32" t="n"/>
      <c r="G699" s="32" t="n"/>
      <c r="H699" s="32" t="n"/>
      <c r="I699" s="32" t="n"/>
      <c r="J699" s="32" t="n"/>
      <c r="K699" s="32" t="n"/>
      <c r="L699" s="32" t="n"/>
      <c r="M699" s="32" t="n"/>
      <c r="N699" s="32" t="n"/>
      <c r="O699" s="32" t="n"/>
      <c r="P699" s="32" t="n"/>
      <c r="Q699" s="32" t="n"/>
      <c r="R699" s="32" t="n"/>
      <c r="S699" s="32" t="n"/>
      <c r="T699" s="32" t="n"/>
      <c r="U699" s="32" t="n"/>
      <c r="V699" s="32" t="n"/>
      <c r="W699" s="32" t="n"/>
      <c r="X699" s="32" t="n"/>
      <c r="Y699" s="32" t="n"/>
      <c r="Z699" s="32" t="n"/>
    </row>
    <row r="700">
      <c r="A700" s="32" t="n"/>
      <c r="B700" s="32" t="n"/>
      <c r="C700" s="32" t="n"/>
      <c r="D700" s="32" t="n"/>
      <c r="E700" s="32" t="n"/>
      <c r="F700" s="32" t="n"/>
      <c r="G700" s="32" t="n"/>
      <c r="H700" s="32" t="n"/>
      <c r="I700" s="32" t="n"/>
      <c r="J700" s="32" t="n"/>
      <c r="K700" s="32" t="n"/>
      <c r="L700" s="32" t="n"/>
      <c r="M700" s="32" t="n"/>
      <c r="N700" s="32" t="n"/>
      <c r="O700" s="32" t="n"/>
      <c r="P700" s="32" t="n"/>
      <c r="Q700" s="32" t="n"/>
      <c r="R700" s="32" t="n"/>
      <c r="S700" s="32" t="n"/>
      <c r="T700" s="32" t="n"/>
      <c r="U700" s="32" t="n"/>
      <c r="V700" s="32" t="n"/>
      <c r="W700" s="32" t="n"/>
      <c r="X700" s="32" t="n"/>
      <c r="Y700" s="32" t="n"/>
      <c r="Z700" s="32" t="n"/>
    </row>
    <row r="701">
      <c r="A701" s="32" t="n"/>
      <c r="B701" s="32" t="n"/>
      <c r="C701" s="32" t="n"/>
      <c r="D701" s="32" t="n"/>
      <c r="E701" s="32" t="n"/>
      <c r="F701" s="32" t="n"/>
      <c r="G701" s="32" t="n"/>
      <c r="H701" s="32" t="n"/>
      <c r="I701" s="32" t="n"/>
      <c r="J701" s="32" t="n"/>
      <c r="K701" s="32" t="n"/>
      <c r="L701" s="32" t="n"/>
      <c r="M701" s="32" t="n"/>
      <c r="N701" s="32" t="n"/>
      <c r="O701" s="32" t="n"/>
      <c r="P701" s="32" t="n"/>
      <c r="Q701" s="32" t="n"/>
      <c r="R701" s="32" t="n"/>
      <c r="S701" s="32" t="n"/>
      <c r="T701" s="32" t="n"/>
      <c r="U701" s="32" t="n"/>
      <c r="V701" s="32" t="n"/>
      <c r="W701" s="32" t="n"/>
      <c r="X701" s="32" t="n"/>
      <c r="Y701" s="32" t="n"/>
      <c r="Z701" s="32" t="n"/>
    </row>
    <row r="702">
      <c r="A702" s="32" t="n"/>
      <c r="B702" s="32" t="n"/>
      <c r="C702" s="32" t="n"/>
      <c r="D702" s="32" t="n"/>
      <c r="E702" s="32" t="n"/>
      <c r="F702" s="32" t="n"/>
      <c r="G702" s="32" t="n"/>
      <c r="H702" s="32" t="n"/>
      <c r="I702" s="32" t="n"/>
      <c r="J702" s="32" t="n"/>
      <c r="K702" s="32" t="n"/>
      <c r="L702" s="32" t="n"/>
      <c r="M702" s="32" t="n"/>
      <c r="N702" s="32" t="n"/>
      <c r="O702" s="32" t="n"/>
      <c r="P702" s="32" t="n"/>
      <c r="Q702" s="32" t="n"/>
      <c r="R702" s="32" t="n"/>
      <c r="S702" s="32" t="n"/>
      <c r="T702" s="32" t="n"/>
      <c r="U702" s="32" t="n"/>
      <c r="V702" s="32" t="n"/>
      <c r="W702" s="32" t="n"/>
      <c r="X702" s="32" t="n"/>
      <c r="Y702" s="32" t="n"/>
      <c r="Z702" s="32" t="n"/>
    </row>
    <row r="703">
      <c r="A703" s="32" t="n"/>
      <c r="B703" s="32" t="n"/>
      <c r="C703" s="32" t="n"/>
      <c r="D703" s="32" t="n"/>
      <c r="E703" s="32" t="n"/>
      <c r="F703" s="32" t="n"/>
      <c r="G703" s="32" t="n"/>
      <c r="H703" s="32" t="n"/>
      <c r="I703" s="32" t="n"/>
      <c r="J703" s="32" t="n"/>
      <c r="K703" s="32" t="n"/>
      <c r="L703" s="32" t="n"/>
      <c r="M703" s="32" t="n"/>
      <c r="N703" s="32" t="n"/>
      <c r="O703" s="32" t="n"/>
      <c r="P703" s="32" t="n"/>
      <c r="Q703" s="32" t="n"/>
      <c r="R703" s="32" t="n"/>
      <c r="S703" s="32" t="n"/>
      <c r="T703" s="32" t="n"/>
      <c r="U703" s="32" t="n"/>
      <c r="V703" s="32" t="n"/>
      <c r="W703" s="32" t="n"/>
      <c r="X703" s="32" t="n"/>
      <c r="Y703" s="32" t="n"/>
      <c r="Z703" s="32" t="n"/>
    </row>
    <row r="704">
      <c r="A704" s="32" t="n"/>
      <c r="B704" s="32" t="n"/>
      <c r="C704" s="32" t="n"/>
      <c r="D704" s="32" t="n"/>
      <c r="E704" s="32" t="n"/>
      <c r="F704" s="32" t="n"/>
      <c r="G704" s="32" t="n"/>
      <c r="H704" s="32" t="n"/>
      <c r="I704" s="32" t="n"/>
      <c r="J704" s="32" t="n"/>
      <c r="K704" s="32" t="n"/>
      <c r="L704" s="32" t="n"/>
      <c r="M704" s="32" t="n"/>
      <c r="N704" s="32" t="n"/>
      <c r="O704" s="32" t="n"/>
      <c r="P704" s="32" t="n"/>
      <c r="Q704" s="32" t="n"/>
      <c r="R704" s="32" t="n"/>
      <c r="S704" s="32" t="n"/>
      <c r="T704" s="32" t="n"/>
      <c r="U704" s="32" t="n"/>
      <c r="V704" s="32" t="n"/>
      <c r="W704" s="32" t="n"/>
      <c r="X704" s="32" t="n"/>
      <c r="Y704" s="32" t="n"/>
      <c r="Z704" s="32" t="n"/>
    </row>
    <row r="705">
      <c r="A705" s="32" t="n"/>
      <c r="B705" s="32" t="n"/>
      <c r="C705" s="32" t="n"/>
      <c r="D705" s="32" t="n"/>
      <c r="E705" s="32" t="n"/>
      <c r="F705" s="32" t="n"/>
      <c r="G705" s="32" t="n"/>
      <c r="H705" s="32" t="n"/>
      <c r="I705" s="32" t="n"/>
      <c r="J705" s="32" t="n"/>
      <c r="K705" s="32" t="n"/>
      <c r="L705" s="32" t="n"/>
      <c r="M705" s="32" t="n"/>
      <c r="N705" s="32" t="n"/>
      <c r="O705" s="32" t="n"/>
      <c r="P705" s="32" t="n"/>
      <c r="Q705" s="32" t="n"/>
      <c r="R705" s="32" t="n"/>
      <c r="S705" s="32" t="n"/>
      <c r="T705" s="32" t="n"/>
      <c r="U705" s="32" t="n"/>
      <c r="V705" s="32" t="n"/>
      <c r="W705" s="32" t="n"/>
      <c r="X705" s="32" t="n"/>
      <c r="Y705" s="32" t="n"/>
      <c r="Z705" s="32" t="n"/>
    </row>
    <row r="706">
      <c r="A706" s="32" t="n"/>
      <c r="B706" s="32" t="n"/>
      <c r="C706" s="32" t="n"/>
      <c r="D706" s="32" t="n"/>
      <c r="E706" s="32" t="n"/>
      <c r="F706" s="32" t="n"/>
      <c r="G706" s="32" t="n"/>
      <c r="H706" s="32" t="n"/>
      <c r="I706" s="32" t="n"/>
      <c r="J706" s="32" t="n"/>
      <c r="K706" s="32" t="n"/>
      <c r="L706" s="32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2" t="n"/>
      <c r="W706" s="32" t="n"/>
      <c r="X706" s="32" t="n"/>
      <c r="Y706" s="32" t="n"/>
      <c r="Z706" s="32" t="n"/>
    </row>
    <row r="707">
      <c r="A707" s="32" t="n"/>
      <c r="B707" s="32" t="n"/>
      <c r="C707" s="32" t="n"/>
      <c r="D707" s="32" t="n"/>
      <c r="E707" s="32" t="n"/>
      <c r="F707" s="32" t="n"/>
      <c r="G707" s="32" t="n"/>
      <c r="H707" s="32" t="n"/>
      <c r="I707" s="32" t="n"/>
      <c r="J707" s="32" t="n"/>
      <c r="K707" s="32" t="n"/>
      <c r="L707" s="32" t="n"/>
      <c r="M707" s="32" t="n"/>
      <c r="N707" s="32" t="n"/>
      <c r="O707" s="32" t="n"/>
      <c r="P707" s="32" t="n"/>
      <c r="Q707" s="32" t="n"/>
      <c r="R707" s="32" t="n"/>
      <c r="S707" s="32" t="n"/>
      <c r="T707" s="32" t="n"/>
      <c r="U707" s="32" t="n"/>
      <c r="V707" s="32" t="n"/>
      <c r="W707" s="32" t="n"/>
      <c r="X707" s="32" t="n"/>
      <c r="Y707" s="32" t="n"/>
      <c r="Z707" s="32" t="n"/>
    </row>
    <row r="708">
      <c r="A708" s="32" t="n"/>
      <c r="B708" s="32" t="n"/>
      <c r="C708" s="32" t="n"/>
      <c r="D708" s="32" t="n"/>
      <c r="E708" s="32" t="n"/>
      <c r="F708" s="32" t="n"/>
      <c r="G708" s="32" t="n"/>
      <c r="H708" s="32" t="n"/>
      <c r="I708" s="32" t="n"/>
      <c r="J708" s="32" t="n"/>
      <c r="K708" s="32" t="n"/>
      <c r="L708" s="32" t="n"/>
      <c r="M708" s="32" t="n"/>
      <c r="N708" s="32" t="n"/>
      <c r="O708" s="32" t="n"/>
      <c r="P708" s="32" t="n"/>
      <c r="Q708" s="32" t="n"/>
      <c r="R708" s="32" t="n"/>
      <c r="S708" s="32" t="n"/>
      <c r="T708" s="32" t="n"/>
      <c r="U708" s="32" t="n"/>
      <c r="V708" s="32" t="n"/>
      <c r="W708" s="32" t="n"/>
      <c r="X708" s="32" t="n"/>
      <c r="Y708" s="32" t="n"/>
      <c r="Z708" s="32" t="n"/>
    </row>
    <row r="709">
      <c r="A709" s="32" t="n"/>
      <c r="B709" s="32" t="n"/>
      <c r="C709" s="32" t="n"/>
      <c r="D709" s="32" t="n"/>
      <c r="E709" s="32" t="n"/>
      <c r="F709" s="32" t="n"/>
      <c r="G709" s="32" t="n"/>
      <c r="H709" s="32" t="n"/>
      <c r="I709" s="32" t="n"/>
      <c r="J709" s="32" t="n"/>
      <c r="K709" s="32" t="n"/>
      <c r="L709" s="32" t="n"/>
      <c r="M709" s="32" t="n"/>
      <c r="N709" s="32" t="n"/>
      <c r="O709" s="32" t="n"/>
      <c r="P709" s="32" t="n"/>
      <c r="Q709" s="32" t="n"/>
      <c r="R709" s="32" t="n"/>
      <c r="S709" s="32" t="n"/>
      <c r="T709" s="32" t="n"/>
      <c r="U709" s="32" t="n"/>
      <c r="V709" s="32" t="n"/>
      <c r="W709" s="32" t="n"/>
      <c r="X709" s="32" t="n"/>
      <c r="Y709" s="32" t="n"/>
      <c r="Z709" s="32" t="n"/>
    </row>
    <row r="710">
      <c r="A710" s="32" t="n"/>
      <c r="B710" s="32" t="n"/>
      <c r="C710" s="32" t="n"/>
      <c r="D710" s="32" t="n"/>
      <c r="E710" s="32" t="n"/>
      <c r="F710" s="32" t="n"/>
      <c r="G710" s="32" t="n"/>
      <c r="H710" s="32" t="n"/>
      <c r="I710" s="32" t="n"/>
      <c r="J710" s="32" t="n"/>
      <c r="K710" s="32" t="n"/>
      <c r="L710" s="32" t="n"/>
      <c r="M710" s="32" t="n"/>
      <c r="N710" s="32" t="n"/>
      <c r="O710" s="32" t="n"/>
      <c r="P710" s="32" t="n"/>
      <c r="Q710" s="32" t="n"/>
      <c r="R710" s="32" t="n"/>
      <c r="S710" s="32" t="n"/>
      <c r="T710" s="32" t="n"/>
      <c r="U710" s="32" t="n"/>
      <c r="V710" s="32" t="n"/>
      <c r="W710" s="32" t="n"/>
      <c r="X710" s="32" t="n"/>
      <c r="Y710" s="32" t="n"/>
      <c r="Z710" s="32" t="n"/>
    </row>
    <row r="711">
      <c r="A711" s="32" t="n"/>
      <c r="B711" s="32" t="n"/>
      <c r="C711" s="32" t="n"/>
      <c r="D711" s="32" t="n"/>
      <c r="E711" s="32" t="n"/>
      <c r="F711" s="32" t="n"/>
      <c r="G711" s="32" t="n"/>
      <c r="H711" s="32" t="n"/>
      <c r="I711" s="32" t="n"/>
      <c r="J711" s="32" t="n"/>
      <c r="K711" s="32" t="n"/>
      <c r="L711" s="32" t="n"/>
      <c r="M711" s="32" t="n"/>
      <c r="N711" s="32" t="n"/>
      <c r="O711" s="32" t="n"/>
      <c r="P711" s="32" t="n"/>
      <c r="Q711" s="32" t="n"/>
      <c r="R711" s="32" t="n"/>
      <c r="S711" s="32" t="n"/>
      <c r="T711" s="32" t="n"/>
      <c r="U711" s="32" t="n"/>
      <c r="V711" s="32" t="n"/>
      <c r="W711" s="32" t="n"/>
      <c r="X711" s="32" t="n"/>
      <c r="Y711" s="32" t="n"/>
      <c r="Z711" s="32" t="n"/>
    </row>
    <row r="712">
      <c r="A712" s="32" t="n"/>
      <c r="B712" s="32" t="n"/>
      <c r="C712" s="32" t="n"/>
      <c r="D712" s="32" t="n"/>
      <c r="E712" s="32" t="n"/>
      <c r="F712" s="32" t="n"/>
      <c r="G712" s="32" t="n"/>
      <c r="H712" s="32" t="n"/>
      <c r="I712" s="32" t="n"/>
      <c r="J712" s="32" t="n"/>
      <c r="K712" s="32" t="n"/>
      <c r="L712" s="32" t="n"/>
      <c r="M712" s="32" t="n"/>
      <c r="N712" s="32" t="n"/>
      <c r="O712" s="32" t="n"/>
      <c r="P712" s="32" t="n"/>
      <c r="Q712" s="32" t="n"/>
      <c r="R712" s="32" t="n"/>
      <c r="S712" s="32" t="n"/>
      <c r="T712" s="32" t="n"/>
      <c r="U712" s="32" t="n"/>
      <c r="V712" s="32" t="n"/>
      <c r="W712" s="32" t="n"/>
      <c r="X712" s="32" t="n"/>
      <c r="Y712" s="32" t="n"/>
      <c r="Z712" s="32" t="n"/>
    </row>
    <row r="713">
      <c r="A713" s="32" t="n"/>
      <c r="B713" s="32" t="n"/>
      <c r="C713" s="32" t="n"/>
      <c r="D713" s="32" t="n"/>
      <c r="E713" s="32" t="n"/>
      <c r="F713" s="32" t="n"/>
      <c r="G713" s="32" t="n"/>
      <c r="H713" s="32" t="n"/>
      <c r="I713" s="32" t="n"/>
      <c r="J713" s="32" t="n"/>
      <c r="K713" s="32" t="n"/>
      <c r="L713" s="32" t="n"/>
      <c r="M713" s="32" t="n"/>
      <c r="N713" s="32" t="n"/>
      <c r="O713" s="32" t="n"/>
      <c r="P713" s="32" t="n"/>
      <c r="Q713" s="32" t="n"/>
      <c r="R713" s="32" t="n"/>
      <c r="S713" s="32" t="n"/>
      <c r="T713" s="32" t="n"/>
      <c r="U713" s="32" t="n"/>
      <c r="V713" s="32" t="n"/>
      <c r="W713" s="32" t="n"/>
      <c r="X713" s="32" t="n"/>
      <c r="Y713" s="32" t="n"/>
      <c r="Z713" s="32" t="n"/>
    </row>
    <row r="714">
      <c r="A714" s="32" t="n"/>
      <c r="B714" s="32" t="n"/>
      <c r="C714" s="32" t="n"/>
      <c r="D714" s="32" t="n"/>
      <c r="E714" s="32" t="n"/>
      <c r="F714" s="32" t="n"/>
      <c r="G714" s="32" t="n"/>
      <c r="H714" s="32" t="n"/>
      <c r="I714" s="32" t="n"/>
      <c r="J714" s="32" t="n"/>
      <c r="K714" s="32" t="n"/>
      <c r="L714" s="32" t="n"/>
      <c r="M714" s="32" t="n"/>
      <c r="N714" s="32" t="n"/>
      <c r="O714" s="32" t="n"/>
      <c r="P714" s="32" t="n"/>
      <c r="Q714" s="32" t="n"/>
      <c r="R714" s="32" t="n"/>
      <c r="S714" s="32" t="n"/>
      <c r="T714" s="32" t="n"/>
      <c r="U714" s="32" t="n"/>
      <c r="V714" s="32" t="n"/>
      <c r="W714" s="32" t="n"/>
      <c r="X714" s="32" t="n"/>
      <c r="Y714" s="32" t="n"/>
      <c r="Z714" s="32" t="n"/>
    </row>
    <row r="715">
      <c r="A715" s="32" t="n"/>
      <c r="B715" s="32" t="n"/>
      <c r="C715" s="32" t="n"/>
      <c r="D715" s="32" t="n"/>
      <c r="E715" s="32" t="n"/>
      <c r="F715" s="32" t="n"/>
      <c r="G715" s="32" t="n"/>
      <c r="H715" s="32" t="n"/>
      <c r="I715" s="32" t="n"/>
      <c r="J715" s="32" t="n"/>
      <c r="K715" s="32" t="n"/>
      <c r="L715" s="32" t="n"/>
      <c r="M715" s="32" t="n"/>
      <c r="N715" s="32" t="n"/>
      <c r="O715" s="32" t="n"/>
      <c r="P715" s="32" t="n"/>
      <c r="Q715" s="32" t="n"/>
      <c r="R715" s="32" t="n"/>
      <c r="S715" s="32" t="n"/>
      <c r="T715" s="32" t="n"/>
      <c r="U715" s="32" t="n"/>
      <c r="V715" s="32" t="n"/>
      <c r="W715" s="32" t="n"/>
      <c r="X715" s="32" t="n"/>
      <c r="Y715" s="32" t="n"/>
      <c r="Z715" s="32" t="n"/>
    </row>
    <row r="716">
      <c r="A716" s="32" t="n"/>
      <c r="B716" s="32" t="n"/>
      <c r="C716" s="32" t="n"/>
      <c r="D716" s="32" t="n"/>
      <c r="E716" s="32" t="n"/>
      <c r="F716" s="32" t="n"/>
      <c r="G716" s="32" t="n"/>
      <c r="H716" s="32" t="n"/>
      <c r="I716" s="32" t="n"/>
      <c r="J716" s="32" t="n"/>
      <c r="K716" s="32" t="n"/>
      <c r="L716" s="32" t="n"/>
      <c r="M716" s="32" t="n"/>
      <c r="N716" s="32" t="n"/>
      <c r="O716" s="32" t="n"/>
      <c r="P716" s="32" t="n"/>
      <c r="Q716" s="32" t="n"/>
      <c r="R716" s="32" t="n"/>
      <c r="S716" s="32" t="n"/>
      <c r="T716" s="32" t="n"/>
      <c r="U716" s="32" t="n"/>
      <c r="V716" s="32" t="n"/>
      <c r="W716" s="32" t="n"/>
      <c r="X716" s="32" t="n"/>
      <c r="Y716" s="32" t="n"/>
      <c r="Z716" s="32" t="n"/>
    </row>
    <row r="717">
      <c r="A717" s="32" t="n"/>
      <c r="B717" s="32" t="n"/>
      <c r="C717" s="32" t="n"/>
      <c r="D717" s="32" t="n"/>
      <c r="E717" s="32" t="n"/>
      <c r="F717" s="32" t="n"/>
      <c r="G717" s="32" t="n"/>
      <c r="H717" s="32" t="n"/>
      <c r="I717" s="32" t="n"/>
      <c r="J717" s="32" t="n"/>
      <c r="K717" s="32" t="n"/>
      <c r="L717" s="32" t="n"/>
      <c r="M717" s="32" t="n"/>
      <c r="N717" s="32" t="n"/>
      <c r="O717" s="32" t="n"/>
      <c r="P717" s="32" t="n"/>
      <c r="Q717" s="32" t="n"/>
      <c r="R717" s="32" t="n"/>
      <c r="S717" s="32" t="n"/>
      <c r="T717" s="32" t="n"/>
      <c r="U717" s="32" t="n"/>
      <c r="V717" s="32" t="n"/>
      <c r="W717" s="32" t="n"/>
      <c r="X717" s="32" t="n"/>
      <c r="Y717" s="32" t="n"/>
      <c r="Z717" s="32" t="n"/>
    </row>
    <row r="718">
      <c r="A718" s="32" t="n"/>
      <c r="B718" s="32" t="n"/>
      <c r="C718" s="32" t="n"/>
      <c r="D718" s="32" t="n"/>
      <c r="E718" s="32" t="n"/>
      <c r="F718" s="32" t="n"/>
      <c r="G718" s="32" t="n"/>
      <c r="H718" s="32" t="n"/>
      <c r="I718" s="32" t="n"/>
      <c r="J718" s="32" t="n"/>
      <c r="K718" s="32" t="n"/>
      <c r="L718" s="32" t="n"/>
      <c r="M718" s="32" t="n"/>
      <c r="N718" s="32" t="n"/>
      <c r="O718" s="32" t="n"/>
      <c r="P718" s="32" t="n"/>
      <c r="Q718" s="32" t="n"/>
      <c r="R718" s="32" t="n"/>
      <c r="S718" s="32" t="n"/>
      <c r="T718" s="32" t="n"/>
      <c r="U718" s="32" t="n"/>
      <c r="V718" s="32" t="n"/>
      <c r="W718" s="32" t="n"/>
      <c r="X718" s="32" t="n"/>
      <c r="Y718" s="32" t="n"/>
      <c r="Z718" s="32" t="n"/>
    </row>
    <row r="719">
      <c r="A719" s="32" t="n"/>
      <c r="B719" s="32" t="n"/>
      <c r="C719" s="32" t="n"/>
      <c r="D719" s="32" t="n"/>
      <c r="E719" s="32" t="n"/>
      <c r="F719" s="32" t="n"/>
      <c r="G719" s="32" t="n"/>
      <c r="H719" s="32" t="n"/>
      <c r="I719" s="32" t="n"/>
      <c r="J719" s="32" t="n"/>
      <c r="K719" s="32" t="n"/>
      <c r="L719" s="32" t="n"/>
      <c r="M719" s="32" t="n"/>
      <c r="N719" s="32" t="n"/>
      <c r="O719" s="32" t="n"/>
      <c r="P719" s="32" t="n"/>
      <c r="Q719" s="32" t="n"/>
      <c r="R719" s="32" t="n"/>
      <c r="S719" s="32" t="n"/>
      <c r="T719" s="32" t="n"/>
      <c r="U719" s="32" t="n"/>
      <c r="V719" s="32" t="n"/>
      <c r="W719" s="32" t="n"/>
      <c r="X719" s="32" t="n"/>
      <c r="Y719" s="32" t="n"/>
      <c r="Z719" s="32" t="n"/>
    </row>
    <row r="720">
      <c r="A720" s="32" t="n"/>
      <c r="B720" s="32" t="n"/>
      <c r="C720" s="32" t="n"/>
      <c r="D720" s="32" t="n"/>
      <c r="E720" s="32" t="n"/>
      <c r="F720" s="32" t="n"/>
      <c r="G720" s="32" t="n"/>
      <c r="H720" s="32" t="n"/>
      <c r="I720" s="32" t="n"/>
      <c r="J720" s="32" t="n"/>
      <c r="K720" s="32" t="n"/>
      <c r="L720" s="32" t="n"/>
      <c r="M720" s="32" t="n"/>
      <c r="N720" s="32" t="n"/>
      <c r="O720" s="32" t="n"/>
      <c r="P720" s="32" t="n"/>
      <c r="Q720" s="32" t="n"/>
      <c r="R720" s="32" t="n"/>
      <c r="S720" s="32" t="n"/>
      <c r="T720" s="32" t="n"/>
      <c r="U720" s="32" t="n"/>
      <c r="V720" s="32" t="n"/>
      <c r="W720" s="32" t="n"/>
      <c r="X720" s="32" t="n"/>
      <c r="Y720" s="32" t="n"/>
      <c r="Z720" s="32" t="n"/>
    </row>
    <row r="721">
      <c r="A721" s="32" t="n"/>
      <c r="B721" s="32" t="n"/>
      <c r="C721" s="32" t="n"/>
      <c r="D721" s="32" t="n"/>
      <c r="E721" s="32" t="n"/>
      <c r="F721" s="32" t="n"/>
      <c r="G721" s="32" t="n"/>
      <c r="H721" s="32" t="n"/>
      <c r="I721" s="32" t="n"/>
      <c r="J721" s="32" t="n"/>
      <c r="K721" s="32" t="n"/>
      <c r="L721" s="32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2" t="n"/>
      <c r="W721" s="32" t="n"/>
      <c r="X721" s="32" t="n"/>
      <c r="Y721" s="32" t="n"/>
      <c r="Z721" s="32" t="n"/>
    </row>
    <row r="722">
      <c r="A722" s="32" t="n"/>
      <c r="B722" s="32" t="n"/>
      <c r="C722" s="32" t="n"/>
      <c r="D722" s="32" t="n"/>
      <c r="E722" s="32" t="n"/>
      <c r="F722" s="32" t="n"/>
      <c r="G722" s="32" t="n"/>
      <c r="H722" s="32" t="n"/>
      <c r="I722" s="32" t="n"/>
      <c r="J722" s="32" t="n"/>
      <c r="K722" s="32" t="n"/>
      <c r="L722" s="32" t="n"/>
      <c r="M722" s="32" t="n"/>
      <c r="N722" s="32" t="n"/>
      <c r="O722" s="32" t="n"/>
      <c r="P722" s="32" t="n"/>
      <c r="Q722" s="32" t="n"/>
      <c r="R722" s="32" t="n"/>
      <c r="S722" s="32" t="n"/>
      <c r="T722" s="32" t="n"/>
      <c r="U722" s="32" t="n"/>
      <c r="V722" s="32" t="n"/>
      <c r="W722" s="32" t="n"/>
      <c r="X722" s="32" t="n"/>
      <c r="Y722" s="32" t="n"/>
      <c r="Z722" s="32" t="n"/>
    </row>
    <row r="723">
      <c r="A723" s="32" t="n"/>
      <c r="B723" s="32" t="n"/>
      <c r="C723" s="32" t="n"/>
      <c r="D723" s="32" t="n"/>
      <c r="E723" s="32" t="n"/>
      <c r="F723" s="32" t="n"/>
      <c r="G723" s="32" t="n"/>
      <c r="H723" s="32" t="n"/>
      <c r="I723" s="32" t="n"/>
      <c r="J723" s="32" t="n"/>
      <c r="K723" s="32" t="n"/>
      <c r="L723" s="32" t="n"/>
      <c r="M723" s="32" t="n"/>
      <c r="N723" s="32" t="n"/>
      <c r="O723" s="32" t="n"/>
      <c r="P723" s="32" t="n"/>
      <c r="Q723" s="32" t="n"/>
      <c r="R723" s="32" t="n"/>
      <c r="S723" s="32" t="n"/>
      <c r="T723" s="32" t="n"/>
      <c r="U723" s="32" t="n"/>
      <c r="V723" s="32" t="n"/>
      <c r="W723" s="32" t="n"/>
      <c r="X723" s="32" t="n"/>
      <c r="Y723" s="32" t="n"/>
      <c r="Z723" s="32" t="n"/>
    </row>
    <row r="724">
      <c r="A724" s="32" t="n"/>
      <c r="B724" s="32" t="n"/>
      <c r="C724" s="32" t="n"/>
      <c r="D724" s="32" t="n"/>
      <c r="E724" s="32" t="n"/>
      <c r="F724" s="32" t="n"/>
      <c r="G724" s="32" t="n"/>
      <c r="H724" s="32" t="n"/>
      <c r="I724" s="32" t="n"/>
      <c r="J724" s="32" t="n"/>
      <c r="K724" s="32" t="n"/>
      <c r="L724" s="32" t="n"/>
      <c r="M724" s="32" t="n"/>
      <c r="N724" s="32" t="n"/>
      <c r="O724" s="32" t="n"/>
      <c r="P724" s="32" t="n"/>
      <c r="Q724" s="32" t="n"/>
      <c r="R724" s="32" t="n"/>
      <c r="S724" s="32" t="n"/>
      <c r="T724" s="32" t="n"/>
      <c r="U724" s="32" t="n"/>
      <c r="V724" s="32" t="n"/>
      <c r="W724" s="32" t="n"/>
      <c r="X724" s="32" t="n"/>
      <c r="Y724" s="32" t="n"/>
      <c r="Z724" s="32" t="n"/>
    </row>
    <row r="725">
      <c r="A725" s="32" t="n"/>
      <c r="B725" s="32" t="n"/>
      <c r="C725" s="32" t="n"/>
      <c r="D725" s="32" t="n"/>
      <c r="E725" s="32" t="n"/>
      <c r="F725" s="32" t="n"/>
      <c r="G725" s="32" t="n"/>
      <c r="H725" s="32" t="n"/>
      <c r="I725" s="32" t="n"/>
      <c r="J725" s="32" t="n"/>
      <c r="K725" s="32" t="n"/>
      <c r="L725" s="32" t="n"/>
      <c r="M725" s="32" t="n"/>
      <c r="N725" s="32" t="n"/>
      <c r="O725" s="32" t="n"/>
      <c r="P725" s="32" t="n"/>
      <c r="Q725" s="32" t="n"/>
      <c r="R725" s="32" t="n"/>
      <c r="S725" s="32" t="n"/>
      <c r="T725" s="32" t="n"/>
      <c r="U725" s="32" t="n"/>
      <c r="V725" s="32" t="n"/>
      <c r="W725" s="32" t="n"/>
      <c r="X725" s="32" t="n"/>
      <c r="Y725" s="32" t="n"/>
      <c r="Z725" s="32" t="n"/>
    </row>
    <row r="726">
      <c r="A726" s="32" t="n"/>
      <c r="B726" s="32" t="n"/>
      <c r="C726" s="32" t="n"/>
      <c r="D726" s="32" t="n"/>
      <c r="E726" s="32" t="n"/>
      <c r="F726" s="32" t="n"/>
      <c r="G726" s="32" t="n"/>
      <c r="H726" s="32" t="n"/>
      <c r="I726" s="32" t="n"/>
      <c r="J726" s="32" t="n"/>
      <c r="K726" s="32" t="n"/>
      <c r="L726" s="32" t="n"/>
      <c r="M726" s="32" t="n"/>
      <c r="N726" s="32" t="n"/>
      <c r="O726" s="32" t="n"/>
      <c r="P726" s="32" t="n"/>
      <c r="Q726" s="32" t="n"/>
      <c r="R726" s="32" t="n"/>
      <c r="S726" s="32" t="n"/>
      <c r="T726" s="32" t="n"/>
      <c r="U726" s="32" t="n"/>
      <c r="V726" s="32" t="n"/>
      <c r="W726" s="32" t="n"/>
      <c r="X726" s="32" t="n"/>
      <c r="Y726" s="32" t="n"/>
      <c r="Z726" s="32" t="n"/>
    </row>
    <row r="727">
      <c r="A727" s="32" t="n"/>
      <c r="B727" s="32" t="n"/>
      <c r="C727" s="32" t="n"/>
      <c r="D727" s="32" t="n"/>
      <c r="E727" s="32" t="n"/>
      <c r="F727" s="32" t="n"/>
      <c r="G727" s="32" t="n"/>
      <c r="H727" s="32" t="n"/>
      <c r="I727" s="32" t="n"/>
      <c r="J727" s="32" t="n"/>
      <c r="K727" s="32" t="n"/>
      <c r="L727" s="32" t="n"/>
      <c r="M727" s="32" t="n"/>
      <c r="N727" s="32" t="n"/>
      <c r="O727" s="32" t="n"/>
      <c r="P727" s="32" t="n"/>
      <c r="Q727" s="32" t="n"/>
      <c r="R727" s="32" t="n"/>
      <c r="S727" s="32" t="n"/>
      <c r="T727" s="32" t="n"/>
      <c r="U727" s="32" t="n"/>
      <c r="V727" s="32" t="n"/>
      <c r="W727" s="32" t="n"/>
      <c r="X727" s="32" t="n"/>
      <c r="Y727" s="32" t="n"/>
      <c r="Z727" s="32" t="n"/>
    </row>
    <row r="728">
      <c r="A728" s="32" t="n"/>
      <c r="B728" s="32" t="n"/>
      <c r="C728" s="32" t="n"/>
      <c r="D728" s="32" t="n"/>
      <c r="E728" s="32" t="n"/>
      <c r="F728" s="32" t="n"/>
      <c r="G728" s="32" t="n"/>
      <c r="H728" s="32" t="n"/>
      <c r="I728" s="32" t="n"/>
      <c r="J728" s="32" t="n"/>
      <c r="K728" s="32" t="n"/>
      <c r="L728" s="32" t="n"/>
      <c r="M728" s="32" t="n"/>
      <c r="N728" s="32" t="n"/>
      <c r="O728" s="32" t="n"/>
      <c r="P728" s="32" t="n"/>
      <c r="Q728" s="32" t="n"/>
      <c r="R728" s="32" t="n"/>
      <c r="S728" s="32" t="n"/>
      <c r="T728" s="32" t="n"/>
      <c r="U728" s="32" t="n"/>
      <c r="V728" s="32" t="n"/>
      <c r="W728" s="32" t="n"/>
      <c r="X728" s="32" t="n"/>
      <c r="Y728" s="32" t="n"/>
      <c r="Z728" s="32" t="n"/>
    </row>
    <row r="729">
      <c r="A729" s="32" t="n"/>
      <c r="B729" s="32" t="n"/>
      <c r="C729" s="32" t="n"/>
      <c r="D729" s="32" t="n"/>
      <c r="E729" s="32" t="n"/>
      <c r="F729" s="32" t="n"/>
      <c r="G729" s="32" t="n"/>
      <c r="H729" s="32" t="n"/>
      <c r="I729" s="32" t="n"/>
      <c r="J729" s="32" t="n"/>
      <c r="K729" s="32" t="n"/>
      <c r="L729" s="32" t="n"/>
      <c r="M729" s="32" t="n"/>
      <c r="N729" s="32" t="n"/>
      <c r="O729" s="32" t="n"/>
      <c r="P729" s="32" t="n"/>
      <c r="Q729" s="32" t="n"/>
      <c r="R729" s="32" t="n"/>
      <c r="S729" s="32" t="n"/>
      <c r="T729" s="32" t="n"/>
      <c r="U729" s="32" t="n"/>
      <c r="V729" s="32" t="n"/>
      <c r="W729" s="32" t="n"/>
      <c r="X729" s="32" t="n"/>
      <c r="Y729" s="32" t="n"/>
      <c r="Z729" s="32" t="n"/>
    </row>
    <row r="730">
      <c r="A730" s="32" t="n"/>
      <c r="B730" s="32" t="n"/>
      <c r="C730" s="32" t="n"/>
      <c r="D730" s="32" t="n"/>
      <c r="E730" s="32" t="n"/>
      <c r="F730" s="32" t="n"/>
      <c r="G730" s="32" t="n"/>
      <c r="H730" s="32" t="n"/>
      <c r="I730" s="32" t="n"/>
      <c r="J730" s="32" t="n"/>
      <c r="K730" s="32" t="n"/>
      <c r="L730" s="32" t="n"/>
      <c r="M730" s="32" t="n"/>
      <c r="N730" s="32" t="n"/>
      <c r="O730" s="32" t="n"/>
      <c r="P730" s="32" t="n"/>
      <c r="Q730" s="32" t="n"/>
      <c r="R730" s="32" t="n"/>
      <c r="S730" s="32" t="n"/>
      <c r="T730" s="32" t="n"/>
      <c r="U730" s="32" t="n"/>
      <c r="V730" s="32" t="n"/>
      <c r="W730" s="32" t="n"/>
      <c r="X730" s="32" t="n"/>
      <c r="Y730" s="32" t="n"/>
      <c r="Z730" s="32" t="n"/>
    </row>
    <row r="731">
      <c r="A731" s="32" t="n"/>
      <c r="B731" s="32" t="n"/>
      <c r="C731" s="32" t="n"/>
      <c r="D731" s="32" t="n"/>
      <c r="E731" s="32" t="n"/>
      <c r="F731" s="32" t="n"/>
      <c r="G731" s="32" t="n"/>
      <c r="H731" s="32" t="n"/>
      <c r="I731" s="32" t="n"/>
      <c r="J731" s="32" t="n"/>
      <c r="K731" s="32" t="n"/>
      <c r="L731" s="32" t="n"/>
      <c r="M731" s="32" t="n"/>
      <c r="N731" s="32" t="n"/>
      <c r="O731" s="32" t="n"/>
      <c r="P731" s="32" t="n"/>
      <c r="Q731" s="32" t="n"/>
      <c r="R731" s="32" t="n"/>
      <c r="S731" s="32" t="n"/>
      <c r="T731" s="32" t="n"/>
      <c r="U731" s="32" t="n"/>
      <c r="V731" s="32" t="n"/>
      <c r="W731" s="32" t="n"/>
      <c r="X731" s="32" t="n"/>
      <c r="Y731" s="32" t="n"/>
      <c r="Z731" s="32" t="n"/>
    </row>
    <row r="732">
      <c r="A732" s="32" t="n"/>
      <c r="B732" s="32" t="n"/>
      <c r="C732" s="32" t="n"/>
      <c r="D732" s="32" t="n"/>
      <c r="E732" s="32" t="n"/>
      <c r="F732" s="32" t="n"/>
      <c r="G732" s="32" t="n"/>
      <c r="H732" s="32" t="n"/>
      <c r="I732" s="32" t="n"/>
      <c r="J732" s="32" t="n"/>
      <c r="K732" s="32" t="n"/>
      <c r="L732" s="32" t="n"/>
      <c r="M732" s="32" t="n"/>
      <c r="N732" s="32" t="n"/>
      <c r="O732" s="32" t="n"/>
      <c r="P732" s="32" t="n"/>
      <c r="Q732" s="32" t="n"/>
      <c r="R732" s="32" t="n"/>
      <c r="S732" s="32" t="n"/>
      <c r="T732" s="32" t="n"/>
      <c r="U732" s="32" t="n"/>
      <c r="V732" s="32" t="n"/>
      <c r="W732" s="32" t="n"/>
      <c r="X732" s="32" t="n"/>
      <c r="Y732" s="32" t="n"/>
      <c r="Z732" s="32" t="n"/>
    </row>
    <row r="733">
      <c r="A733" s="32" t="n"/>
      <c r="B733" s="32" t="n"/>
      <c r="C733" s="32" t="n"/>
      <c r="D733" s="32" t="n"/>
      <c r="E733" s="32" t="n"/>
      <c r="F733" s="32" t="n"/>
      <c r="G733" s="32" t="n"/>
      <c r="H733" s="32" t="n"/>
      <c r="I733" s="32" t="n"/>
      <c r="J733" s="32" t="n"/>
      <c r="K733" s="32" t="n"/>
      <c r="L733" s="32" t="n"/>
      <c r="M733" s="32" t="n"/>
      <c r="N733" s="32" t="n"/>
      <c r="O733" s="32" t="n"/>
      <c r="P733" s="32" t="n"/>
      <c r="Q733" s="32" t="n"/>
      <c r="R733" s="32" t="n"/>
      <c r="S733" s="32" t="n"/>
      <c r="T733" s="32" t="n"/>
      <c r="U733" s="32" t="n"/>
      <c r="V733" s="32" t="n"/>
      <c r="W733" s="32" t="n"/>
      <c r="X733" s="32" t="n"/>
      <c r="Y733" s="32" t="n"/>
      <c r="Z733" s="32" t="n"/>
    </row>
    <row r="734">
      <c r="A734" s="32" t="n"/>
      <c r="B734" s="32" t="n"/>
      <c r="C734" s="32" t="n"/>
      <c r="D734" s="32" t="n"/>
      <c r="E734" s="32" t="n"/>
      <c r="F734" s="32" t="n"/>
      <c r="G734" s="32" t="n"/>
      <c r="H734" s="32" t="n"/>
      <c r="I734" s="32" t="n"/>
      <c r="J734" s="32" t="n"/>
      <c r="K734" s="32" t="n"/>
      <c r="L734" s="32" t="n"/>
      <c r="M734" s="32" t="n"/>
      <c r="N734" s="32" t="n"/>
      <c r="O734" s="32" t="n"/>
      <c r="P734" s="32" t="n"/>
      <c r="Q734" s="32" t="n"/>
      <c r="R734" s="32" t="n"/>
      <c r="S734" s="32" t="n"/>
      <c r="T734" s="32" t="n"/>
      <c r="U734" s="32" t="n"/>
      <c r="V734" s="32" t="n"/>
      <c r="W734" s="32" t="n"/>
      <c r="X734" s="32" t="n"/>
      <c r="Y734" s="32" t="n"/>
      <c r="Z734" s="32" t="n"/>
    </row>
    <row r="735">
      <c r="A735" s="32" t="n"/>
      <c r="B735" s="32" t="n"/>
      <c r="C735" s="32" t="n"/>
      <c r="D735" s="32" t="n"/>
      <c r="E735" s="32" t="n"/>
      <c r="F735" s="32" t="n"/>
      <c r="G735" s="32" t="n"/>
      <c r="H735" s="32" t="n"/>
      <c r="I735" s="32" t="n"/>
      <c r="J735" s="32" t="n"/>
      <c r="K735" s="32" t="n"/>
      <c r="L735" s="32" t="n"/>
      <c r="M735" s="32" t="n"/>
      <c r="N735" s="32" t="n"/>
      <c r="O735" s="32" t="n"/>
      <c r="P735" s="32" t="n"/>
      <c r="Q735" s="32" t="n"/>
      <c r="R735" s="32" t="n"/>
      <c r="S735" s="32" t="n"/>
      <c r="T735" s="32" t="n"/>
      <c r="U735" s="32" t="n"/>
      <c r="V735" s="32" t="n"/>
      <c r="W735" s="32" t="n"/>
      <c r="X735" s="32" t="n"/>
      <c r="Y735" s="32" t="n"/>
      <c r="Z735" s="32" t="n"/>
    </row>
    <row r="736">
      <c r="A736" s="32" t="n"/>
      <c r="B736" s="32" t="n"/>
      <c r="C736" s="32" t="n"/>
      <c r="D736" s="32" t="n"/>
      <c r="E736" s="32" t="n"/>
      <c r="F736" s="32" t="n"/>
      <c r="G736" s="32" t="n"/>
      <c r="H736" s="32" t="n"/>
      <c r="I736" s="32" t="n"/>
      <c r="J736" s="32" t="n"/>
      <c r="K736" s="32" t="n"/>
      <c r="L736" s="32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2" t="n"/>
      <c r="W736" s="32" t="n"/>
      <c r="X736" s="32" t="n"/>
      <c r="Y736" s="32" t="n"/>
      <c r="Z736" s="32" t="n"/>
    </row>
    <row r="737">
      <c r="A737" s="32" t="n"/>
      <c r="B737" s="32" t="n"/>
      <c r="C737" s="32" t="n"/>
      <c r="D737" s="32" t="n"/>
      <c r="E737" s="32" t="n"/>
      <c r="F737" s="32" t="n"/>
      <c r="G737" s="32" t="n"/>
      <c r="H737" s="32" t="n"/>
      <c r="I737" s="32" t="n"/>
      <c r="J737" s="32" t="n"/>
      <c r="K737" s="32" t="n"/>
      <c r="L737" s="32" t="n"/>
      <c r="M737" s="32" t="n"/>
      <c r="N737" s="32" t="n"/>
      <c r="O737" s="32" t="n"/>
      <c r="P737" s="32" t="n"/>
      <c r="Q737" s="32" t="n"/>
      <c r="R737" s="32" t="n"/>
      <c r="S737" s="32" t="n"/>
      <c r="T737" s="32" t="n"/>
      <c r="U737" s="32" t="n"/>
      <c r="V737" s="32" t="n"/>
      <c r="W737" s="32" t="n"/>
      <c r="X737" s="32" t="n"/>
      <c r="Y737" s="32" t="n"/>
      <c r="Z737" s="32" t="n"/>
    </row>
    <row r="738">
      <c r="A738" s="32" t="n"/>
      <c r="B738" s="32" t="n"/>
      <c r="C738" s="32" t="n"/>
      <c r="D738" s="32" t="n"/>
      <c r="E738" s="32" t="n"/>
      <c r="F738" s="32" t="n"/>
      <c r="G738" s="32" t="n"/>
      <c r="H738" s="32" t="n"/>
      <c r="I738" s="32" t="n"/>
      <c r="J738" s="32" t="n"/>
      <c r="K738" s="32" t="n"/>
      <c r="L738" s="32" t="n"/>
      <c r="M738" s="32" t="n"/>
      <c r="N738" s="32" t="n"/>
      <c r="O738" s="32" t="n"/>
      <c r="P738" s="32" t="n"/>
      <c r="Q738" s="32" t="n"/>
      <c r="R738" s="32" t="n"/>
      <c r="S738" s="32" t="n"/>
      <c r="T738" s="32" t="n"/>
      <c r="U738" s="32" t="n"/>
      <c r="V738" s="32" t="n"/>
      <c r="W738" s="32" t="n"/>
      <c r="X738" s="32" t="n"/>
      <c r="Y738" s="32" t="n"/>
      <c r="Z738" s="32" t="n"/>
    </row>
    <row r="739">
      <c r="A739" s="32" t="n"/>
      <c r="B739" s="32" t="n"/>
      <c r="C739" s="32" t="n"/>
      <c r="D739" s="32" t="n"/>
      <c r="E739" s="32" t="n"/>
      <c r="F739" s="32" t="n"/>
      <c r="G739" s="32" t="n"/>
      <c r="H739" s="32" t="n"/>
      <c r="I739" s="32" t="n"/>
      <c r="J739" s="32" t="n"/>
      <c r="K739" s="32" t="n"/>
      <c r="L739" s="32" t="n"/>
      <c r="M739" s="32" t="n"/>
      <c r="N739" s="32" t="n"/>
      <c r="O739" s="32" t="n"/>
      <c r="P739" s="32" t="n"/>
      <c r="Q739" s="32" t="n"/>
      <c r="R739" s="32" t="n"/>
      <c r="S739" s="32" t="n"/>
      <c r="T739" s="32" t="n"/>
      <c r="U739" s="32" t="n"/>
      <c r="V739" s="32" t="n"/>
      <c r="W739" s="32" t="n"/>
      <c r="X739" s="32" t="n"/>
      <c r="Y739" s="32" t="n"/>
      <c r="Z739" s="32" t="n"/>
    </row>
    <row r="740">
      <c r="A740" s="32" t="n"/>
      <c r="B740" s="32" t="n"/>
      <c r="C740" s="32" t="n"/>
      <c r="D740" s="32" t="n"/>
      <c r="E740" s="32" t="n"/>
      <c r="F740" s="32" t="n"/>
      <c r="G740" s="32" t="n"/>
      <c r="H740" s="32" t="n"/>
      <c r="I740" s="32" t="n"/>
      <c r="J740" s="32" t="n"/>
      <c r="K740" s="32" t="n"/>
      <c r="L740" s="32" t="n"/>
      <c r="M740" s="32" t="n"/>
      <c r="N740" s="32" t="n"/>
      <c r="O740" s="32" t="n"/>
      <c r="P740" s="32" t="n"/>
      <c r="Q740" s="32" t="n"/>
      <c r="R740" s="32" t="n"/>
      <c r="S740" s="32" t="n"/>
      <c r="T740" s="32" t="n"/>
      <c r="U740" s="32" t="n"/>
      <c r="V740" s="32" t="n"/>
      <c r="W740" s="32" t="n"/>
      <c r="X740" s="32" t="n"/>
      <c r="Y740" s="32" t="n"/>
      <c r="Z740" s="32" t="n"/>
    </row>
    <row r="741">
      <c r="A741" s="32" t="n"/>
      <c r="B741" s="32" t="n"/>
      <c r="C741" s="32" t="n"/>
      <c r="D741" s="32" t="n"/>
      <c r="E741" s="32" t="n"/>
      <c r="F741" s="32" t="n"/>
      <c r="G741" s="32" t="n"/>
      <c r="H741" s="32" t="n"/>
      <c r="I741" s="32" t="n"/>
      <c r="J741" s="32" t="n"/>
      <c r="K741" s="32" t="n"/>
      <c r="L741" s="32" t="n"/>
      <c r="M741" s="32" t="n"/>
      <c r="N741" s="32" t="n"/>
      <c r="O741" s="32" t="n"/>
      <c r="P741" s="32" t="n"/>
      <c r="Q741" s="32" t="n"/>
      <c r="R741" s="32" t="n"/>
      <c r="S741" s="32" t="n"/>
      <c r="T741" s="32" t="n"/>
      <c r="U741" s="32" t="n"/>
      <c r="V741" s="32" t="n"/>
      <c r="W741" s="32" t="n"/>
      <c r="X741" s="32" t="n"/>
      <c r="Y741" s="32" t="n"/>
      <c r="Z741" s="32" t="n"/>
    </row>
    <row r="742">
      <c r="A742" s="32" t="n"/>
      <c r="B742" s="32" t="n"/>
      <c r="C742" s="32" t="n"/>
      <c r="D742" s="32" t="n"/>
      <c r="E742" s="32" t="n"/>
      <c r="F742" s="32" t="n"/>
      <c r="G742" s="32" t="n"/>
      <c r="H742" s="32" t="n"/>
      <c r="I742" s="32" t="n"/>
      <c r="J742" s="32" t="n"/>
      <c r="K742" s="32" t="n"/>
      <c r="L742" s="32" t="n"/>
      <c r="M742" s="32" t="n"/>
      <c r="N742" s="32" t="n"/>
      <c r="O742" s="32" t="n"/>
      <c r="P742" s="32" t="n"/>
      <c r="Q742" s="32" t="n"/>
      <c r="R742" s="32" t="n"/>
      <c r="S742" s="32" t="n"/>
      <c r="T742" s="32" t="n"/>
      <c r="U742" s="32" t="n"/>
      <c r="V742" s="32" t="n"/>
      <c r="W742" s="32" t="n"/>
      <c r="X742" s="32" t="n"/>
      <c r="Y742" s="32" t="n"/>
      <c r="Z742" s="32" t="n"/>
    </row>
    <row r="743">
      <c r="A743" s="32" t="n"/>
      <c r="B743" s="32" t="n"/>
      <c r="C743" s="32" t="n"/>
      <c r="D743" s="32" t="n"/>
      <c r="E743" s="32" t="n"/>
      <c r="F743" s="32" t="n"/>
      <c r="G743" s="32" t="n"/>
      <c r="H743" s="32" t="n"/>
      <c r="I743" s="32" t="n"/>
      <c r="J743" s="32" t="n"/>
      <c r="K743" s="32" t="n"/>
      <c r="L743" s="32" t="n"/>
      <c r="M743" s="32" t="n"/>
      <c r="N743" s="32" t="n"/>
      <c r="O743" s="32" t="n"/>
      <c r="P743" s="32" t="n"/>
      <c r="Q743" s="32" t="n"/>
      <c r="R743" s="32" t="n"/>
      <c r="S743" s="32" t="n"/>
      <c r="T743" s="32" t="n"/>
      <c r="U743" s="32" t="n"/>
      <c r="V743" s="32" t="n"/>
      <c r="W743" s="32" t="n"/>
      <c r="X743" s="32" t="n"/>
      <c r="Y743" s="32" t="n"/>
      <c r="Z743" s="32" t="n"/>
    </row>
    <row r="744">
      <c r="A744" s="32" t="n"/>
      <c r="B744" s="32" t="n"/>
      <c r="C744" s="32" t="n"/>
      <c r="D744" s="32" t="n"/>
      <c r="E744" s="32" t="n"/>
      <c r="F744" s="32" t="n"/>
      <c r="G744" s="32" t="n"/>
      <c r="H744" s="32" t="n"/>
      <c r="I744" s="32" t="n"/>
      <c r="J744" s="32" t="n"/>
      <c r="K744" s="32" t="n"/>
      <c r="L744" s="32" t="n"/>
      <c r="M744" s="32" t="n"/>
      <c r="N744" s="32" t="n"/>
      <c r="O744" s="32" t="n"/>
      <c r="P744" s="32" t="n"/>
      <c r="Q744" s="32" t="n"/>
      <c r="R744" s="32" t="n"/>
      <c r="S744" s="32" t="n"/>
      <c r="T744" s="32" t="n"/>
      <c r="U744" s="32" t="n"/>
      <c r="V744" s="32" t="n"/>
      <c r="W744" s="32" t="n"/>
      <c r="X744" s="32" t="n"/>
      <c r="Y744" s="32" t="n"/>
      <c r="Z744" s="32" t="n"/>
    </row>
    <row r="745">
      <c r="A745" s="32" t="n"/>
      <c r="B745" s="32" t="n"/>
      <c r="C745" s="32" t="n"/>
      <c r="D745" s="32" t="n"/>
      <c r="E745" s="32" t="n"/>
      <c r="F745" s="32" t="n"/>
      <c r="G745" s="32" t="n"/>
      <c r="H745" s="32" t="n"/>
      <c r="I745" s="32" t="n"/>
      <c r="J745" s="32" t="n"/>
      <c r="K745" s="32" t="n"/>
      <c r="L745" s="32" t="n"/>
      <c r="M745" s="32" t="n"/>
      <c r="N745" s="32" t="n"/>
      <c r="O745" s="32" t="n"/>
      <c r="P745" s="32" t="n"/>
      <c r="Q745" s="32" t="n"/>
      <c r="R745" s="32" t="n"/>
      <c r="S745" s="32" t="n"/>
      <c r="T745" s="32" t="n"/>
      <c r="U745" s="32" t="n"/>
      <c r="V745" s="32" t="n"/>
      <c r="W745" s="32" t="n"/>
      <c r="X745" s="32" t="n"/>
      <c r="Y745" s="32" t="n"/>
      <c r="Z745" s="32" t="n"/>
    </row>
    <row r="746">
      <c r="A746" s="32" t="n"/>
      <c r="B746" s="32" t="n"/>
      <c r="C746" s="32" t="n"/>
      <c r="D746" s="32" t="n"/>
      <c r="E746" s="32" t="n"/>
      <c r="F746" s="32" t="n"/>
      <c r="G746" s="32" t="n"/>
      <c r="H746" s="32" t="n"/>
      <c r="I746" s="32" t="n"/>
      <c r="J746" s="32" t="n"/>
      <c r="K746" s="32" t="n"/>
      <c r="L746" s="32" t="n"/>
      <c r="M746" s="32" t="n"/>
      <c r="N746" s="32" t="n"/>
      <c r="O746" s="32" t="n"/>
      <c r="P746" s="32" t="n"/>
      <c r="Q746" s="32" t="n"/>
      <c r="R746" s="32" t="n"/>
      <c r="S746" s="32" t="n"/>
      <c r="T746" s="32" t="n"/>
      <c r="U746" s="32" t="n"/>
      <c r="V746" s="32" t="n"/>
      <c r="W746" s="32" t="n"/>
      <c r="X746" s="32" t="n"/>
      <c r="Y746" s="32" t="n"/>
      <c r="Z746" s="32" t="n"/>
    </row>
    <row r="747">
      <c r="A747" s="32" t="n"/>
      <c r="B747" s="32" t="n"/>
      <c r="C747" s="32" t="n"/>
      <c r="D747" s="32" t="n"/>
      <c r="E747" s="32" t="n"/>
      <c r="F747" s="32" t="n"/>
      <c r="G747" s="32" t="n"/>
      <c r="H747" s="32" t="n"/>
      <c r="I747" s="32" t="n"/>
      <c r="J747" s="32" t="n"/>
      <c r="K747" s="32" t="n"/>
      <c r="L747" s="32" t="n"/>
      <c r="M747" s="32" t="n"/>
      <c r="N747" s="32" t="n"/>
      <c r="O747" s="32" t="n"/>
      <c r="P747" s="32" t="n"/>
      <c r="Q747" s="32" t="n"/>
      <c r="R747" s="32" t="n"/>
      <c r="S747" s="32" t="n"/>
      <c r="T747" s="32" t="n"/>
      <c r="U747" s="32" t="n"/>
      <c r="V747" s="32" t="n"/>
      <c r="W747" s="32" t="n"/>
      <c r="X747" s="32" t="n"/>
      <c r="Y747" s="32" t="n"/>
      <c r="Z747" s="32" t="n"/>
    </row>
    <row r="748">
      <c r="A748" s="32" t="n"/>
      <c r="B748" s="32" t="n"/>
      <c r="C748" s="32" t="n"/>
      <c r="D748" s="32" t="n"/>
      <c r="E748" s="32" t="n"/>
      <c r="F748" s="32" t="n"/>
      <c r="G748" s="32" t="n"/>
      <c r="H748" s="32" t="n"/>
      <c r="I748" s="32" t="n"/>
      <c r="J748" s="32" t="n"/>
      <c r="K748" s="32" t="n"/>
      <c r="L748" s="32" t="n"/>
      <c r="M748" s="32" t="n"/>
      <c r="N748" s="32" t="n"/>
      <c r="O748" s="32" t="n"/>
      <c r="P748" s="32" t="n"/>
      <c r="Q748" s="32" t="n"/>
      <c r="R748" s="32" t="n"/>
      <c r="S748" s="32" t="n"/>
      <c r="T748" s="32" t="n"/>
      <c r="U748" s="32" t="n"/>
      <c r="V748" s="32" t="n"/>
      <c r="W748" s="32" t="n"/>
      <c r="X748" s="32" t="n"/>
      <c r="Y748" s="32" t="n"/>
      <c r="Z748" s="32" t="n"/>
    </row>
    <row r="749">
      <c r="A749" s="32" t="n"/>
      <c r="B749" s="32" t="n"/>
      <c r="C749" s="32" t="n"/>
      <c r="D749" s="32" t="n"/>
      <c r="E749" s="32" t="n"/>
      <c r="F749" s="32" t="n"/>
      <c r="G749" s="32" t="n"/>
      <c r="H749" s="32" t="n"/>
      <c r="I749" s="32" t="n"/>
      <c r="J749" s="32" t="n"/>
      <c r="K749" s="32" t="n"/>
      <c r="L749" s="32" t="n"/>
      <c r="M749" s="32" t="n"/>
      <c r="N749" s="32" t="n"/>
      <c r="O749" s="32" t="n"/>
      <c r="P749" s="32" t="n"/>
      <c r="Q749" s="32" t="n"/>
      <c r="R749" s="32" t="n"/>
      <c r="S749" s="32" t="n"/>
      <c r="T749" s="32" t="n"/>
      <c r="U749" s="32" t="n"/>
      <c r="V749" s="32" t="n"/>
      <c r="W749" s="32" t="n"/>
      <c r="X749" s="32" t="n"/>
      <c r="Y749" s="32" t="n"/>
      <c r="Z749" s="32" t="n"/>
    </row>
    <row r="750">
      <c r="A750" s="32" t="n"/>
      <c r="B750" s="32" t="n"/>
      <c r="C750" s="32" t="n"/>
      <c r="D750" s="32" t="n"/>
      <c r="E750" s="32" t="n"/>
      <c r="F750" s="32" t="n"/>
      <c r="G750" s="32" t="n"/>
      <c r="H750" s="32" t="n"/>
      <c r="I750" s="32" t="n"/>
      <c r="J750" s="32" t="n"/>
      <c r="K750" s="32" t="n"/>
      <c r="L750" s="32" t="n"/>
      <c r="M750" s="32" t="n"/>
      <c r="N750" s="32" t="n"/>
      <c r="O750" s="32" t="n"/>
      <c r="P750" s="32" t="n"/>
      <c r="Q750" s="32" t="n"/>
      <c r="R750" s="32" t="n"/>
      <c r="S750" s="32" t="n"/>
      <c r="T750" s="32" t="n"/>
      <c r="U750" s="32" t="n"/>
      <c r="V750" s="32" t="n"/>
      <c r="W750" s="32" t="n"/>
      <c r="X750" s="32" t="n"/>
      <c r="Y750" s="32" t="n"/>
      <c r="Z750" s="32" t="n"/>
    </row>
    <row r="751">
      <c r="A751" s="32" t="n"/>
      <c r="B751" s="32" t="n"/>
      <c r="C751" s="32" t="n"/>
      <c r="D751" s="32" t="n"/>
      <c r="E751" s="32" t="n"/>
      <c r="F751" s="32" t="n"/>
      <c r="G751" s="32" t="n"/>
      <c r="H751" s="32" t="n"/>
      <c r="I751" s="32" t="n"/>
      <c r="J751" s="32" t="n"/>
      <c r="K751" s="32" t="n"/>
      <c r="L751" s="32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2" t="n"/>
      <c r="W751" s="32" t="n"/>
      <c r="X751" s="32" t="n"/>
      <c r="Y751" s="32" t="n"/>
      <c r="Z751" s="32" t="n"/>
    </row>
    <row r="752">
      <c r="A752" s="32" t="n"/>
      <c r="B752" s="32" t="n"/>
      <c r="C752" s="32" t="n"/>
      <c r="D752" s="32" t="n"/>
      <c r="E752" s="32" t="n"/>
      <c r="F752" s="32" t="n"/>
      <c r="G752" s="32" t="n"/>
      <c r="H752" s="32" t="n"/>
      <c r="I752" s="32" t="n"/>
      <c r="J752" s="32" t="n"/>
      <c r="K752" s="32" t="n"/>
      <c r="L752" s="32" t="n"/>
      <c r="M752" s="32" t="n"/>
      <c r="N752" s="32" t="n"/>
      <c r="O752" s="32" t="n"/>
      <c r="P752" s="32" t="n"/>
      <c r="Q752" s="32" t="n"/>
      <c r="R752" s="32" t="n"/>
      <c r="S752" s="32" t="n"/>
      <c r="T752" s="32" t="n"/>
      <c r="U752" s="32" t="n"/>
      <c r="V752" s="32" t="n"/>
      <c r="W752" s="32" t="n"/>
      <c r="X752" s="32" t="n"/>
      <c r="Y752" s="32" t="n"/>
      <c r="Z752" s="32" t="n"/>
    </row>
    <row r="753">
      <c r="A753" s="32" t="n"/>
      <c r="B753" s="32" t="n"/>
      <c r="C753" s="32" t="n"/>
      <c r="D753" s="32" t="n"/>
      <c r="E753" s="32" t="n"/>
      <c r="F753" s="32" t="n"/>
      <c r="G753" s="32" t="n"/>
      <c r="H753" s="32" t="n"/>
      <c r="I753" s="32" t="n"/>
      <c r="J753" s="32" t="n"/>
      <c r="K753" s="32" t="n"/>
      <c r="L753" s="32" t="n"/>
      <c r="M753" s="32" t="n"/>
      <c r="N753" s="32" t="n"/>
      <c r="O753" s="32" t="n"/>
      <c r="P753" s="32" t="n"/>
      <c r="Q753" s="32" t="n"/>
      <c r="R753" s="32" t="n"/>
      <c r="S753" s="32" t="n"/>
      <c r="T753" s="32" t="n"/>
      <c r="U753" s="32" t="n"/>
      <c r="V753" s="32" t="n"/>
      <c r="W753" s="32" t="n"/>
      <c r="X753" s="32" t="n"/>
      <c r="Y753" s="32" t="n"/>
      <c r="Z753" s="32" t="n"/>
    </row>
    <row r="754">
      <c r="A754" s="32" t="n"/>
      <c r="B754" s="32" t="n"/>
      <c r="C754" s="32" t="n"/>
      <c r="D754" s="32" t="n"/>
      <c r="E754" s="32" t="n"/>
      <c r="F754" s="32" t="n"/>
      <c r="G754" s="32" t="n"/>
      <c r="H754" s="32" t="n"/>
      <c r="I754" s="32" t="n"/>
      <c r="J754" s="32" t="n"/>
      <c r="K754" s="32" t="n"/>
      <c r="L754" s="32" t="n"/>
      <c r="M754" s="32" t="n"/>
      <c r="N754" s="32" t="n"/>
      <c r="O754" s="32" t="n"/>
      <c r="P754" s="32" t="n"/>
      <c r="Q754" s="32" t="n"/>
      <c r="R754" s="32" t="n"/>
      <c r="S754" s="32" t="n"/>
      <c r="T754" s="32" t="n"/>
      <c r="U754" s="32" t="n"/>
      <c r="V754" s="32" t="n"/>
      <c r="W754" s="32" t="n"/>
      <c r="X754" s="32" t="n"/>
      <c r="Y754" s="32" t="n"/>
      <c r="Z754" s="32" t="n"/>
    </row>
    <row r="755">
      <c r="A755" s="32" t="n"/>
      <c r="B755" s="32" t="n"/>
      <c r="C755" s="32" t="n"/>
      <c r="D755" s="32" t="n"/>
      <c r="E755" s="32" t="n"/>
      <c r="F755" s="32" t="n"/>
      <c r="G755" s="32" t="n"/>
      <c r="H755" s="32" t="n"/>
      <c r="I755" s="32" t="n"/>
      <c r="J755" s="32" t="n"/>
      <c r="K755" s="32" t="n"/>
      <c r="L755" s="32" t="n"/>
      <c r="M755" s="32" t="n"/>
      <c r="N755" s="32" t="n"/>
      <c r="O755" s="32" t="n"/>
      <c r="P755" s="32" t="n"/>
      <c r="Q755" s="32" t="n"/>
      <c r="R755" s="32" t="n"/>
      <c r="S755" s="32" t="n"/>
      <c r="T755" s="32" t="n"/>
      <c r="U755" s="32" t="n"/>
      <c r="V755" s="32" t="n"/>
      <c r="W755" s="32" t="n"/>
      <c r="X755" s="32" t="n"/>
      <c r="Y755" s="32" t="n"/>
      <c r="Z755" s="32" t="n"/>
    </row>
    <row r="756">
      <c r="A756" s="32" t="n"/>
      <c r="B756" s="32" t="n"/>
      <c r="C756" s="32" t="n"/>
      <c r="D756" s="32" t="n"/>
      <c r="E756" s="32" t="n"/>
      <c r="F756" s="32" t="n"/>
      <c r="G756" s="32" t="n"/>
      <c r="H756" s="32" t="n"/>
      <c r="I756" s="32" t="n"/>
      <c r="J756" s="32" t="n"/>
      <c r="K756" s="32" t="n"/>
      <c r="L756" s="32" t="n"/>
      <c r="M756" s="32" t="n"/>
      <c r="N756" s="32" t="n"/>
      <c r="O756" s="32" t="n"/>
      <c r="P756" s="32" t="n"/>
      <c r="Q756" s="32" t="n"/>
      <c r="R756" s="32" t="n"/>
      <c r="S756" s="32" t="n"/>
      <c r="T756" s="32" t="n"/>
      <c r="U756" s="32" t="n"/>
      <c r="V756" s="32" t="n"/>
      <c r="W756" s="32" t="n"/>
      <c r="X756" s="32" t="n"/>
      <c r="Y756" s="32" t="n"/>
      <c r="Z756" s="32" t="n"/>
    </row>
    <row r="757">
      <c r="A757" s="32" t="n"/>
      <c r="B757" s="32" t="n"/>
      <c r="C757" s="32" t="n"/>
      <c r="D757" s="32" t="n"/>
      <c r="E757" s="32" t="n"/>
      <c r="F757" s="32" t="n"/>
      <c r="G757" s="32" t="n"/>
      <c r="H757" s="32" t="n"/>
      <c r="I757" s="32" t="n"/>
      <c r="J757" s="32" t="n"/>
      <c r="K757" s="32" t="n"/>
      <c r="L757" s="32" t="n"/>
      <c r="M757" s="32" t="n"/>
      <c r="N757" s="32" t="n"/>
      <c r="O757" s="32" t="n"/>
      <c r="P757" s="32" t="n"/>
      <c r="Q757" s="32" t="n"/>
      <c r="R757" s="32" t="n"/>
      <c r="S757" s="32" t="n"/>
      <c r="T757" s="32" t="n"/>
      <c r="U757" s="32" t="n"/>
      <c r="V757" s="32" t="n"/>
      <c r="W757" s="32" t="n"/>
      <c r="X757" s="32" t="n"/>
      <c r="Y757" s="32" t="n"/>
      <c r="Z757" s="32" t="n"/>
    </row>
    <row r="758">
      <c r="A758" s="32" t="n"/>
      <c r="B758" s="32" t="n"/>
      <c r="C758" s="32" t="n"/>
      <c r="D758" s="32" t="n"/>
      <c r="E758" s="32" t="n"/>
      <c r="F758" s="32" t="n"/>
      <c r="G758" s="32" t="n"/>
      <c r="H758" s="32" t="n"/>
      <c r="I758" s="32" t="n"/>
      <c r="J758" s="32" t="n"/>
      <c r="K758" s="32" t="n"/>
      <c r="L758" s="32" t="n"/>
      <c r="M758" s="32" t="n"/>
      <c r="N758" s="32" t="n"/>
      <c r="O758" s="32" t="n"/>
      <c r="P758" s="32" t="n"/>
      <c r="Q758" s="32" t="n"/>
      <c r="R758" s="32" t="n"/>
      <c r="S758" s="32" t="n"/>
      <c r="T758" s="32" t="n"/>
      <c r="U758" s="32" t="n"/>
      <c r="V758" s="32" t="n"/>
      <c r="W758" s="32" t="n"/>
      <c r="X758" s="32" t="n"/>
      <c r="Y758" s="32" t="n"/>
      <c r="Z758" s="32" t="n"/>
    </row>
    <row r="759">
      <c r="A759" s="32" t="n"/>
      <c r="B759" s="32" t="n"/>
      <c r="C759" s="32" t="n"/>
      <c r="D759" s="32" t="n"/>
      <c r="E759" s="32" t="n"/>
      <c r="F759" s="32" t="n"/>
      <c r="G759" s="32" t="n"/>
      <c r="H759" s="32" t="n"/>
      <c r="I759" s="32" t="n"/>
      <c r="J759" s="32" t="n"/>
      <c r="K759" s="32" t="n"/>
      <c r="L759" s="32" t="n"/>
      <c r="M759" s="32" t="n"/>
      <c r="N759" s="32" t="n"/>
      <c r="O759" s="32" t="n"/>
      <c r="P759" s="32" t="n"/>
      <c r="Q759" s="32" t="n"/>
      <c r="R759" s="32" t="n"/>
      <c r="S759" s="32" t="n"/>
      <c r="T759" s="32" t="n"/>
      <c r="U759" s="32" t="n"/>
      <c r="V759" s="32" t="n"/>
      <c r="W759" s="32" t="n"/>
      <c r="X759" s="32" t="n"/>
      <c r="Y759" s="32" t="n"/>
      <c r="Z759" s="32" t="n"/>
    </row>
    <row r="760">
      <c r="A760" s="32" t="n"/>
      <c r="B760" s="32" t="n"/>
      <c r="C760" s="32" t="n"/>
      <c r="D760" s="32" t="n"/>
      <c r="E760" s="32" t="n"/>
      <c r="F760" s="32" t="n"/>
      <c r="G760" s="32" t="n"/>
      <c r="H760" s="32" t="n"/>
      <c r="I760" s="32" t="n"/>
      <c r="J760" s="32" t="n"/>
      <c r="K760" s="32" t="n"/>
      <c r="L760" s="32" t="n"/>
      <c r="M760" s="32" t="n"/>
      <c r="N760" s="32" t="n"/>
      <c r="O760" s="32" t="n"/>
      <c r="P760" s="32" t="n"/>
      <c r="Q760" s="32" t="n"/>
      <c r="R760" s="32" t="n"/>
      <c r="S760" s="32" t="n"/>
      <c r="T760" s="32" t="n"/>
      <c r="U760" s="32" t="n"/>
      <c r="V760" s="32" t="n"/>
      <c r="W760" s="32" t="n"/>
      <c r="X760" s="32" t="n"/>
      <c r="Y760" s="32" t="n"/>
      <c r="Z760" s="32" t="n"/>
    </row>
    <row r="761">
      <c r="A761" s="32" t="n"/>
      <c r="B761" s="32" t="n"/>
      <c r="C761" s="32" t="n"/>
      <c r="D761" s="32" t="n"/>
      <c r="E761" s="32" t="n"/>
      <c r="F761" s="32" t="n"/>
      <c r="G761" s="32" t="n"/>
      <c r="H761" s="32" t="n"/>
      <c r="I761" s="32" t="n"/>
      <c r="J761" s="32" t="n"/>
      <c r="K761" s="32" t="n"/>
      <c r="L761" s="32" t="n"/>
      <c r="M761" s="32" t="n"/>
      <c r="N761" s="32" t="n"/>
      <c r="O761" s="32" t="n"/>
      <c r="P761" s="32" t="n"/>
      <c r="Q761" s="32" t="n"/>
      <c r="R761" s="32" t="n"/>
      <c r="S761" s="32" t="n"/>
      <c r="T761" s="32" t="n"/>
      <c r="U761" s="32" t="n"/>
      <c r="V761" s="32" t="n"/>
      <c r="W761" s="32" t="n"/>
      <c r="X761" s="32" t="n"/>
      <c r="Y761" s="32" t="n"/>
      <c r="Z761" s="32" t="n"/>
    </row>
    <row r="762">
      <c r="A762" s="32" t="n"/>
      <c r="B762" s="32" t="n"/>
      <c r="C762" s="32" t="n"/>
      <c r="D762" s="32" t="n"/>
      <c r="E762" s="32" t="n"/>
      <c r="F762" s="32" t="n"/>
      <c r="G762" s="32" t="n"/>
      <c r="H762" s="32" t="n"/>
      <c r="I762" s="32" t="n"/>
      <c r="J762" s="32" t="n"/>
      <c r="K762" s="32" t="n"/>
      <c r="L762" s="32" t="n"/>
      <c r="M762" s="32" t="n"/>
      <c r="N762" s="32" t="n"/>
      <c r="O762" s="32" t="n"/>
      <c r="P762" s="32" t="n"/>
      <c r="Q762" s="32" t="n"/>
      <c r="R762" s="32" t="n"/>
      <c r="S762" s="32" t="n"/>
      <c r="T762" s="32" t="n"/>
      <c r="U762" s="32" t="n"/>
      <c r="V762" s="32" t="n"/>
      <c r="W762" s="32" t="n"/>
      <c r="X762" s="32" t="n"/>
      <c r="Y762" s="32" t="n"/>
      <c r="Z762" s="32" t="n"/>
    </row>
    <row r="763">
      <c r="A763" s="32" t="n"/>
      <c r="B763" s="32" t="n"/>
      <c r="C763" s="32" t="n"/>
      <c r="D763" s="32" t="n"/>
      <c r="E763" s="32" t="n"/>
      <c r="F763" s="32" t="n"/>
      <c r="G763" s="32" t="n"/>
      <c r="H763" s="32" t="n"/>
      <c r="I763" s="32" t="n"/>
      <c r="J763" s="32" t="n"/>
      <c r="K763" s="32" t="n"/>
      <c r="L763" s="32" t="n"/>
      <c r="M763" s="32" t="n"/>
      <c r="N763" s="32" t="n"/>
      <c r="O763" s="32" t="n"/>
      <c r="P763" s="32" t="n"/>
      <c r="Q763" s="32" t="n"/>
      <c r="R763" s="32" t="n"/>
      <c r="S763" s="32" t="n"/>
      <c r="T763" s="32" t="n"/>
      <c r="U763" s="32" t="n"/>
      <c r="V763" s="32" t="n"/>
      <c r="W763" s="32" t="n"/>
      <c r="X763" s="32" t="n"/>
      <c r="Y763" s="32" t="n"/>
      <c r="Z763" s="32" t="n"/>
    </row>
    <row r="764">
      <c r="A764" s="32" t="n"/>
      <c r="B764" s="32" t="n"/>
      <c r="C764" s="32" t="n"/>
      <c r="D764" s="32" t="n"/>
      <c r="E764" s="32" t="n"/>
      <c r="F764" s="32" t="n"/>
      <c r="G764" s="32" t="n"/>
      <c r="H764" s="32" t="n"/>
      <c r="I764" s="32" t="n"/>
      <c r="J764" s="32" t="n"/>
      <c r="K764" s="32" t="n"/>
      <c r="L764" s="32" t="n"/>
      <c r="M764" s="32" t="n"/>
      <c r="N764" s="32" t="n"/>
      <c r="O764" s="32" t="n"/>
      <c r="P764" s="32" t="n"/>
      <c r="Q764" s="32" t="n"/>
      <c r="R764" s="32" t="n"/>
      <c r="S764" s="32" t="n"/>
      <c r="T764" s="32" t="n"/>
      <c r="U764" s="32" t="n"/>
      <c r="V764" s="32" t="n"/>
      <c r="W764" s="32" t="n"/>
      <c r="X764" s="32" t="n"/>
      <c r="Y764" s="32" t="n"/>
      <c r="Z764" s="32" t="n"/>
    </row>
    <row r="765">
      <c r="A765" s="32" t="n"/>
      <c r="B765" s="32" t="n"/>
      <c r="C765" s="32" t="n"/>
      <c r="D765" s="32" t="n"/>
      <c r="E765" s="32" t="n"/>
      <c r="F765" s="32" t="n"/>
      <c r="G765" s="32" t="n"/>
      <c r="H765" s="32" t="n"/>
      <c r="I765" s="32" t="n"/>
      <c r="J765" s="32" t="n"/>
      <c r="K765" s="32" t="n"/>
      <c r="L765" s="32" t="n"/>
      <c r="M765" s="32" t="n"/>
      <c r="N765" s="32" t="n"/>
      <c r="O765" s="32" t="n"/>
      <c r="P765" s="32" t="n"/>
      <c r="Q765" s="32" t="n"/>
      <c r="R765" s="32" t="n"/>
      <c r="S765" s="32" t="n"/>
      <c r="T765" s="32" t="n"/>
      <c r="U765" s="32" t="n"/>
      <c r="V765" s="32" t="n"/>
      <c r="W765" s="32" t="n"/>
      <c r="X765" s="32" t="n"/>
      <c r="Y765" s="32" t="n"/>
      <c r="Z765" s="32" t="n"/>
    </row>
    <row r="766">
      <c r="A766" s="32" t="n"/>
      <c r="B766" s="32" t="n"/>
      <c r="C766" s="32" t="n"/>
      <c r="D766" s="32" t="n"/>
      <c r="E766" s="32" t="n"/>
      <c r="F766" s="32" t="n"/>
      <c r="G766" s="32" t="n"/>
      <c r="H766" s="32" t="n"/>
      <c r="I766" s="32" t="n"/>
      <c r="J766" s="32" t="n"/>
      <c r="K766" s="32" t="n"/>
      <c r="L766" s="32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2" t="n"/>
      <c r="W766" s="32" t="n"/>
      <c r="X766" s="32" t="n"/>
      <c r="Y766" s="32" t="n"/>
      <c r="Z766" s="32" t="n"/>
    </row>
    <row r="767">
      <c r="A767" s="32" t="n"/>
      <c r="B767" s="32" t="n"/>
      <c r="C767" s="32" t="n"/>
      <c r="D767" s="32" t="n"/>
      <c r="E767" s="32" t="n"/>
      <c r="F767" s="32" t="n"/>
      <c r="G767" s="32" t="n"/>
      <c r="H767" s="32" t="n"/>
      <c r="I767" s="32" t="n"/>
      <c r="J767" s="32" t="n"/>
      <c r="K767" s="32" t="n"/>
      <c r="L767" s="32" t="n"/>
      <c r="M767" s="32" t="n"/>
      <c r="N767" s="32" t="n"/>
      <c r="O767" s="32" t="n"/>
      <c r="P767" s="32" t="n"/>
      <c r="Q767" s="32" t="n"/>
      <c r="R767" s="32" t="n"/>
      <c r="S767" s="32" t="n"/>
      <c r="T767" s="32" t="n"/>
      <c r="U767" s="32" t="n"/>
      <c r="V767" s="32" t="n"/>
      <c r="W767" s="32" t="n"/>
      <c r="X767" s="32" t="n"/>
      <c r="Y767" s="32" t="n"/>
      <c r="Z767" s="32" t="n"/>
    </row>
    <row r="768">
      <c r="A768" s="32" t="n"/>
      <c r="B768" s="32" t="n"/>
      <c r="C768" s="32" t="n"/>
      <c r="D768" s="32" t="n"/>
      <c r="E768" s="32" t="n"/>
      <c r="F768" s="32" t="n"/>
      <c r="G768" s="32" t="n"/>
      <c r="H768" s="32" t="n"/>
      <c r="I768" s="32" t="n"/>
      <c r="J768" s="32" t="n"/>
      <c r="K768" s="32" t="n"/>
      <c r="L768" s="32" t="n"/>
      <c r="M768" s="32" t="n"/>
      <c r="N768" s="32" t="n"/>
      <c r="O768" s="32" t="n"/>
      <c r="P768" s="32" t="n"/>
      <c r="Q768" s="32" t="n"/>
      <c r="R768" s="32" t="n"/>
      <c r="S768" s="32" t="n"/>
      <c r="T768" s="32" t="n"/>
      <c r="U768" s="32" t="n"/>
      <c r="V768" s="32" t="n"/>
      <c r="W768" s="32" t="n"/>
      <c r="X768" s="32" t="n"/>
      <c r="Y768" s="32" t="n"/>
      <c r="Z768" s="32" t="n"/>
    </row>
    <row r="769">
      <c r="A769" s="32" t="n"/>
      <c r="B769" s="32" t="n"/>
      <c r="C769" s="32" t="n"/>
      <c r="D769" s="32" t="n"/>
      <c r="E769" s="32" t="n"/>
      <c r="F769" s="32" t="n"/>
      <c r="G769" s="32" t="n"/>
      <c r="H769" s="32" t="n"/>
      <c r="I769" s="32" t="n"/>
      <c r="J769" s="32" t="n"/>
      <c r="K769" s="32" t="n"/>
      <c r="L769" s="32" t="n"/>
      <c r="M769" s="32" t="n"/>
      <c r="N769" s="32" t="n"/>
      <c r="O769" s="32" t="n"/>
      <c r="P769" s="32" t="n"/>
      <c r="Q769" s="32" t="n"/>
      <c r="R769" s="32" t="n"/>
      <c r="S769" s="32" t="n"/>
      <c r="T769" s="32" t="n"/>
      <c r="U769" s="32" t="n"/>
      <c r="V769" s="32" t="n"/>
      <c r="W769" s="32" t="n"/>
      <c r="X769" s="32" t="n"/>
      <c r="Y769" s="32" t="n"/>
      <c r="Z769" s="32" t="n"/>
    </row>
    <row r="770">
      <c r="A770" s="32" t="n"/>
      <c r="B770" s="32" t="n"/>
      <c r="C770" s="32" t="n"/>
      <c r="D770" s="32" t="n"/>
      <c r="E770" s="32" t="n"/>
      <c r="F770" s="32" t="n"/>
      <c r="G770" s="32" t="n"/>
      <c r="H770" s="32" t="n"/>
      <c r="I770" s="32" t="n"/>
      <c r="J770" s="32" t="n"/>
      <c r="K770" s="32" t="n"/>
      <c r="L770" s="32" t="n"/>
      <c r="M770" s="32" t="n"/>
      <c r="N770" s="32" t="n"/>
      <c r="O770" s="32" t="n"/>
      <c r="P770" s="32" t="n"/>
      <c r="Q770" s="32" t="n"/>
      <c r="R770" s="32" t="n"/>
      <c r="S770" s="32" t="n"/>
      <c r="T770" s="32" t="n"/>
      <c r="U770" s="32" t="n"/>
      <c r="V770" s="32" t="n"/>
      <c r="W770" s="32" t="n"/>
      <c r="X770" s="32" t="n"/>
      <c r="Y770" s="32" t="n"/>
      <c r="Z770" s="32" t="n"/>
    </row>
    <row r="771">
      <c r="A771" s="32" t="n"/>
      <c r="B771" s="32" t="n"/>
      <c r="C771" s="32" t="n"/>
      <c r="D771" s="32" t="n"/>
      <c r="E771" s="32" t="n"/>
      <c r="F771" s="32" t="n"/>
      <c r="G771" s="32" t="n"/>
      <c r="H771" s="32" t="n"/>
      <c r="I771" s="32" t="n"/>
      <c r="J771" s="32" t="n"/>
      <c r="K771" s="32" t="n"/>
      <c r="L771" s="32" t="n"/>
      <c r="M771" s="32" t="n"/>
      <c r="N771" s="32" t="n"/>
      <c r="O771" s="32" t="n"/>
      <c r="P771" s="32" t="n"/>
      <c r="Q771" s="32" t="n"/>
      <c r="R771" s="32" t="n"/>
      <c r="S771" s="32" t="n"/>
      <c r="T771" s="32" t="n"/>
      <c r="U771" s="32" t="n"/>
      <c r="V771" s="32" t="n"/>
      <c r="W771" s="32" t="n"/>
      <c r="X771" s="32" t="n"/>
      <c r="Y771" s="32" t="n"/>
      <c r="Z771" s="32" t="n"/>
    </row>
    <row r="772">
      <c r="A772" s="32" t="n"/>
      <c r="B772" s="32" t="n"/>
      <c r="C772" s="32" t="n"/>
      <c r="D772" s="32" t="n"/>
      <c r="E772" s="32" t="n"/>
      <c r="F772" s="32" t="n"/>
      <c r="G772" s="32" t="n"/>
      <c r="H772" s="32" t="n"/>
      <c r="I772" s="32" t="n"/>
      <c r="J772" s="32" t="n"/>
      <c r="K772" s="32" t="n"/>
      <c r="L772" s="32" t="n"/>
      <c r="M772" s="32" t="n"/>
      <c r="N772" s="32" t="n"/>
      <c r="O772" s="32" t="n"/>
      <c r="P772" s="32" t="n"/>
      <c r="Q772" s="32" t="n"/>
      <c r="R772" s="32" t="n"/>
      <c r="S772" s="32" t="n"/>
      <c r="T772" s="32" t="n"/>
      <c r="U772" s="32" t="n"/>
      <c r="V772" s="32" t="n"/>
      <c r="W772" s="32" t="n"/>
      <c r="X772" s="32" t="n"/>
      <c r="Y772" s="32" t="n"/>
      <c r="Z772" s="32" t="n"/>
    </row>
    <row r="773">
      <c r="A773" s="32" t="n"/>
      <c r="B773" s="32" t="n"/>
      <c r="C773" s="32" t="n"/>
      <c r="D773" s="32" t="n"/>
      <c r="E773" s="32" t="n"/>
      <c r="F773" s="32" t="n"/>
      <c r="G773" s="32" t="n"/>
      <c r="H773" s="32" t="n"/>
      <c r="I773" s="32" t="n"/>
      <c r="J773" s="32" t="n"/>
      <c r="K773" s="32" t="n"/>
      <c r="L773" s="32" t="n"/>
      <c r="M773" s="32" t="n"/>
      <c r="N773" s="32" t="n"/>
      <c r="O773" s="32" t="n"/>
      <c r="P773" s="32" t="n"/>
      <c r="Q773" s="32" t="n"/>
      <c r="R773" s="32" t="n"/>
      <c r="S773" s="32" t="n"/>
      <c r="T773" s="32" t="n"/>
      <c r="U773" s="32" t="n"/>
      <c r="V773" s="32" t="n"/>
      <c r="W773" s="32" t="n"/>
      <c r="X773" s="32" t="n"/>
      <c r="Y773" s="32" t="n"/>
      <c r="Z773" s="32" t="n"/>
    </row>
    <row r="774">
      <c r="A774" s="32" t="n"/>
      <c r="B774" s="32" t="n"/>
      <c r="C774" s="32" t="n"/>
      <c r="D774" s="32" t="n"/>
      <c r="E774" s="32" t="n"/>
      <c r="F774" s="32" t="n"/>
      <c r="G774" s="32" t="n"/>
      <c r="H774" s="32" t="n"/>
      <c r="I774" s="32" t="n"/>
      <c r="J774" s="32" t="n"/>
      <c r="K774" s="32" t="n"/>
      <c r="L774" s="32" t="n"/>
      <c r="M774" s="32" t="n"/>
      <c r="N774" s="32" t="n"/>
      <c r="O774" s="32" t="n"/>
      <c r="P774" s="32" t="n"/>
      <c r="Q774" s="32" t="n"/>
      <c r="R774" s="32" t="n"/>
      <c r="S774" s="32" t="n"/>
      <c r="T774" s="32" t="n"/>
      <c r="U774" s="32" t="n"/>
      <c r="V774" s="32" t="n"/>
      <c r="W774" s="32" t="n"/>
      <c r="X774" s="32" t="n"/>
      <c r="Y774" s="32" t="n"/>
      <c r="Z774" s="32" t="n"/>
    </row>
    <row r="775">
      <c r="A775" s="32" t="n"/>
      <c r="B775" s="32" t="n"/>
      <c r="C775" s="32" t="n"/>
      <c r="D775" s="32" t="n"/>
      <c r="E775" s="32" t="n"/>
      <c r="F775" s="32" t="n"/>
      <c r="G775" s="32" t="n"/>
      <c r="H775" s="32" t="n"/>
      <c r="I775" s="32" t="n"/>
      <c r="J775" s="32" t="n"/>
      <c r="K775" s="32" t="n"/>
      <c r="L775" s="32" t="n"/>
      <c r="M775" s="32" t="n"/>
      <c r="N775" s="32" t="n"/>
      <c r="O775" s="32" t="n"/>
      <c r="P775" s="32" t="n"/>
      <c r="Q775" s="32" t="n"/>
      <c r="R775" s="32" t="n"/>
      <c r="S775" s="32" t="n"/>
      <c r="T775" s="32" t="n"/>
      <c r="U775" s="32" t="n"/>
      <c r="V775" s="32" t="n"/>
      <c r="W775" s="32" t="n"/>
      <c r="X775" s="32" t="n"/>
      <c r="Y775" s="32" t="n"/>
      <c r="Z775" s="32" t="n"/>
    </row>
    <row r="776">
      <c r="A776" s="32" t="n"/>
      <c r="B776" s="32" t="n"/>
      <c r="C776" s="32" t="n"/>
      <c r="D776" s="32" t="n"/>
      <c r="E776" s="32" t="n"/>
      <c r="F776" s="32" t="n"/>
      <c r="G776" s="32" t="n"/>
      <c r="H776" s="32" t="n"/>
      <c r="I776" s="32" t="n"/>
      <c r="J776" s="32" t="n"/>
      <c r="K776" s="32" t="n"/>
      <c r="L776" s="32" t="n"/>
      <c r="M776" s="32" t="n"/>
      <c r="N776" s="32" t="n"/>
      <c r="O776" s="32" t="n"/>
      <c r="P776" s="32" t="n"/>
      <c r="Q776" s="32" t="n"/>
      <c r="R776" s="32" t="n"/>
      <c r="S776" s="32" t="n"/>
      <c r="T776" s="32" t="n"/>
      <c r="U776" s="32" t="n"/>
      <c r="V776" s="32" t="n"/>
      <c r="W776" s="32" t="n"/>
      <c r="X776" s="32" t="n"/>
      <c r="Y776" s="32" t="n"/>
      <c r="Z776" s="32" t="n"/>
    </row>
    <row r="777">
      <c r="A777" s="32" t="n"/>
      <c r="B777" s="32" t="n"/>
      <c r="C777" s="32" t="n"/>
      <c r="D777" s="32" t="n"/>
      <c r="E777" s="32" t="n"/>
      <c r="F777" s="32" t="n"/>
      <c r="G777" s="32" t="n"/>
      <c r="H777" s="32" t="n"/>
      <c r="I777" s="32" t="n"/>
      <c r="J777" s="32" t="n"/>
      <c r="K777" s="32" t="n"/>
      <c r="L777" s="32" t="n"/>
      <c r="M777" s="32" t="n"/>
      <c r="N777" s="32" t="n"/>
      <c r="O777" s="32" t="n"/>
      <c r="P777" s="32" t="n"/>
      <c r="Q777" s="32" t="n"/>
      <c r="R777" s="32" t="n"/>
      <c r="S777" s="32" t="n"/>
      <c r="T777" s="32" t="n"/>
      <c r="U777" s="32" t="n"/>
      <c r="V777" s="32" t="n"/>
      <c r="W777" s="32" t="n"/>
      <c r="X777" s="32" t="n"/>
      <c r="Y777" s="32" t="n"/>
      <c r="Z777" s="32" t="n"/>
    </row>
    <row r="778">
      <c r="A778" s="32" t="n"/>
      <c r="B778" s="32" t="n"/>
      <c r="C778" s="32" t="n"/>
      <c r="D778" s="32" t="n"/>
      <c r="E778" s="32" t="n"/>
      <c r="F778" s="32" t="n"/>
      <c r="G778" s="32" t="n"/>
      <c r="H778" s="32" t="n"/>
      <c r="I778" s="32" t="n"/>
      <c r="J778" s="32" t="n"/>
      <c r="K778" s="32" t="n"/>
      <c r="L778" s="32" t="n"/>
      <c r="M778" s="32" t="n"/>
      <c r="N778" s="32" t="n"/>
      <c r="O778" s="32" t="n"/>
      <c r="P778" s="32" t="n"/>
      <c r="Q778" s="32" t="n"/>
      <c r="R778" s="32" t="n"/>
      <c r="S778" s="32" t="n"/>
      <c r="T778" s="32" t="n"/>
      <c r="U778" s="32" t="n"/>
      <c r="V778" s="32" t="n"/>
      <c r="W778" s="32" t="n"/>
      <c r="X778" s="32" t="n"/>
      <c r="Y778" s="32" t="n"/>
      <c r="Z778" s="32" t="n"/>
    </row>
    <row r="779">
      <c r="A779" s="32" t="n"/>
      <c r="B779" s="32" t="n"/>
      <c r="C779" s="32" t="n"/>
      <c r="D779" s="32" t="n"/>
      <c r="E779" s="32" t="n"/>
      <c r="F779" s="32" t="n"/>
      <c r="G779" s="32" t="n"/>
      <c r="H779" s="32" t="n"/>
      <c r="I779" s="32" t="n"/>
      <c r="J779" s="32" t="n"/>
      <c r="K779" s="32" t="n"/>
      <c r="L779" s="32" t="n"/>
      <c r="M779" s="32" t="n"/>
      <c r="N779" s="32" t="n"/>
      <c r="O779" s="32" t="n"/>
      <c r="P779" s="32" t="n"/>
      <c r="Q779" s="32" t="n"/>
      <c r="R779" s="32" t="n"/>
      <c r="S779" s="32" t="n"/>
      <c r="T779" s="32" t="n"/>
      <c r="U779" s="32" t="n"/>
      <c r="V779" s="32" t="n"/>
      <c r="W779" s="32" t="n"/>
      <c r="X779" s="32" t="n"/>
      <c r="Y779" s="32" t="n"/>
      <c r="Z779" s="32" t="n"/>
    </row>
    <row r="780">
      <c r="A780" s="32" t="n"/>
      <c r="B780" s="32" t="n"/>
      <c r="C780" s="32" t="n"/>
      <c r="D780" s="32" t="n"/>
      <c r="E780" s="32" t="n"/>
      <c r="F780" s="32" t="n"/>
      <c r="G780" s="32" t="n"/>
      <c r="H780" s="32" t="n"/>
      <c r="I780" s="32" t="n"/>
      <c r="J780" s="32" t="n"/>
      <c r="K780" s="32" t="n"/>
      <c r="L780" s="32" t="n"/>
      <c r="M780" s="32" t="n"/>
      <c r="N780" s="32" t="n"/>
      <c r="O780" s="32" t="n"/>
      <c r="P780" s="32" t="n"/>
      <c r="Q780" s="32" t="n"/>
      <c r="R780" s="32" t="n"/>
      <c r="S780" s="32" t="n"/>
      <c r="T780" s="32" t="n"/>
      <c r="U780" s="32" t="n"/>
      <c r="V780" s="32" t="n"/>
      <c r="W780" s="32" t="n"/>
      <c r="X780" s="32" t="n"/>
      <c r="Y780" s="32" t="n"/>
      <c r="Z780" s="32" t="n"/>
    </row>
    <row r="781">
      <c r="A781" s="32" t="n"/>
      <c r="B781" s="32" t="n"/>
      <c r="C781" s="32" t="n"/>
      <c r="D781" s="32" t="n"/>
      <c r="E781" s="32" t="n"/>
      <c r="F781" s="32" t="n"/>
      <c r="G781" s="32" t="n"/>
      <c r="H781" s="32" t="n"/>
      <c r="I781" s="32" t="n"/>
      <c r="J781" s="32" t="n"/>
      <c r="K781" s="32" t="n"/>
      <c r="L781" s="32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2" t="n"/>
      <c r="W781" s="32" t="n"/>
      <c r="X781" s="32" t="n"/>
      <c r="Y781" s="32" t="n"/>
      <c r="Z781" s="32" t="n"/>
    </row>
    <row r="782">
      <c r="A782" s="32" t="n"/>
      <c r="B782" s="32" t="n"/>
      <c r="C782" s="32" t="n"/>
      <c r="D782" s="32" t="n"/>
      <c r="E782" s="32" t="n"/>
      <c r="F782" s="32" t="n"/>
      <c r="G782" s="32" t="n"/>
      <c r="H782" s="32" t="n"/>
      <c r="I782" s="32" t="n"/>
      <c r="J782" s="32" t="n"/>
      <c r="K782" s="32" t="n"/>
      <c r="L782" s="32" t="n"/>
      <c r="M782" s="32" t="n"/>
      <c r="N782" s="32" t="n"/>
      <c r="O782" s="32" t="n"/>
      <c r="P782" s="32" t="n"/>
      <c r="Q782" s="32" t="n"/>
      <c r="R782" s="32" t="n"/>
      <c r="S782" s="32" t="n"/>
      <c r="T782" s="32" t="n"/>
      <c r="U782" s="32" t="n"/>
      <c r="V782" s="32" t="n"/>
      <c r="W782" s="32" t="n"/>
      <c r="X782" s="32" t="n"/>
      <c r="Y782" s="32" t="n"/>
      <c r="Z782" s="32" t="n"/>
    </row>
    <row r="783">
      <c r="A783" s="32" t="n"/>
      <c r="B783" s="32" t="n"/>
      <c r="C783" s="32" t="n"/>
      <c r="D783" s="32" t="n"/>
      <c r="E783" s="32" t="n"/>
      <c r="F783" s="32" t="n"/>
      <c r="G783" s="32" t="n"/>
      <c r="H783" s="32" t="n"/>
      <c r="I783" s="32" t="n"/>
      <c r="J783" s="32" t="n"/>
      <c r="K783" s="32" t="n"/>
      <c r="L783" s="32" t="n"/>
      <c r="M783" s="32" t="n"/>
      <c r="N783" s="32" t="n"/>
      <c r="O783" s="32" t="n"/>
      <c r="P783" s="32" t="n"/>
      <c r="Q783" s="32" t="n"/>
      <c r="R783" s="32" t="n"/>
      <c r="S783" s="32" t="n"/>
      <c r="T783" s="32" t="n"/>
      <c r="U783" s="32" t="n"/>
      <c r="V783" s="32" t="n"/>
      <c r="W783" s="32" t="n"/>
      <c r="X783" s="32" t="n"/>
      <c r="Y783" s="32" t="n"/>
      <c r="Z783" s="32" t="n"/>
    </row>
    <row r="784">
      <c r="A784" s="32" t="n"/>
      <c r="B784" s="32" t="n"/>
      <c r="C784" s="32" t="n"/>
      <c r="D784" s="32" t="n"/>
      <c r="E784" s="32" t="n"/>
      <c r="F784" s="32" t="n"/>
      <c r="G784" s="32" t="n"/>
      <c r="H784" s="32" t="n"/>
      <c r="I784" s="32" t="n"/>
      <c r="J784" s="32" t="n"/>
      <c r="K784" s="32" t="n"/>
      <c r="L784" s="32" t="n"/>
      <c r="M784" s="32" t="n"/>
      <c r="N784" s="32" t="n"/>
      <c r="O784" s="32" t="n"/>
      <c r="P784" s="32" t="n"/>
      <c r="Q784" s="32" t="n"/>
      <c r="R784" s="32" t="n"/>
      <c r="S784" s="32" t="n"/>
      <c r="T784" s="32" t="n"/>
      <c r="U784" s="32" t="n"/>
      <c r="V784" s="32" t="n"/>
      <c r="W784" s="32" t="n"/>
      <c r="X784" s="32" t="n"/>
      <c r="Y784" s="32" t="n"/>
      <c r="Z784" s="32" t="n"/>
    </row>
    <row r="785">
      <c r="A785" s="32" t="n"/>
      <c r="B785" s="32" t="n"/>
      <c r="C785" s="32" t="n"/>
      <c r="D785" s="32" t="n"/>
      <c r="E785" s="32" t="n"/>
      <c r="F785" s="32" t="n"/>
      <c r="G785" s="32" t="n"/>
      <c r="H785" s="32" t="n"/>
      <c r="I785" s="32" t="n"/>
      <c r="J785" s="32" t="n"/>
      <c r="K785" s="32" t="n"/>
      <c r="L785" s="32" t="n"/>
      <c r="M785" s="32" t="n"/>
      <c r="N785" s="32" t="n"/>
      <c r="O785" s="32" t="n"/>
      <c r="P785" s="32" t="n"/>
      <c r="Q785" s="32" t="n"/>
      <c r="R785" s="32" t="n"/>
      <c r="S785" s="32" t="n"/>
      <c r="T785" s="32" t="n"/>
      <c r="U785" s="32" t="n"/>
      <c r="V785" s="32" t="n"/>
      <c r="W785" s="32" t="n"/>
      <c r="X785" s="32" t="n"/>
      <c r="Y785" s="32" t="n"/>
      <c r="Z785" s="32" t="n"/>
    </row>
    <row r="786">
      <c r="A786" s="32" t="n"/>
      <c r="B786" s="32" t="n"/>
      <c r="C786" s="32" t="n"/>
      <c r="D786" s="32" t="n"/>
      <c r="E786" s="32" t="n"/>
      <c r="F786" s="32" t="n"/>
      <c r="G786" s="32" t="n"/>
      <c r="H786" s="32" t="n"/>
      <c r="I786" s="32" t="n"/>
      <c r="J786" s="32" t="n"/>
      <c r="K786" s="32" t="n"/>
      <c r="L786" s="32" t="n"/>
      <c r="M786" s="32" t="n"/>
      <c r="N786" s="32" t="n"/>
      <c r="O786" s="32" t="n"/>
      <c r="P786" s="32" t="n"/>
      <c r="Q786" s="32" t="n"/>
      <c r="R786" s="32" t="n"/>
      <c r="S786" s="32" t="n"/>
      <c r="T786" s="32" t="n"/>
      <c r="U786" s="32" t="n"/>
      <c r="V786" s="32" t="n"/>
      <c r="W786" s="32" t="n"/>
      <c r="X786" s="32" t="n"/>
      <c r="Y786" s="32" t="n"/>
      <c r="Z786" s="32" t="n"/>
    </row>
    <row r="787">
      <c r="A787" s="32" t="n"/>
      <c r="B787" s="32" t="n"/>
      <c r="C787" s="32" t="n"/>
      <c r="D787" s="32" t="n"/>
      <c r="E787" s="32" t="n"/>
      <c r="F787" s="32" t="n"/>
      <c r="G787" s="32" t="n"/>
      <c r="H787" s="32" t="n"/>
      <c r="I787" s="32" t="n"/>
      <c r="J787" s="32" t="n"/>
      <c r="K787" s="32" t="n"/>
      <c r="L787" s="32" t="n"/>
      <c r="M787" s="32" t="n"/>
      <c r="N787" s="32" t="n"/>
      <c r="O787" s="32" t="n"/>
      <c r="P787" s="32" t="n"/>
      <c r="Q787" s="32" t="n"/>
      <c r="R787" s="32" t="n"/>
      <c r="S787" s="32" t="n"/>
      <c r="T787" s="32" t="n"/>
      <c r="U787" s="32" t="n"/>
      <c r="V787" s="32" t="n"/>
      <c r="W787" s="32" t="n"/>
      <c r="X787" s="32" t="n"/>
      <c r="Y787" s="32" t="n"/>
      <c r="Z787" s="32" t="n"/>
    </row>
    <row r="788">
      <c r="A788" s="32" t="n"/>
      <c r="B788" s="32" t="n"/>
      <c r="C788" s="32" t="n"/>
      <c r="D788" s="32" t="n"/>
      <c r="E788" s="32" t="n"/>
      <c r="F788" s="32" t="n"/>
      <c r="G788" s="32" t="n"/>
      <c r="H788" s="32" t="n"/>
      <c r="I788" s="32" t="n"/>
      <c r="J788" s="32" t="n"/>
      <c r="K788" s="32" t="n"/>
      <c r="L788" s="32" t="n"/>
      <c r="M788" s="32" t="n"/>
      <c r="N788" s="32" t="n"/>
      <c r="O788" s="32" t="n"/>
      <c r="P788" s="32" t="n"/>
      <c r="Q788" s="32" t="n"/>
      <c r="R788" s="32" t="n"/>
      <c r="S788" s="32" t="n"/>
      <c r="T788" s="32" t="n"/>
      <c r="U788" s="32" t="n"/>
      <c r="V788" s="32" t="n"/>
      <c r="W788" s="32" t="n"/>
      <c r="X788" s="32" t="n"/>
      <c r="Y788" s="32" t="n"/>
      <c r="Z788" s="32" t="n"/>
    </row>
    <row r="789">
      <c r="A789" s="32" t="n"/>
      <c r="B789" s="32" t="n"/>
      <c r="C789" s="32" t="n"/>
      <c r="D789" s="32" t="n"/>
      <c r="E789" s="32" t="n"/>
      <c r="F789" s="32" t="n"/>
      <c r="G789" s="32" t="n"/>
      <c r="H789" s="32" t="n"/>
      <c r="I789" s="32" t="n"/>
      <c r="J789" s="32" t="n"/>
      <c r="K789" s="32" t="n"/>
      <c r="L789" s="32" t="n"/>
      <c r="M789" s="32" t="n"/>
      <c r="N789" s="32" t="n"/>
      <c r="O789" s="32" t="n"/>
      <c r="P789" s="32" t="n"/>
      <c r="Q789" s="32" t="n"/>
      <c r="R789" s="32" t="n"/>
      <c r="S789" s="32" t="n"/>
      <c r="T789" s="32" t="n"/>
      <c r="U789" s="32" t="n"/>
      <c r="V789" s="32" t="n"/>
      <c r="W789" s="32" t="n"/>
      <c r="X789" s="32" t="n"/>
      <c r="Y789" s="32" t="n"/>
      <c r="Z789" s="32" t="n"/>
    </row>
    <row r="790">
      <c r="A790" s="32" t="n"/>
      <c r="B790" s="32" t="n"/>
      <c r="C790" s="32" t="n"/>
      <c r="D790" s="32" t="n"/>
      <c r="E790" s="32" t="n"/>
      <c r="F790" s="32" t="n"/>
      <c r="G790" s="32" t="n"/>
      <c r="H790" s="32" t="n"/>
      <c r="I790" s="32" t="n"/>
      <c r="J790" s="32" t="n"/>
      <c r="K790" s="32" t="n"/>
      <c r="L790" s="32" t="n"/>
      <c r="M790" s="32" t="n"/>
      <c r="N790" s="32" t="n"/>
      <c r="O790" s="32" t="n"/>
      <c r="P790" s="32" t="n"/>
      <c r="Q790" s="32" t="n"/>
      <c r="R790" s="32" t="n"/>
      <c r="S790" s="32" t="n"/>
      <c r="T790" s="32" t="n"/>
      <c r="U790" s="32" t="n"/>
      <c r="V790" s="32" t="n"/>
      <c r="W790" s="32" t="n"/>
      <c r="X790" s="32" t="n"/>
      <c r="Y790" s="32" t="n"/>
      <c r="Z790" s="32" t="n"/>
    </row>
    <row r="791">
      <c r="A791" s="32" t="n"/>
      <c r="B791" s="32" t="n"/>
      <c r="C791" s="32" t="n"/>
      <c r="D791" s="32" t="n"/>
      <c r="E791" s="32" t="n"/>
      <c r="F791" s="32" t="n"/>
      <c r="G791" s="32" t="n"/>
      <c r="H791" s="32" t="n"/>
      <c r="I791" s="32" t="n"/>
      <c r="J791" s="32" t="n"/>
      <c r="K791" s="32" t="n"/>
      <c r="L791" s="32" t="n"/>
      <c r="M791" s="32" t="n"/>
      <c r="N791" s="32" t="n"/>
      <c r="O791" s="32" t="n"/>
      <c r="P791" s="32" t="n"/>
      <c r="Q791" s="32" t="n"/>
      <c r="R791" s="32" t="n"/>
      <c r="S791" s="32" t="n"/>
      <c r="T791" s="32" t="n"/>
      <c r="U791" s="32" t="n"/>
      <c r="V791" s="32" t="n"/>
      <c r="W791" s="32" t="n"/>
      <c r="X791" s="32" t="n"/>
      <c r="Y791" s="32" t="n"/>
      <c r="Z791" s="32" t="n"/>
    </row>
    <row r="792">
      <c r="A792" s="32" t="n"/>
      <c r="B792" s="32" t="n"/>
      <c r="C792" s="32" t="n"/>
      <c r="D792" s="32" t="n"/>
      <c r="E792" s="32" t="n"/>
      <c r="F792" s="32" t="n"/>
      <c r="G792" s="32" t="n"/>
      <c r="H792" s="32" t="n"/>
      <c r="I792" s="32" t="n"/>
      <c r="J792" s="32" t="n"/>
      <c r="K792" s="32" t="n"/>
      <c r="L792" s="32" t="n"/>
      <c r="M792" s="32" t="n"/>
      <c r="N792" s="32" t="n"/>
      <c r="O792" s="32" t="n"/>
      <c r="P792" s="32" t="n"/>
      <c r="Q792" s="32" t="n"/>
      <c r="R792" s="32" t="n"/>
      <c r="S792" s="32" t="n"/>
      <c r="T792" s="32" t="n"/>
      <c r="U792" s="32" t="n"/>
      <c r="V792" s="32" t="n"/>
      <c r="W792" s="32" t="n"/>
      <c r="X792" s="32" t="n"/>
      <c r="Y792" s="32" t="n"/>
      <c r="Z792" s="32" t="n"/>
    </row>
    <row r="793">
      <c r="A793" s="32" t="n"/>
      <c r="B793" s="32" t="n"/>
      <c r="C793" s="32" t="n"/>
      <c r="D793" s="32" t="n"/>
      <c r="E793" s="32" t="n"/>
      <c r="F793" s="32" t="n"/>
      <c r="G793" s="32" t="n"/>
      <c r="H793" s="32" t="n"/>
      <c r="I793" s="32" t="n"/>
      <c r="J793" s="32" t="n"/>
      <c r="K793" s="32" t="n"/>
      <c r="L793" s="32" t="n"/>
      <c r="M793" s="32" t="n"/>
      <c r="N793" s="32" t="n"/>
      <c r="O793" s="32" t="n"/>
      <c r="P793" s="32" t="n"/>
      <c r="Q793" s="32" t="n"/>
      <c r="R793" s="32" t="n"/>
      <c r="S793" s="32" t="n"/>
      <c r="T793" s="32" t="n"/>
      <c r="U793" s="32" t="n"/>
      <c r="V793" s="32" t="n"/>
      <c r="W793" s="32" t="n"/>
      <c r="X793" s="32" t="n"/>
      <c r="Y793" s="32" t="n"/>
      <c r="Z793" s="32" t="n"/>
    </row>
    <row r="794">
      <c r="A794" s="32" t="n"/>
      <c r="B794" s="32" t="n"/>
      <c r="C794" s="32" t="n"/>
      <c r="D794" s="32" t="n"/>
      <c r="E794" s="32" t="n"/>
      <c r="F794" s="32" t="n"/>
      <c r="G794" s="32" t="n"/>
      <c r="H794" s="32" t="n"/>
      <c r="I794" s="32" t="n"/>
      <c r="J794" s="32" t="n"/>
      <c r="K794" s="32" t="n"/>
      <c r="L794" s="32" t="n"/>
      <c r="M794" s="32" t="n"/>
      <c r="N794" s="32" t="n"/>
      <c r="O794" s="32" t="n"/>
      <c r="P794" s="32" t="n"/>
      <c r="Q794" s="32" t="n"/>
      <c r="R794" s="32" t="n"/>
      <c r="S794" s="32" t="n"/>
      <c r="T794" s="32" t="n"/>
      <c r="U794" s="32" t="n"/>
      <c r="V794" s="32" t="n"/>
      <c r="W794" s="32" t="n"/>
      <c r="X794" s="32" t="n"/>
      <c r="Y794" s="32" t="n"/>
      <c r="Z794" s="32" t="n"/>
    </row>
    <row r="795">
      <c r="A795" s="32" t="n"/>
      <c r="B795" s="32" t="n"/>
      <c r="C795" s="32" t="n"/>
      <c r="D795" s="32" t="n"/>
      <c r="E795" s="32" t="n"/>
      <c r="F795" s="32" t="n"/>
      <c r="G795" s="32" t="n"/>
      <c r="H795" s="32" t="n"/>
      <c r="I795" s="32" t="n"/>
      <c r="J795" s="32" t="n"/>
      <c r="K795" s="32" t="n"/>
      <c r="L795" s="32" t="n"/>
      <c r="M795" s="32" t="n"/>
      <c r="N795" s="32" t="n"/>
      <c r="O795" s="32" t="n"/>
      <c r="P795" s="32" t="n"/>
      <c r="Q795" s="32" t="n"/>
      <c r="R795" s="32" t="n"/>
      <c r="S795" s="32" t="n"/>
      <c r="T795" s="32" t="n"/>
      <c r="U795" s="32" t="n"/>
      <c r="V795" s="32" t="n"/>
      <c r="W795" s="32" t="n"/>
      <c r="X795" s="32" t="n"/>
      <c r="Y795" s="32" t="n"/>
      <c r="Z795" s="32" t="n"/>
    </row>
    <row r="796">
      <c r="A796" s="32" t="n"/>
      <c r="B796" s="32" t="n"/>
      <c r="C796" s="32" t="n"/>
      <c r="D796" s="32" t="n"/>
      <c r="E796" s="32" t="n"/>
      <c r="F796" s="32" t="n"/>
      <c r="G796" s="32" t="n"/>
      <c r="H796" s="32" t="n"/>
      <c r="I796" s="32" t="n"/>
      <c r="J796" s="32" t="n"/>
      <c r="K796" s="32" t="n"/>
      <c r="L796" s="32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2" t="n"/>
      <c r="W796" s="32" t="n"/>
      <c r="X796" s="32" t="n"/>
      <c r="Y796" s="32" t="n"/>
      <c r="Z796" s="32" t="n"/>
    </row>
    <row r="797">
      <c r="A797" s="32" t="n"/>
      <c r="B797" s="32" t="n"/>
      <c r="C797" s="32" t="n"/>
      <c r="D797" s="32" t="n"/>
      <c r="E797" s="32" t="n"/>
      <c r="F797" s="32" t="n"/>
      <c r="G797" s="32" t="n"/>
      <c r="H797" s="32" t="n"/>
      <c r="I797" s="32" t="n"/>
      <c r="J797" s="32" t="n"/>
      <c r="K797" s="32" t="n"/>
      <c r="L797" s="32" t="n"/>
      <c r="M797" s="32" t="n"/>
      <c r="N797" s="32" t="n"/>
      <c r="O797" s="32" t="n"/>
      <c r="P797" s="32" t="n"/>
      <c r="Q797" s="32" t="n"/>
      <c r="R797" s="32" t="n"/>
      <c r="S797" s="32" t="n"/>
      <c r="T797" s="32" t="n"/>
      <c r="U797" s="32" t="n"/>
      <c r="V797" s="32" t="n"/>
      <c r="W797" s="32" t="n"/>
      <c r="X797" s="32" t="n"/>
      <c r="Y797" s="32" t="n"/>
      <c r="Z797" s="32" t="n"/>
    </row>
    <row r="798">
      <c r="A798" s="32" t="n"/>
      <c r="B798" s="32" t="n"/>
      <c r="C798" s="32" t="n"/>
      <c r="D798" s="32" t="n"/>
      <c r="E798" s="32" t="n"/>
      <c r="F798" s="32" t="n"/>
      <c r="G798" s="32" t="n"/>
      <c r="H798" s="32" t="n"/>
      <c r="I798" s="32" t="n"/>
      <c r="J798" s="32" t="n"/>
      <c r="K798" s="32" t="n"/>
      <c r="L798" s="32" t="n"/>
      <c r="M798" s="32" t="n"/>
      <c r="N798" s="32" t="n"/>
      <c r="O798" s="32" t="n"/>
      <c r="P798" s="32" t="n"/>
      <c r="Q798" s="32" t="n"/>
      <c r="R798" s="32" t="n"/>
      <c r="S798" s="32" t="n"/>
      <c r="T798" s="32" t="n"/>
      <c r="U798" s="32" t="n"/>
      <c r="V798" s="32" t="n"/>
      <c r="W798" s="32" t="n"/>
      <c r="X798" s="32" t="n"/>
      <c r="Y798" s="32" t="n"/>
      <c r="Z798" s="32" t="n"/>
    </row>
    <row r="799">
      <c r="A799" s="32" t="n"/>
      <c r="B799" s="32" t="n"/>
      <c r="C799" s="32" t="n"/>
      <c r="D799" s="32" t="n"/>
      <c r="E799" s="32" t="n"/>
      <c r="F799" s="32" t="n"/>
      <c r="G799" s="32" t="n"/>
      <c r="H799" s="32" t="n"/>
      <c r="I799" s="32" t="n"/>
      <c r="J799" s="32" t="n"/>
      <c r="K799" s="32" t="n"/>
      <c r="L799" s="32" t="n"/>
      <c r="M799" s="32" t="n"/>
      <c r="N799" s="32" t="n"/>
      <c r="O799" s="32" t="n"/>
      <c r="P799" s="32" t="n"/>
      <c r="Q799" s="32" t="n"/>
      <c r="R799" s="32" t="n"/>
      <c r="S799" s="32" t="n"/>
      <c r="T799" s="32" t="n"/>
      <c r="U799" s="32" t="n"/>
      <c r="V799" s="32" t="n"/>
      <c r="W799" s="32" t="n"/>
      <c r="X799" s="32" t="n"/>
      <c r="Y799" s="32" t="n"/>
      <c r="Z799" s="32" t="n"/>
    </row>
    <row r="800">
      <c r="A800" s="32" t="n"/>
      <c r="B800" s="32" t="n"/>
      <c r="C800" s="32" t="n"/>
      <c r="D800" s="32" t="n"/>
      <c r="E800" s="32" t="n"/>
      <c r="F800" s="32" t="n"/>
      <c r="G800" s="32" t="n"/>
      <c r="H800" s="32" t="n"/>
      <c r="I800" s="32" t="n"/>
      <c r="J800" s="32" t="n"/>
      <c r="K800" s="32" t="n"/>
      <c r="L800" s="32" t="n"/>
      <c r="M800" s="32" t="n"/>
      <c r="N800" s="32" t="n"/>
      <c r="O800" s="32" t="n"/>
      <c r="P800" s="32" t="n"/>
      <c r="Q800" s="32" t="n"/>
      <c r="R800" s="32" t="n"/>
      <c r="S800" s="32" t="n"/>
      <c r="T800" s="32" t="n"/>
      <c r="U800" s="32" t="n"/>
      <c r="V800" s="32" t="n"/>
      <c r="W800" s="32" t="n"/>
      <c r="X800" s="32" t="n"/>
      <c r="Y800" s="32" t="n"/>
      <c r="Z800" s="32" t="n"/>
    </row>
    <row r="801">
      <c r="A801" s="32" t="n"/>
      <c r="B801" s="32" t="n"/>
      <c r="C801" s="32" t="n"/>
      <c r="D801" s="32" t="n"/>
      <c r="E801" s="32" t="n"/>
      <c r="F801" s="32" t="n"/>
      <c r="G801" s="32" t="n"/>
      <c r="H801" s="32" t="n"/>
      <c r="I801" s="32" t="n"/>
      <c r="J801" s="32" t="n"/>
      <c r="K801" s="32" t="n"/>
      <c r="L801" s="32" t="n"/>
      <c r="M801" s="32" t="n"/>
      <c r="N801" s="32" t="n"/>
      <c r="O801" s="32" t="n"/>
      <c r="P801" s="32" t="n"/>
      <c r="Q801" s="32" t="n"/>
      <c r="R801" s="32" t="n"/>
      <c r="S801" s="32" t="n"/>
      <c r="T801" s="32" t="n"/>
      <c r="U801" s="32" t="n"/>
      <c r="V801" s="32" t="n"/>
      <c r="W801" s="32" t="n"/>
      <c r="X801" s="32" t="n"/>
      <c r="Y801" s="32" t="n"/>
      <c r="Z801" s="32" t="n"/>
    </row>
    <row r="802">
      <c r="A802" s="32" t="n"/>
      <c r="B802" s="32" t="n"/>
      <c r="C802" s="32" t="n"/>
      <c r="D802" s="32" t="n"/>
      <c r="E802" s="32" t="n"/>
      <c r="F802" s="32" t="n"/>
      <c r="G802" s="32" t="n"/>
      <c r="H802" s="32" t="n"/>
      <c r="I802" s="32" t="n"/>
      <c r="J802" s="32" t="n"/>
      <c r="K802" s="32" t="n"/>
      <c r="L802" s="32" t="n"/>
      <c r="M802" s="32" t="n"/>
      <c r="N802" s="32" t="n"/>
      <c r="O802" s="32" t="n"/>
      <c r="P802" s="32" t="n"/>
      <c r="Q802" s="32" t="n"/>
      <c r="R802" s="32" t="n"/>
      <c r="S802" s="32" t="n"/>
      <c r="T802" s="32" t="n"/>
      <c r="U802" s="32" t="n"/>
      <c r="V802" s="32" t="n"/>
      <c r="W802" s="32" t="n"/>
      <c r="X802" s="32" t="n"/>
      <c r="Y802" s="32" t="n"/>
      <c r="Z802" s="32" t="n"/>
    </row>
    <row r="803">
      <c r="A803" s="32" t="n"/>
      <c r="B803" s="32" t="n"/>
      <c r="C803" s="32" t="n"/>
      <c r="D803" s="32" t="n"/>
      <c r="E803" s="32" t="n"/>
      <c r="F803" s="32" t="n"/>
      <c r="G803" s="32" t="n"/>
      <c r="H803" s="32" t="n"/>
      <c r="I803" s="32" t="n"/>
      <c r="J803" s="32" t="n"/>
      <c r="K803" s="32" t="n"/>
      <c r="L803" s="32" t="n"/>
      <c r="M803" s="32" t="n"/>
      <c r="N803" s="32" t="n"/>
      <c r="O803" s="32" t="n"/>
      <c r="P803" s="32" t="n"/>
      <c r="Q803" s="32" t="n"/>
      <c r="R803" s="32" t="n"/>
      <c r="S803" s="32" t="n"/>
      <c r="T803" s="32" t="n"/>
      <c r="U803" s="32" t="n"/>
      <c r="V803" s="32" t="n"/>
      <c r="W803" s="32" t="n"/>
      <c r="X803" s="32" t="n"/>
      <c r="Y803" s="32" t="n"/>
      <c r="Z803" s="32" t="n"/>
    </row>
    <row r="804">
      <c r="A804" s="32" t="n"/>
      <c r="B804" s="32" t="n"/>
      <c r="C804" s="32" t="n"/>
      <c r="D804" s="32" t="n"/>
      <c r="E804" s="32" t="n"/>
      <c r="F804" s="32" t="n"/>
      <c r="G804" s="32" t="n"/>
      <c r="H804" s="32" t="n"/>
      <c r="I804" s="32" t="n"/>
      <c r="J804" s="32" t="n"/>
      <c r="K804" s="32" t="n"/>
      <c r="L804" s="32" t="n"/>
      <c r="M804" s="32" t="n"/>
      <c r="N804" s="32" t="n"/>
      <c r="O804" s="32" t="n"/>
      <c r="P804" s="32" t="n"/>
      <c r="Q804" s="32" t="n"/>
      <c r="R804" s="32" t="n"/>
      <c r="S804" s="32" t="n"/>
      <c r="T804" s="32" t="n"/>
      <c r="U804" s="32" t="n"/>
      <c r="V804" s="32" t="n"/>
      <c r="W804" s="32" t="n"/>
      <c r="X804" s="32" t="n"/>
      <c r="Y804" s="32" t="n"/>
      <c r="Z804" s="32" t="n"/>
    </row>
    <row r="805">
      <c r="A805" s="32" t="n"/>
      <c r="B805" s="32" t="n"/>
      <c r="C805" s="32" t="n"/>
      <c r="D805" s="32" t="n"/>
      <c r="E805" s="32" t="n"/>
      <c r="F805" s="32" t="n"/>
      <c r="G805" s="32" t="n"/>
      <c r="H805" s="32" t="n"/>
      <c r="I805" s="32" t="n"/>
      <c r="J805" s="32" t="n"/>
      <c r="K805" s="32" t="n"/>
      <c r="L805" s="32" t="n"/>
      <c r="M805" s="32" t="n"/>
      <c r="N805" s="32" t="n"/>
      <c r="O805" s="32" t="n"/>
      <c r="P805" s="32" t="n"/>
      <c r="Q805" s="32" t="n"/>
      <c r="R805" s="32" t="n"/>
      <c r="S805" s="32" t="n"/>
      <c r="T805" s="32" t="n"/>
      <c r="U805" s="32" t="n"/>
      <c r="V805" s="32" t="n"/>
      <c r="W805" s="32" t="n"/>
      <c r="X805" s="32" t="n"/>
      <c r="Y805" s="32" t="n"/>
      <c r="Z805" s="32" t="n"/>
    </row>
    <row r="806">
      <c r="A806" s="32" t="n"/>
      <c r="B806" s="32" t="n"/>
      <c r="C806" s="32" t="n"/>
      <c r="D806" s="32" t="n"/>
      <c r="E806" s="32" t="n"/>
      <c r="F806" s="32" t="n"/>
      <c r="G806" s="32" t="n"/>
      <c r="H806" s="32" t="n"/>
      <c r="I806" s="32" t="n"/>
      <c r="J806" s="32" t="n"/>
      <c r="K806" s="32" t="n"/>
      <c r="L806" s="32" t="n"/>
      <c r="M806" s="32" t="n"/>
      <c r="N806" s="32" t="n"/>
      <c r="O806" s="32" t="n"/>
      <c r="P806" s="32" t="n"/>
      <c r="Q806" s="32" t="n"/>
      <c r="R806" s="32" t="n"/>
      <c r="S806" s="32" t="n"/>
      <c r="T806" s="32" t="n"/>
      <c r="U806" s="32" t="n"/>
      <c r="V806" s="32" t="n"/>
      <c r="W806" s="32" t="n"/>
      <c r="X806" s="32" t="n"/>
      <c r="Y806" s="32" t="n"/>
      <c r="Z806" s="32" t="n"/>
    </row>
    <row r="807">
      <c r="A807" s="32" t="n"/>
      <c r="B807" s="32" t="n"/>
      <c r="C807" s="32" t="n"/>
      <c r="D807" s="32" t="n"/>
      <c r="E807" s="32" t="n"/>
      <c r="F807" s="32" t="n"/>
      <c r="G807" s="32" t="n"/>
      <c r="H807" s="32" t="n"/>
      <c r="I807" s="32" t="n"/>
      <c r="J807" s="32" t="n"/>
      <c r="K807" s="32" t="n"/>
      <c r="L807" s="32" t="n"/>
      <c r="M807" s="32" t="n"/>
      <c r="N807" s="32" t="n"/>
      <c r="O807" s="32" t="n"/>
      <c r="P807" s="32" t="n"/>
      <c r="Q807" s="32" t="n"/>
      <c r="R807" s="32" t="n"/>
      <c r="S807" s="32" t="n"/>
      <c r="T807" s="32" t="n"/>
      <c r="U807" s="32" t="n"/>
      <c r="V807" s="32" t="n"/>
      <c r="W807" s="32" t="n"/>
      <c r="X807" s="32" t="n"/>
      <c r="Y807" s="32" t="n"/>
      <c r="Z807" s="32" t="n"/>
    </row>
    <row r="808">
      <c r="A808" s="32" t="n"/>
      <c r="B808" s="32" t="n"/>
      <c r="C808" s="32" t="n"/>
      <c r="D808" s="32" t="n"/>
      <c r="E808" s="32" t="n"/>
      <c r="F808" s="32" t="n"/>
      <c r="G808" s="32" t="n"/>
      <c r="H808" s="32" t="n"/>
      <c r="I808" s="32" t="n"/>
      <c r="J808" s="32" t="n"/>
      <c r="K808" s="32" t="n"/>
      <c r="L808" s="32" t="n"/>
      <c r="M808" s="32" t="n"/>
      <c r="N808" s="32" t="n"/>
      <c r="O808" s="32" t="n"/>
      <c r="P808" s="32" t="n"/>
      <c r="Q808" s="32" t="n"/>
      <c r="R808" s="32" t="n"/>
      <c r="S808" s="32" t="n"/>
      <c r="T808" s="32" t="n"/>
      <c r="U808" s="32" t="n"/>
      <c r="V808" s="32" t="n"/>
      <c r="W808" s="32" t="n"/>
      <c r="X808" s="32" t="n"/>
      <c r="Y808" s="32" t="n"/>
      <c r="Z808" s="32" t="n"/>
    </row>
    <row r="809">
      <c r="A809" s="32" t="n"/>
      <c r="B809" s="32" t="n"/>
      <c r="C809" s="32" t="n"/>
      <c r="D809" s="32" t="n"/>
      <c r="E809" s="32" t="n"/>
      <c r="F809" s="32" t="n"/>
      <c r="G809" s="32" t="n"/>
      <c r="H809" s="32" t="n"/>
      <c r="I809" s="32" t="n"/>
      <c r="J809" s="32" t="n"/>
      <c r="K809" s="32" t="n"/>
      <c r="L809" s="32" t="n"/>
      <c r="M809" s="32" t="n"/>
      <c r="N809" s="32" t="n"/>
      <c r="O809" s="32" t="n"/>
      <c r="P809" s="32" t="n"/>
      <c r="Q809" s="32" t="n"/>
      <c r="R809" s="32" t="n"/>
      <c r="S809" s="32" t="n"/>
      <c r="T809" s="32" t="n"/>
      <c r="U809" s="32" t="n"/>
      <c r="V809" s="32" t="n"/>
      <c r="W809" s="32" t="n"/>
      <c r="X809" s="32" t="n"/>
      <c r="Y809" s="32" t="n"/>
      <c r="Z809" s="32" t="n"/>
    </row>
    <row r="810">
      <c r="A810" s="32" t="n"/>
      <c r="B810" s="32" t="n"/>
      <c r="C810" s="32" t="n"/>
      <c r="D810" s="32" t="n"/>
      <c r="E810" s="32" t="n"/>
      <c r="F810" s="32" t="n"/>
      <c r="G810" s="32" t="n"/>
      <c r="H810" s="32" t="n"/>
      <c r="I810" s="32" t="n"/>
      <c r="J810" s="32" t="n"/>
      <c r="K810" s="32" t="n"/>
      <c r="L810" s="32" t="n"/>
      <c r="M810" s="32" t="n"/>
      <c r="N810" s="32" t="n"/>
      <c r="O810" s="32" t="n"/>
      <c r="P810" s="32" t="n"/>
      <c r="Q810" s="32" t="n"/>
      <c r="R810" s="32" t="n"/>
      <c r="S810" s="32" t="n"/>
      <c r="T810" s="32" t="n"/>
      <c r="U810" s="32" t="n"/>
      <c r="V810" s="32" t="n"/>
      <c r="W810" s="32" t="n"/>
      <c r="X810" s="32" t="n"/>
      <c r="Y810" s="32" t="n"/>
      <c r="Z810" s="32" t="n"/>
    </row>
    <row r="811">
      <c r="A811" s="32" t="n"/>
      <c r="B811" s="32" t="n"/>
      <c r="C811" s="32" t="n"/>
      <c r="D811" s="32" t="n"/>
      <c r="E811" s="32" t="n"/>
      <c r="F811" s="32" t="n"/>
      <c r="G811" s="32" t="n"/>
      <c r="H811" s="32" t="n"/>
      <c r="I811" s="32" t="n"/>
      <c r="J811" s="32" t="n"/>
      <c r="K811" s="32" t="n"/>
      <c r="L811" s="32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2" t="n"/>
      <c r="W811" s="32" t="n"/>
      <c r="X811" s="32" t="n"/>
      <c r="Y811" s="32" t="n"/>
      <c r="Z811" s="32" t="n"/>
    </row>
    <row r="812">
      <c r="A812" s="32" t="n"/>
      <c r="B812" s="32" t="n"/>
      <c r="C812" s="32" t="n"/>
      <c r="D812" s="32" t="n"/>
      <c r="E812" s="32" t="n"/>
      <c r="F812" s="32" t="n"/>
      <c r="G812" s="32" t="n"/>
      <c r="H812" s="32" t="n"/>
      <c r="I812" s="32" t="n"/>
      <c r="J812" s="32" t="n"/>
      <c r="K812" s="32" t="n"/>
      <c r="L812" s="32" t="n"/>
      <c r="M812" s="32" t="n"/>
      <c r="N812" s="32" t="n"/>
      <c r="O812" s="32" t="n"/>
      <c r="P812" s="32" t="n"/>
      <c r="Q812" s="32" t="n"/>
      <c r="R812" s="32" t="n"/>
      <c r="S812" s="32" t="n"/>
      <c r="T812" s="32" t="n"/>
      <c r="U812" s="32" t="n"/>
      <c r="V812" s="32" t="n"/>
      <c r="W812" s="32" t="n"/>
      <c r="X812" s="32" t="n"/>
      <c r="Y812" s="32" t="n"/>
      <c r="Z812" s="32" t="n"/>
    </row>
    <row r="813">
      <c r="A813" s="32" t="n"/>
      <c r="B813" s="32" t="n"/>
      <c r="C813" s="32" t="n"/>
      <c r="D813" s="32" t="n"/>
      <c r="E813" s="32" t="n"/>
      <c r="F813" s="32" t="n"/>
      <c r="G813" s="32" t="n"/>
      <c r="H813" s="32" t="n"/>
      <c r="I813" s="32" t="n"/>
      <c r="J813" s="32" t="n"/>
      <c r="K813" s="32" t="n"/>
      <c r="L813" s="32" t="n"/>
      <c r="M813" s="32" t="n"/>
      <c r="N813" s="32" t="n"/>
      <c r="O813" s="32" t="n"/>
      <c r="P813" s="32" t="n"/>
      <c r="Q813" s="32" t="n"/>
      <c r="R813" s="32" t="n"/>
      <c r="S813" s="32" t="n"/>
      <c r="T813" s="32" t="n"/>
      <c r="U813" s="32" t="n"/>
      <c r="V813" s="32" t="n"/>
      <c r="W813" s="32" t="n"/>
      <c r="X813" s="32" t="n"/>
      <c r="Y813" s="32" t="n"/>
      <c r="Z813" s="32" t="n"/>
    </row>
    <row r="814">
      <c r="A814" s="32" t="n"/>
      <c r="B814" s="32" t="n"/>
      <c r="C814" s="32" t="n"/>
      <c r="D814" s="32" t="n"/>
      <c r="E814" s="32" t="n"/>
      <c r="F814" s="32" t="n"/>
      <c r="G814" s="32" t="n"/>
      <c r="H814" s="32" t="n"/>
      <c r="I814" s="32" t="n"/>
      <c r="J814" s="32" t="n"/>
      <c r="K814" s="32" t="n"/>
      <c r="L814" s="32" t="n"/>
      <c r="M814" s="32" t="n"/>
      <c r="N814" s="32" t="n"/>
      <c r="O814" s="32" t="n"/>
      <c r="P814" s="32" t="n"/>
      <c r="Q814" s="32" t="n"/>
      <c r="R814" s="32" t="n"/>
      <c r="S814" s="32" t="n"/>
      <c r="T814" s="32" t="n"/>
      <c r="U814" s="32" t="n"/>
      <c r="V814" s="32" t="n"/>
      <c r="W814" s="32" t="n"/>
      <c r="X814" s="32" t="n"/>
      <c r="Y814" s="32" t="n"/>
      <c r="Z814" s="32" t="n"/>
    </row>
    <row r="815">
      <c r="A815" s="32" t="n"/>
      <c r="B815" s="32" t="n"/>
      <c r="C815" s="32" t="n"/>
      <c r="D815" s="32" t="n"/>
      <c r="E815" s="32" t="n"/>
      <c r="F815" s="32" t="n"/>
      <c r="G815" s="32" t="n"/>
      <c r="H815" s="32" t="n"/>
      <c r="I815" s="32" t="n"/>
      <c r="J815" s="32" t="n"/>
      <c r="K815" s="32" t="n"/>
      <c r="L815" s="32" t="n"/>
      <c r="M815" s="32" t="n"/>
      <c r="N815" s="32" t="n"/>
      <c r="O815" s="32" t="n"/>
      <c r="P815" s="32" t="n"/>
      <c r="Q815" s="32" t="n"/>
      <c r="R815" s="32" t="n"/>
      <c r="S815" s="32" t="n"/>
      <c r="T815" s="32" t="n"/>
      <c r="U815" s="32" t="n"/>
      <c r="V815" s="32" t="n"/>
      <c r="W815" s="32" t="n"/>
      <c r="X815" s="32" t="n"/>
      <c r="Y815" s="32" t="n"/>
      <c r="Z815" s="32" t="n"/>
    </row>
    <row r="816">
      <c r="A816" s="32" t="n"/>
      <c r="B816" s="32" t="n"/>
      <c r="C816" s="32" t="n"/>
      <c r="D816" s="32" t="n"/>
      <c r="E816" s="32" t="n"/>
      <c r="F816" s="32" t="n"/>
      <c r="G816" s="32" t="n"/>
      <c r="H816" s="32" t="n"/>
      <c r="I816" s="32" t="n"/>
      <c r="J816" s="32" t="n"/>
      <c r="K816" s="32" t="n"/>
      <c r="L816" s="32" t="n"/>
      <c r="M816" s="32" t="n"/>
      <c r="N816" s="32" t="n"/>
      <c r="O816" s="32" t="n"/>
      <c r="P816" s="32" t="n"/>
      <c r="Q816" s="32" t="n"/>
      <c r="R816" s="32" t="n"/>
      <c r="S816" s="32" t="n"/>
      <c r="T816" s="32" t="n"/>
      <c r="U816" s="32" t="n"/>
      <c r="V816" s="32" t="n"/>
      <c r="W816" s="32" t="n"/>
      <c r="X816" s="32" t="n"/>
      <c r="Y816" s="32" t="n"/>
      <c r="Z816" s="32" t="n"/>
    </row>
    <row r="817">
      <c r="A817" s="32" t="n"/>
      <c r="B817" s="32" t="n"/>
      <c r="C817" s="32" t="n"/>
      <c r="D817" s="32" t="n"/>
      <c r="E817" s="32" t="n"/>
      <c r="F817" s="32" t="n"/>
      <c r="G817" s="32" t="n"/>
      <c r="H817" s="32" t="n"/>
      <c r="I817" s="32" t="n"/>
      <c r="J817" s="32" t="n"/>
      <c r="K817" s="32" t="n"/>
      <c r="L817" s="32" t="n"/>
      <c r="M817" s="32" t="n"/>
      <c r="N817" s="32" t="n"/>
      <c r="O817" s="32" t="n"/>
      <c r="P817" s="32" t="n"/>
      <c r="Q817" s="32" t="n"/>
      <c r="R817" s="32" t="n"/>
      <c r="S817" s="32" t="n"/>
      <c r="T817" s="32" t="n"/>
      <c r="U817" s="32" t="n"/>
      <c r="V817" s="32" t="n"/>
      <c r="W817" s="32" t="n"/>
      <c r="X817" s="32" t="n"/>
      <c r="Y817" s="32" t="n"/>
      <c r="Z817" s="32" t="n"/>
    </row>
    <row r="818">
      <c r="A818" s="32" t="n"/>
      <c r="B818" s="32" t="n"/>
      <c r="C818" s="32" t="n"/>
      <c r="D818" s="32" t="n"/>
      <c r="E818" s="32" t="n"/>
      <c r="F818" s="32" t="n"/>
      <c r="G818" s="32" t="n"/>
      <c r="H818" s="32" t="n"/>
      <c r="I818" s="32" t="n"/>
      <c r="J818" s="32" t="n"/>
      <c r="K818" s="32" t="n"/>
      <c r="L818" s="32" t="n"/>
      <c r="M818" s="32" t="n"/>
      <c r="N818" s="32" t="n"/>
      <c r="O818" s="32" t="n"/>
      <c r="P818" s="32" t="n"/>
      <c r="Q818" s="32" t="n"/>
      <c r="R818" s="32" t="n"/>
      <c r="S818" s="32" t="n"/>
      <c r="T818" s="32" t="n"/>
      <c r="U818" s="32" t="n"/>
      <c r="V818" s="32" t="n"/>
      <c r="W818" s="32" t="n"/>
      <c r="X818" s="32" t="n"/>
      <c r="Y818" s="32" t="n"/>
      <c r="Z818" s="32" t="n"/>
    </row>
    <row r="819">
      <c r="A819" s="32" t="n"/>
      <c r="B819" s="32" t="n"/>
      <c r="C819" s="32" t="n"/>
      <c r="D819" s="32" t="n"/>
      <c r="E819" s="32" t="n"/>
      <c r="F819" s="32" t="n"/>
      <c r="G819" s="32" t="n"/>
      <c r="H819" s="32" t="n"/>
      <c r="I819" s="32" t="n"/>
      <c r="J819" s="32" t="n"/>
      <c r="K819" s="32" t="n"/>
      <c r="L819" s="32" t="n"/>
      <c r="M819" s="32" t="n"/>
      <c r="N819" s="32" t="n"/>
      <c r="O819" s="32" t="n"/>
      <c r="P819" s="32" t="n"/>
      <c r="Q819" s="32" t="n"/>
      <c r="R819" s="32" t="n"/>
      <c r="S819" s="32" t="n"/>
      <c r="T819" s="32" t="n"/>
      <c r="U819" s="32" t="n"/>
      <c r="V819" s="32" t="n"/>
      <c r="W819" s="32" t="n"/>
      <c r="X819" s="32" t="n"/>
      <c r="Y819" s="32" t="n"/>
      <c r="Z819" s="32" t="n"/>
    </row>
    <row r="820">
      <c r="A820" s="32" t="n"/>
      <c r="B820" s="32" t="n"/>
      <c r="C820" s="32" t="n"/>
      <c r="D820" s="32" t="n"/>
      <c r="E820" s="32" t="n"/>
      <c r="F820" s="32" t="n"/>
      <c r="G820" s="32" t="n"/>
      <c r="H820" s="32" t="n"/>
      <c r="I820" s="32" t="n"/>
      <c r="J820" s="32" t="n"/>
      <c r="K820" s="32" t="n"/>
      <c r="L820" s="32" t="n"/>
      <c r="M820" s="32" t="n"/>
      <c r="N820" s="32" t="n"/>
      <c r="O820" s="32" t="n"/>
      <c r="P820" s="32" t="n"/>
      <c r="Q820" s="32" t="n"/>
      <c r="R820" s="32" t="n"/>
      <c r="S820" s="32" t="n"/>
      <c r="T820" s="32" t="n"/>
      <c r="U820" s="32" t="n"/>
      <c r="V820" s="32" t="n"/>
      <c r="W820" s="32" t="n"/>
      <c r="X820" s="32" t="n"/>
      <c r="Y820" s="32" t="n"/>
      <c r="Z820" s="32" t="n"/>
    </row>
    <row r="821">
      <c r="A821" s="32" t="n"/>
      <c r="B821" s="32" t="n"/>
      <c r="C821" s="32" t="n"/>
      <c r="D821" s="32" t="n"/>
      <c r="E821" s="32" t="n"/>
      <c r="F821" s="32" t="n"/>
      <c r="G821" s="32" t="n"/>
      <c r="H821" s="32" t="n"/>
      <c r="I821" s="32" t="n"/>
      <c r="J821" s="32" t="n"/>
      <c r="K821" s="32" t="n"/>
      <c r="L821" s="32" t="n"/>
      <c r="M821" s="32" t="n"/>
      <c r="N821" s="32" t="n"/>
      <c r="O821" s="32" t="n"/>
      <c r="P821" s="32" t="n"/>
      <c r="Q821" s="32" t="n"/>
      <c r="R821" s="32" t="n"/>
      <c r="S821" s="32" t="n"/>
      <c r="T821" s="32" t="n"/>
      <c r="U821" s="32" t="n"/>
      <c r="V821" s="32" t="n"/>
      <c r="W821" s="32" t="n"/>
      <c r="X821" s="32" t="n"/>
      <c r="Y821" s="32" t="n"/>
      <c r="Z821" s="32" t="n"/>
    </row>
    <row r="822">
      <c r="A822" s="32" t="n"/>
      <c r="B822" s="32" t="n"/>
      <c r="C822" s="32" t="n"/>
      <c r="D822" s="32" t="n"/>
      <c r="E822" s="32" t="n"/>
      <c r="F822" s="32" t="n"/>
      <c r="G822" s="32" t="n"/>
      <c r="H822" s="32" t="n"/>
      <c r="I822" s="32" t="n"/>
      <c r="J822" s="32" t="n"/>
      <c r="K822" s="32" t="n"/>
      <c r="L822" s="32" t="n"/>
      <c r="M822" s="32" t="n"/>
      <c r="N822" s="32" t="n"/>
      <c r="O822" s="32" t="n"/>
      <c r="P822" s="32" t="n"/>
      <c r="Q822" s="32" t="n"/>
      <c r="R822" s="32" t="n"/>
      <c r="S822" s="32" t="n"/>
      <c r="T822" s="32" t="n"/>
      <c r="U822" s="32" t="n"/>
      <c r="V822" s="32" t="n"/>
      <c r="W822" s="32" t="n"/>
      <c r="X822" s="32" t="n"/>
      <c r="Y822" s="32" t="n"/>
      <c r="Z822" s="32" t="n"/>
    </row>
    <row r="823">
      <c r="A823" s="32" t="n"/>
      <c r="B823" s="32" t="n"/>
      <c r="C823" s="32" t="n"/>
      <c r="D823" s="32" t="n"/>
      <c r="E823" s="32" t="n"/>
      <c r="F823" s="32" t="n"/>
      <c r="G823" s="32" t="n"/>
      <c r="H823" s="32" t="n"/>
      <c r="I823" s="32" t="n"/>
      <c r="J823" s="32" t="n"/>
      <c r="K823" s="32" t="n"/>
      <c r="L823" s="32" t="n"/>
      <c r="M823" s="32" t="n"/>
      <c r="N823" s="32" t="n"/>
      <c r="O823" s="32" t="n"/>
      <c r="P823" s="32" t="n"/>
      <c r="Q823" s="32" t="n"/>
      <c r="R823" s="32" t="n"/>
      <c r="S823" s="32" t="n"/>
      <c r="T823" s="32" t="n"/>
      <c r="U823" s="32" t="n"/>
      <c r="V823" s="32" t="n"/>
      <c r="W823" s="32" t="n"/>
      <c r="X823" s="32" t="n"/>
      <c r="Y823" s="32" t="n"/>
      <c r="Z823" s="32" t="n"/>
    </row>
    <row r="824">
      <c r="A824" s="32" t="n"/>
      <c r="B824" s="32" t="n"/>
      <c r="C824" s="32" t="n"/>
      <c r="D824" s="32" t="n"/>
      <c r="E824" s="32" t="n"/>
      <c r="F824" s="32" t="n"/>
      <c r="G824" s="32" t="n"/>
      <c r="H824" s="32" t="n"/>
      <c r="I824" s="32" t="n"/>
      <c r="J824" s="32" t="n"/>
      <c r="K824" s="32" t="n"/>
      <c r="L824" s="32" t="n"/>
      <c r="M824" s="32" t="n"/>
      <c r="N824" s="32" t="n"/>
      <c r="O824" s="32" t="n"/>
      <c r="P824" s="32" t="n"/>
      <c r="Q824" s="32" t="n"/>
      <c r="R824" s="32" t="n"/>
      <c r="S824" s="32" t="n"/>
      <c r="T824" s="32" t="n"/>
      <c r="U824" s="32" t="n"/>
      <c r="V824" s="32" t="n"/>
      <c r="W824" s="32" t="n"/>
      <c r="X824" s="32" t="n"/>
      <c r="Y824" s="32" t="n"/>
      <c r="Z824" s="32" t="n"/>
    </row>
    <row r="825">
      <c r="A825" s="32" t="n"/>
      <c r="B825" s="32" t="n"/>
      <c r="C825" s="32" t="n"/>
      <c r="D825" s="32" t="n"/>
      <c r="E825" s="32" t="n"/>
      <c r="F825" s="32" t="n"/>
      <c r="G825" s="32" t="n"/>
      <c r="H825" s="32" t="n"/>
      <c r="I825" s="32" t="n"/>
      <c r="J825" s="32" t="n"/>
      <c r="K825" s="32" t="n"/>
      <c r="L825" s="32" t="n"/>
      <c r="M825" s="32" t="n"/>
      <c r="N825" s="32" t="n"/>
      <c r="O825" s="32" t="n"/>
      <c r="P825" s="32" t="n"/>
      <c r="Q825" s="32" t="n"/>
      <c r="R825" s="32" t="n"/>
      <c r="S825" s="32" t="n"/>
      <c r="T825" s="32" t="n"/>
      <c r="U825" s="32" t="n"/>
      <c r="V825" s="32" t="n"/>
      <c r="W825" s="32" t="n"/>
      <c r="X825" s="32" t="n"/>
      <c r="Y825" s="32" t="n"/>
      <c r="Z825" s="32" t="n"/>
    </row>
    <row r="826">
      <c r="A826" s="32" t="n"/>
      <c r="B826" s="32" t="n"/>
      <c r="C826" s="32" t="n"/>
      <c r="D826" s="32" t="n"/>
      <c r="E826" s="32" t="n"/>
      <c r="F826" s="32" t="n"/>
      <c r="G826" s="32" t="n"/>
      <c r="H826" s="32" t="n"/>
      <c r="I826" s="32" t="n"/>
      <c r="J826" s="32" t="n"/>
      <c r="K826" s="32" t="n"/>
      <c r="L826" s="32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2" t="n"/>
      <c r="W826" s="32" t="n"/>
      <c r="X826" s="32" t="n"/>
      <c r="Y826" s="32" t="n"/>
      <c r="Z826" s="32" t="n"/>
    </row>
    <row r="827">
      <c r="A827" s="32" t="n"/>
      <c r="B827" s="32" t="n"/>
      <c r="C827" s="32" t="n"/>
      <c r="D827" s="32" t="n"/>
      <c r="E827" s="32" t="n"/>
      <c r="F827" s="32" t="n"/>
      <c r="G827" s="32" t="n"/>
      <c r="H827" s="32" t="n"/>
      <c r="I827" s="32" t="n"/>
      <c r="J827" s="32" t="n"/>
      <c r="K827" s="32" t="n"/>
      <c r="L827" s="32" t="n"/>
      <c r="M827" s="32" t="n"/>
      <c r="N827" s="32" t="n"/>
      <c r="O827" s="32" t="n"/>
      <c r="P827" s="32" t="n"/>
      <c r="Q827" s="32" t="n"/>
      <c r="R827" s="32" t="n"/>
      <c r="S827" s="32" t="n"/>
      <c r="T827" s="32" t="n"/>
      <c r="U827" s="32" t="n"/>
      <c r="V827" s="32" t="n"/>
      <c r="W827" s="32" t="n"/>
      <c r="X827" s="32" t="n"/>
      <c r="Y827" s="32" t="n"/>
      <c r="Z827" s="32" t="n"/>
    </row>
    <row r="828">
      <c r="A828" s="32" t="n"/>
      <c r="B828" s="32" t="n"/>
      <c r="C828" s="32" t="n"/>
      <c r="D828" s="32" t="n"/>
      <c r="E828" s="32" t="n"/>
      <c r="F828" s="32" t="n"/>
      <c r="G828" s="32" t="n"/>
      <c r="H828" s="32" t="n"/>
      <c r="I828" s="32" t="n"/>
      <c r="J828" s="32" t="n"/>
      <c r="K828" s="32" t="n"/>
      <c r="L828" s="32" t="n"/>
      <c r="M828" s="32" t="n"/>
      <c r="N828" s="32" t="n"/>
      <c r="O828" s="32" t="n"/>
      <c r="P828" s="32" t="n"/>
      <c r="Q828" s="32" t="n"/>
      <c r="R828" s="32" t="n"/>
      <c r="S828" s="32" t="n"/>
      <c r="T828" s="32" t="n"/>
      <c r="U828" s="32" t="n"/>
      <c r="V828" s="32" t="n"/>
      <c r="W828" s="32" t="n"/>
      <c r="X828" s="32" t="n"/>
      <c r="Y828" s="32" t="n"/>
      <c r="Z828" s="32" t="n"/>
    </row>
    <row r="829">
      <c r="A829" s="32" t="n"/>
      <c r="B829" s="32" t="n"/>
      <c r="C829" s="32" t="n"/>
      <c r="D829" s="32" t="n"/>
      <c r="E829" s="32" t="n"/>
      <c r="F829" s="32" t="n"/>
      <c r="G829" s="32" t="n"/>
      <c r="H829" s="32" t="n"/>
      <c r="I829" s="32" t="n"/>
      <c r="J829" s="32" t="n"/>
      <c r="K829" s="32" t="n"/>
      <c r="L829" s="32" t="n"/>
      <c r="M829" s="32" t="n"/>
      <c r="N829" s="32" t="n"/>
      <c r="O829" s="32" t="n"/>
      <c r="P829" s="32" t="n"/>
      <c r="Q829" s="32" t="n"/>
      <c r="R829" s="32" t="n"/>
      <c r="S829" s="32" t="n"/>
      <c r="T829" s="32" t="n"/>
      <c r="U829" s="32" t="n"/>
      <c r="V829" s="32" t="n"/>
      <c r="W829" s="32" t="n"/>
      <c r="X829" s="32" t="n"/>
      <c r="Y829" s="32" t="n"/>
      <c r="Z829" s="32" t="n"/>
    </row>
    <row r="830">
      <c r="A830" s="32" t="n"/>
      <c r="B830" s="32" t="n"/>
      <c r="C830" s="32" t="n"/>
      <c r="D830" s="32" t="n"/>
      <c r="E830" s="32" t="n"/>
      <c r="F830" s="32" t="n"/>
      <c r="G830" s="32" t="n"/>
      <c r="H830" s="32" t="n"/>
      <c r="I830" s="32" t="n"/>
      <c r="J830" s="32" t="n"/>
      <c r="K830" s="32" t="n"/>
      <c r="L830" s="32" t="n"/>
      <c r="M830" s="32" t="n"/>
      <c r="N830" s="32" t="n"/>
      <c r="O830" s="32" t="n"/>
      <c r="P830" s="32" t="n"/>
      <c r="Q830" s="32" t="n"/>
      <c r="R830" s="32" t="n"/>
      <c r="S830" s="32" t="n"/>
      <c r="T830" s="32" t="n"/>
      <c r="U830" s="32" t="n"/>
      <c r="V830" s="32" t="n"/>
      <c r="W830" s="32" t="n"/>
      <c r="X830" s="32" t="n"/>
      <c r="Y830" s="32" t="n"/>
      <c r="Z830" s="32" t="n"/>
    </row>
    <row r="831">
      <c r="A831" s="32" t="n"/>
      <c r="B831" s="32" t="n"/>
      <c r="C831" s="32" t="n"/>
      <c r="D831" s="32" t="n"/>
      <c r="E831" s="32" t="n"/>
      <c r="F831" s="32" t="n"/>
      <c r="G831" s="32" t="n"/>
      <c r="H831" s="32" t="n"/>
      <c r="I831" s="32" t="n"/>
      <c r="J831" s="32" t="n"/>
      <c r="K831" s="32" t="n"/>
      <c r="L831" s="32" t="n"/>
      <c r="M831" s="32" t="n"/>
      <c r="N831" s="32" t="n"/>
      <c r="O831" s="32" t="n"/>
      <c r="P831" s="32" t="n"/>
      <c r="Q831" s="32" t="n"/>
      <c r="R831" s="32" t="n"/>
      <c r="S831" s="32" t="n"/>
      <c r="T831" s="32" t="n"/>
      <c r="U831" s="32" t="n"/>
      <c r="V831" s="32" t="n"/>
      <c r="W831" s="32" t="n"/>
      <c r="X831" s="32" t="n"/>
      <c r="Y831" s="32" t="n"/>
      <c r="Z831" s="32" t="n"/>
    </row>
    <row r="832">
      <c r="A832" s="32" t="n"/>
      <c r="B832" s="32" t="n"/>
      <c r="C832" s="32" t="n"/>
      <c r="D832" s="32" t="n"/>
      <c r="E832" s="32" t="n"/>
      <c r="F832" s="32" t="n"/>
      <c r="G832" s="32" t="n"/>
      <c r="H832" s="32" t="n"/>
      <c r="I832" s="32" t="n"/>
      <c r="J832" s="32" t="n"/>
      <c r="K832" s="32" t="n"/>
      <c r="L832" s="32" t="n"/>
      <c r="M832" s="32" t="n"/>
      <c r="N832" s="32" t="n"/>
      <c r="O832" s="32" t="n"/>
      <c r="P832" s="32" t="n"/>
      <c r="Q832" s="32" t="n"/>
      <c r="R832" s="32" t="n"/>
      <c r="S832" s="32" t="n"/>
      <c r="T832" s="32" t="n"/>
      <c r="U832" s="32" t="n"/>
      <c r="V832" s="32" t="n"/>
      <c r="W832" s="32" t="n"/>
      <c r="X832" s="32" t="n"/>
      <c r="Y832" s="32" t="n"/>
      <c r="Z832" s="32" t="n"/>
    </row>
    <row r="833">
      <c r="A833" s="32" t="n"/>
      <c r="B833" s="32" t="n"/>
      <c r="C833" s="32" t="n"/>
      <c r="D833" s="32" t="n"/>
      <c r="E833" s="32" t="n"/>
      <c r="F833" s="32" t="n"/>
      <c r="G833" s="32" t="n"/>
      <c r="H833" s="32" t="n"/>
      <c r="I833" s="32" t="n"/>
      <c r="J833" s="32" t="n"/>
      <c r="K833" s="32" t="n"/>
      <c r="L833" s="32" t="n"/>
      <c r="M833" s="32" t="n"/>
      <c r="N833" s="32" t="n"/>
      <c r="O833" s="32" t="n"/>
      <c r="P833" s="32" t="n"/>
      <c r="Q833" s="32" t="n"/>
      <c r="R833" s="32" t="n"/>
      <c r="S833" s="32" t="n"/>
      <c r="T833" s="32" t="n"/>
      <c r="U833" s="32" t="n"/>
      <c r="V833" s="32" t="n"/>
      <c r="W833" s="32" t="n"/>
      <c r="X833" s="32" t="n"/>
      <c r="Y833" s="32" t="n"/>
      <c r="Z833" s="32" t="n"/>
    </row>
    <row r="834">
      <c r="A834" s="32" t="n"/>
      <c r="B834" s="32" t="n"/>
      <c r="C834" s="32" t="n"/>
      <c r="D834" s="32" t="n"/>
      <c r="E834" s="32" t="n"/>
      <c r="F834" s="32" t="n"/>
      <c r="G834" s="32" t="n"/>
      <c r="H834" s="32" t="n"/>
      <c r="I834" s="32" t="n"/>
      <c r="J834" s="32" t="n"/>
      <c r="K834" s="32" t="n"/>
      <c r="L834" s="32" t="n"/>
      <c r="M834" s="32" t="n"/>
      <c r="N834" s="32" t="n"/>
      <c r="O834" s="32" t="n"/>
      <c r="P834" s="32" t="n"/>
      <c r="Q834" s="32" t="n"/>
      <c r="R834" s="32" t="n"/>
      <c r="S834" s="32" t="n"/>
      <c r="T834" s="32" t="n"/>
      <c r="U834" s="32" t="n"/>
      <c r="V834" s="32" t="n"/>
      <c r="W834" s="32" t="n"/>
      <c r="X834" s="32" t="n"/>
      <c r="Y834" s="32" t="n"/>
      <c r="Z834" s="32" t="n"/>
    </row>
    <row r="835">
      <c r="A835" s="32" t="n"/>
      <c r="B835" s="32" t="n"/>
      <c r="C835" s="32" t="n"/>
      <c r="D835" s="32" t="n"/>
      <c r="E835" s="32" t="n"/>
      <c r="F835" s="32" t="n"/>
      <c r="G835" s="32" t="n"/>
      <c r="H835" s="32" t="n"/>
      <c r="I835" s="32" t="n"/>
      <c r="J835" s="32" t="n"/>
      <c r="K835" s="32" t="n"/>
      <c r="L835" s="32" t="n"/>
      <c r="M835" s="32" t="n"/>
      <c r="N835" s="32" t="n"/>
      <c r="O835" s="32" t="n"/>
      <c r="P835" s="32" t="n"/>
      <c r="Q835" s="32" t="n"/>
      <c r="R835" s="32" t="n"/>
      <c r="S835" s="32" t="n"/>
      <c r="T835" s="32" t="n"/>
      <c r="U835" s="32" t="n"/>
      <c r="V835" s="32" t="n"/>
      <c r="W835" s="32" t="n"/>
      <c r="X835" s="32" t="n"/>
      <c r="Y835" s="32" t="n"/>
      <c r="Z835" s="32" t="n"/>
    </row>
    <row r="836">
      <c r="A836" s="32" t="n"/>
      <c r="B836" s="32" t="n"/>
      <c r="C836" s="32" t="n"/>
      <c r="D836" s="32" t="n"/>
      <c r="E836" s="32" t="n"/>
      <c r="F836" s="32" t="n"/>
      <c r="G836" s="32" t="n"/>
      <c r="H836" s="32" t="n"/>
      <c r="I836" s="32" t="n"/>
      <c r="J836" s="32" t="n"/>
      <c r="K836" s="32" t="n"/>
      <c r="L836" s="32" t="n"/>
      <c r="M836" s="32" t="n"/>
      <c r="N836" s="32" t="n"/>
      <c r="O836" s="32" t="n"/>
      <c r="P836" s="32" t="n"/>
      <c r="Q836" s="32" t="n"/>
      <c r="R836" s="32" t="n"/>
      <c r="S836" s="32" t="n"/>
      <c r="T836" s="32" t="n"/>
      <c r="U836" s="32" t="n"/>
      <c r="V836" s="32" t="n"/>
      <c r="W836" s="32" t="n"/>
      <c r="X836" s="32" t="n"/>
      <c r="Y836" s="32" t="n"/>
      <c r="Z836" s="32" t="n"/>
    </row>
    <row r="837">
      <c r="A837" s="32" t="n"/>
      <c r="B837" s="32" t="n"/>
      <c r="C837" s="32" t="n"/>
      <c r="D837" s="32" t="n"/>
      <c r="E837" s="32" t="n"/>
      <c r="F837" s="32" t="n"/>
      <c r="G837" s="32" t="n"/>
      <c r="H837" s="32" t="n"/>
      <c r="I837" s="32" t="n"/>
      <c r="J837" s="32" t="n"/>
      <c r="K837" s="32" t="n"/>
      <c r="L837" s="32" t="n"/>
      <c r="M837" s="32" t="n"/>
      <c r="N837" s="32" t="n"/>
      <c r="O837" s="32" t="n"/>
      <c r="P837" s="32" t="n"/>
      <c r="Q837" s="32" t="n"/>
      <c r="R837" s="32" t="n"/>
      <c r="S837" s="32" t="n"/>
      <c r="T837" s="32" t="n"/>
      <c r="U837" s="32" t="n"/>
      <c r="V837" s="32" t="n"/>
      <c r="W837" s="32" t="n"/>
      <c r="X837" s="32" t="n"/>
      <c r="Y837" s="32" t="n"/>
      <c r="Z837" s="32" t="n"/>
    </row>
    <row r="838">
      <c r="A838" s="32" t="n"/>
      <c r="B838" s="32" t="n"/>
      <c r="C838" s="32" t="n"/>
      <c r="D838" s="32" t="n"/>
      <c r="E838" s="32" t="n"/>
      <c r="F838" s="32" t="n"/>
      <c r="G838" s="32" t="n"/>
      <c r="H838" s="32" t="n"/>
      <c r="I838" s="32" t="n"/>
      <c r="J838" s="32" t="n"/>
      <c r="K838" s="32" t="n"/>
      <c r="L838" s="32" t="n"/>
      <c r="M838" s="32" t="n"/>
      <c r="N838" s="32" t="n"/>
      <c r="O838" s="32" t="n"/>
      <c r="P838" s="32" t="n"/>
      <c r="Q838" s="32" t="n"/>
      <c r="R838" s="32" t="n"/>
      <c r="S838" s="32" t="n"/>
      <c r="T838" s="32" t="n"/>
      <c r="U838" s="32" t="n"/>
      <c r="V838" s="32" t="n"/>
      <c r="W838" s="32" t="n"/>
      <c r="X838" s="32" t="n"/>
      <c r="Y838" s="32" t="n"/>
      <c r="Z838" s="32" t="n"/>
    </row>
    <row r="839">
      <c r="A839" s="32" t="n"/>
      <c r="B839" s="32" t="n"/>
      <c r="C839" s="32" t="n"/>
      <c r="D839" s="32" t="n"/>
      <c r="E839" s="32" t="n"/>
      <c r="F839" s="32" t="n"/>
      <c r="G839" s="32" t="n"/>
      <c r="H839" s="32" t="n"/>
      <c r="I839" s="32" t="n"/>
      <c r="J839" s="32" t="n"/>
      <c r="K839" s="32" t="n"/>
      <c r="L839" s="32" t="n"/>
      <c r="M839" s="32" t="n"/>
      <c r="N839" s="32" t="n"/>
      <c r="O839" s="32" t="n"/>
      <c r="P839" s="32" t="n"/>
      <c r="Q839" s="32" t="n"/>
      <c r="R839" s="32" t="n"/>
      <c r="S839" s="32" t="n"/>
      <c r="T839" s="32" t="n"/>
      <c r="U839" s="32" t="n"/>
      <c r="V839" s="32" t="n"/>
      <c r="W839" s="32" t="n"/>
      <c r="X839" s="32" t="n"/>
      <c r="Y839" s="32" t="n"/>
      <c r="Z839" s="32" t="n"/>
    </row>
    <row r="840">
      <c r="A840" s="32" t="n"/>
      <c r="B840" s="32" t="n"/>
      <c r="C840" s="32" t="n"/>
      <c r="D840" s="32" t="n"/>
      <c r="E840" s="32" t="n"/>
      <c r="F840" s="32" t="n"/>
      <c r="G840" s="32" t="n"/>
      <c r="H840" s="32" t="n"/>
      <c r="I840" s="32" t="n"/>
      <c r="J840" s="32" t="n"/>
      <c r="K840" s="32" t="n"/>
      <c r="L840" s="32" t="n"/>
      <c r="M840" s="32" t="n"/>
      <c r="N840" s="32" t="n"/>
      <c r="O840" s="32" t="n"/>
      <c r="P840" s="32" t="n"/>
      <c r="Q840" s="32" t="n"/>
      <c r="R840" s="32" t="n"/>
      <c r="S840" s="32" t="n"/>
      <c r="T840" s="32" t="n"/>
      <c r="U840" s="32" t="n"/>
      <c r="V840" s="32" t="n"/>
      <c r="W840" s="32" t="n"/>
      <c r="X840" s="32" t="n"/>
      <c r="Y840" s="32" t="n"/>
      <c r="Z840" s="32" t="n"/>
    </row>
    <row r="841">
      <c r="A841" s="32" t="n"/>
      <c r="B841" s="32" t="n"/>
      <c r="C841" s="32" t="n"/>
      <c r="D841" s="32" t="n"/>
      <c r="E841" s="32" t="n"/>
      <c r="F841" s="32" t="n"/>
      <c r="G841" s="32" t="n"/>
      <c r="H841" s="32" t="n"/>
      <c r="I841" s="32" t="n"/>
      <c r="J841" s="32" t="n"/>
      <c r="K841" s="32" t="n"/>
      <c r="L841" s="32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2" t="n"/>
      <c r="W841" s="32" t="n"/>
      <c r="X841" s="32" t="n"/>
      <c r="Y841" s="32" t="n"/>
      <c r="Z841" s="32" t="n"/>
    </row>
    <row r="842">
      <c r="A842" s="32" t="n"/>
      <c r="B842" s="32" t="n"/>
      <c r="C842" s="32" t="n"/>
      <c r="D842" s="32" t="n"/>
      <c r="E842" s="32" t="n"/>
      <c r="F842" s="32" t="n"/>
      <c r="G842" s="32" t="n"/>
      <c r="H842" s="32" t="n"/>
      <c r="I842" s="32" t="n"/>
      <c r="J842" s="32" t="n"/>
      <c r="K842" s="32" t="n"/>
      <c r="L842" s="32" t="n"/>
      <c r="M842" s="32" t="n"/>
      <c r="N842" s="32" t="n"/>
      <c r="O842" s="32" t="n"/>
      <c r="P842" s="32" t="n"/>
      <c r="Q842" s="32" t="n"/>
      <c r="R842" s="32" t="n"/>
      <c r="S842" s="32" t="n"/>
      <c r="T842" s="32" t="n"/>
      <c r="U842" s="32" t="n"/>
      <c r="V842" s="32" t="n"/>
      <c r="W842" s="32" t="n"/>
      <c r="X842" s="32" t="n"/>
      <c r="Y842" s="32" t="n"/>
      <c r="Z842" s="32" t="n"/>
    </row>
    <row r="843">
      <c r="A843" s="32" t="n"/>
      <c r="B843" s="32" t="n"/>
      <c r="C843" s="32" t="n"/>
      <c r="D843" s="32" t="n"/>
      <c r="E843" s="32" t="n"/>
      <c r="F843" s="32" t="n"/>
      <c r="G843" s="32" t="n"/>
      <c r="H843" s="32" t="n"/>
      <c r="I843" s="32" t="n"/>
      <c r="J843" s="32" t="n"/>
      <c r="K843" s="32" t="n"/>
      <c r="L843" s="32" t="n"/>
      <c r="M843" s="32" t="n"/>
      <c r="N843" s="32" t="n"/>
      <c r="O843" s="32" t="n"/>
      <c r="P843" s="32" t="n"/>
      <c r="Q843" s="32" t="n"/>
      <c r="R843" s="32" t="n"/>
      <c r="S843" s="32" t="n"/>
      <c r="T843" s="32" t="n"/>
      <c r="U843" s="32" t="n"/>
      <c r="V843" s="32" t="n"/>
      <c r="W843" s="32" t="n"/>
      <c r="X843" s="32" t="n"/>
      <c r="Y843" s="32" t="n"/>
      <c r="Z843" s="32" t="n"/>
    </row>
    <row r="844">
      <c r="A844" s="32" t="n"/>
      <c r="B844" s="32" t="n"/>
      <c r="C844" s="32" t="n"/>
      <c r="D844" s="32" t="n"/>
      <c r="E844" s="32" t="n"/>
      <c r="F844" s="32" t="n"/>
      <c r="G844" s="32" t="n"/>
      <c r="H844" s="32" t="n"/>
      <c r="I844" s="32" t="n"/>
      <c r="J844" s="32" t="n"/>
      <c r="K844" s="32" t="n"/>
      <c r="L844" s="32" t="n"/>
      <c r="M844" s="32" t="n"/>
      <c r="N844" s="32" t="n"/>
      <c r="O844" s="32" t="n"/>
      <c r="P844" s="32" t="n"/>
      <c r="Q844" s="32" t="n"/>
      <c r="R844" s="32" t="n"/>
      <c r="S844" s="32" t="n"/>
      <c r="T844" s="32" t="n"/>
      <c r="U844" s="32" t="n"/>
      <c r="V844" s="32" t="n"/>
      <c r="W844" s="32" t="n"/>
      <c r="X844" s="32" t="n"/>
      <c r="Y844" s="32" t="n"/>
      <c r="Z844" s="32" t="n"/>
    </row>
    <row r="845">
      <c r="A845" s="32" t="n"/>
      <c r="B845" s="32" t="n"/>
      <c r="C845" s="32" t="n"/>
      <c r="D845" s="32" t="n"/>
      <c r="E845" s="32" t="n"/>
      <c r="F845" s="32" t="n"/>
      <c r="G845" s="32" t="n"/>
      <c r="H845" s="32" t="n"/>
      <c r="I845" s="32" t="n"/>
      <c r="J845" s="32" t="n"/>
      <c r="K845" s="32" t="n"/>
      <c r="L845" s="32" t="n"/>
      <c r="M845" s="32" t="n"/>
      <c r="N845" s="32" t="n"/>
      <c r="O845" s="32" t="n"/>
      <c r="P845" s="32" t="n"/>
      <c r="Q845" s="32" t="n"/>
      <c r="R845" s="32" t="n"/>
      <c r="S845" s="32" t="n"/>
      <c r="T845" s="32" t="n"/>
      <c r="U845" s="32" t="n"/>
      <c r="V845" s="32" t="n"/>
      <c r="W845" s="32" t="n"/>
      <c r="X845" s="32" t="n"/>
      <c r="Y845" s="32" t="n"/>
      <c r="Z845" s="32" t="n"/>
    </row>
    <row r="846">
      <c r="A846" s="32" t="n"/>
      <c r="B846" s="32" t="n"/>
      <c r="C846" s="32" t="n"/>
      <c r="D846" s="32" t="n"/>
      <c r="E846" s="32" t="n"/>
      <c r="F846" s="32" t="n"/>
      <c r="G846" s="32" t="n"/>
      <c r="H846" s="32" t="n"/>
      <c r="I846" s="32" t="n"/>
      <c r="J846" s="32" t="n"/>
      <c r="K846" s="32" t="n"/>
      <c r="L846" s="32" t="n"/>
      <c r="M846" s="32" t="n"/>
      <c r="N846" s="32" t="n"/>
      <c r="O846" s="32" t="n"/>
      <c r="P846" s="32" t="n"/>
      <c r="Q846" s="32" t="n"/>
      <c r="R846" s="32" t="n"/>
      <c r="S846" s="32" t="n"/>
      <c r="T846" s="32" t="n"/>
      <c r="U846" s="32" t="n"/>
      <c r="V846" s="32" t="n"/>
      <c r="W846" s="32" t="n"/>
      <c r="X846" s="32" t="n"/>
      <c r="Y846" s="32" t="n"/>
      <c r="Z846" s="32" t="n"/>
    </row>
    <row r="847">
      <c r="A847" s="32" t="n"/>
      <c r="B847" s="32" t="n"/>
      <c r="C847" s="32" t="n"/>
      <c r="D847" s="32" t="n"/>
      <c r="E847" s="32" t="n"/>
      <c r="F847" s="32" t="n"/>
      <c r="G847" s="32" t="n"/>
      <c r="H847" s="32" t="n"/>
      <c r="I847" s="32" t="n"/>
      <c r="J847" s="32" t="n"/>
      <c r="K847" s="32" t="n"/>
      <c r="L847" s="32" t="n"/>
      <c r="M847" s="32" t="n"/>
      <c r="N847" s="32" t="n"/>
      <c r="O847" s="32" t="n"/>
      <c r="P847" s="32" t="n"/>
      <c r="Q847" s="32" t="n"/>
      <c r="R847" s="32" t="n"/>
      <c r="S847" s="32" t="n"/>
      <c r="T847" s="32" t="n"/>
      <c r="U847" s="32" t="n"/>
      <c r="V847" s="32" t="n"/>
      <c r="W847" s="32" t="n"/>
      <c r="X847" s="32" t="n"/>
      <c r="Y847" s="32" t="n"/>
      <c r="Z847" s="32" t="n"/>
    </row>
    <row r="848">
      <c r="A848" s="32" t="n"/>
      <c r="B848" s="32" t="n"/>
      <c r="C848" s="32" t="n"/>
      <c r="D848" s="32" t="n"/>
      <c r="E848" s="32" t="n"/>
      <c r="F848" s="32" t="n"/>
      <c r="G848" s="32" t="n"/>
      <c r="H848" s="32" t="n"/>
      <c r="I848" s="32" t="n"/>
      <c r="J848" s="32" t="n"/>
      <c r="K848" s="32" t="n"/>
      <c r="L848" s="32" t="n"/>
      <c r="M848" s="32" t="n"/>
      <c r="N848" s="32" t="n"/>
      <c r="O848" s="32" t="n"/>
      <c r="P848" s="32" t="n"/>
      <c r="Q848" s="32" t="n"/>
      <c r="R848" s="32" t="n"/>
      <c r="S848" s="32" t="n"/>
      <c r="T848" s="32" t="n"/>
      <c r="U848" s="32" t="n"/>
      <c r="V848" s="32" t="n"/>
      <c r="W848" s="32" t="n"/>
      <c r="X848" s="32" t="n"/>
      <c r="Y848" s="32" t="n"/>
      <c r="Z848" s="32" t="n"/>
    </row>
    <row r="849">
      <c r="A849" s="32" t="n"/>
      <c r="B849" s="32" t="n"/>
      <c r="C849" s="32" t="n"/>
      <c r="D849" s="32" t="n"/>
      <c r="E849" s="32" t="n"/>
      <c r="F849" s="32" t="n"/>
      <c r="G849" s="32" t="n"/>
      <c r="H849" s="32" t="n"/>
      <c r="I849" s="32" t="n"/>
      <c r="J849" s="32" t="n"/>
      <c r="K849" s="32" t="n"/>
      <c r="L849" s="32" t="n"/>
      <c r="M849" s="32" t="n"/>
      <c r="N849" s="32" t="n"/>
      <c r="O849" s="32" t="n"/>
      <c r="P849" s="32" t="n"/>
      <c r="Q849" s="32" t="n"/>
      <c r="R849" s="32" t="n"/>
      <c r="S849" s="32" t="n"/>
      <c r="T849" s="32" t="n"/>
      <c r="U849" s="32" t="n"/>
      <c r="V849" s="32" t="n"/>
      <c r="W849" s="32" t="n"/>
      <c r="X849" s="32" t="n"/>
      <c r="Y849" s="32" t="n"/>
      <c r="Z849" s="32" t="n"/>
    </row>
    <row r="850">
      <c r="A850" s="32" t="n"/>
      <c r="B850" s="32" t="n"/>
      <c r="C850" s="32" t="n"/>
      <c r="D850" s="32" t="n"/>
      <c r="E850" s="32" t="n"/>
      <c r="F850" s="32" t="n"/>
      <c r="G850" s="32" t="n"/>
      <c r="H850" s="32" t="n"/>
      <c r="I850" s="32" t="n"/>
      <c r="J850" s="32" t="n"/>
      <c r="K850" s="32" t="n"/>
      <c r="L850" s="32" t="n"/>
      <c r="M850" s="32" t="n"/>
      <c r="N850" s="32" t="n"/>
      <c r="O850" s="32" t="n"/>
      <c r="P850" s="32" t="n"/>
      <c r="Q850" s="32" t="n"/>
      <c r="R850" s="32" t="n"/>
      <c r="S850" s="32" t="n"/>
      <c r="T850" s="32" t="n"/>
      <c r="U850" s="32" t="n"/>
      <c r="V850" s="32" t="n"/>
      <c r="W850" s="32" t="n"/>
      <c r="X850" s="32" t="n"/>
      <c r="Y850" s="32" t="n"/>
      <c r="Z850" s="32" t="n"/>
    </row>
    <row r="851">
      <c r="A851" s="32" t="n"/>
      <c r="B851" s="32" t="n"/>
      <c r="C851" s="32" t="n"/>
      <c r="D851" s="32" t="n"/>
      <c r="E851" s="32" t="n"/>
      <c r="F851" s="32" t="n"/>
      <c r="G851" s="32" t="n"/>
      <c r="H851" s="32" t="n"/>
      <c r="I851" s="32" t="n"/>
      <c r="J851" s="32" t="n"/>
      <c r="K851" s="32" t="n"/>
      <c r="L851" s="32" t="n"/>
      <c r="M851" s="32" t="n"/>
      <c r="N851" s="32" t="n"/>
      <c r="O851" s="32" t="n"/>
      <c r="P851" s="32" t="n"/>
      <c r="Q851" s="32" t="n"/>
      <c r="R851" s="32" t="n"/>
      <c r="S851" s="32" t="n"/>
      <c r="T851" s="32" t="n"/>
      <c r="U851" s="32" t="n"/>
      <c r="V851" s="32" t="n"/>
      <c r="W851" s="32" t="n"/>
      <c r="X851" s="32" t="n"/>
      <c r="Y851" s="32" t="n"/>
      <c r="Z851" s="32" t="n"/>
    </row>
    <row r="852">
      <c r="A852" s="32" t="n"/>
      <c r="B852" s="32" t="n"/>
      <c r="C852" s="32" t="n"/>
      <c r="D852" s="32" t="n"/>
      <c r="E852" s="32" t="n"/>
      <c r="F852" s="32" t="n"/>
      <c r="G852" s="32" t="n"/>
      <c r="H852" s="32" t="n"/>
      <c r="I852" s="32" t="n"/>
      <c r="J852" s="32" t="n"/>
      <c r="K852" s="32" t="n"/>
      <c r="L852" s="32" t="n"/>
      <c r="M852" s="32" t="n"/>
      <c r="N852" s="32" t="n"/>
      <c r="O852" s="32" t="n"/>
      <c r="P852" s="32" t="n"/>
      <c r="Q852" s="32" t="n"/>
      <c r="R852" s="32" t="n"/>
      <c r="S852" s="32" t="n"/>
      <c r="T852" s="32" t="n"/>
      <c r="U852" s="32" t="n"/>
      <c r="V852" s="32" t="n"/>
      <c r="W852" s="32" t="n"/>
      <c r="X852" s="32" t="n"/>
      <c r="Y852" s="32" t="n"/>
      <c r="Z852" s="32" t="n"/>
    </row>
    <row r="853">
      <c r="A853" s="32" t="n"/>
      <c r="B853" s="32" t="n"/>
      <c r="C853" s="32" t="n"/>
      <c r="D853" s="32" t="n"/>
      <c r="E853" s="32" t="n"/>
      <c r="F853" s="32" t="n"/>
      <c r="G853" s="32" t="n"/>
      <c r="H853" s="32" t="n"/>
      <c r="I853" s="32" t="n"/>
      <c r="J853" s="32" t="n"/>
      <c r="K853" s="32" t="n"/>
      <c r="L853" s="32" t="n"/>
      <c r="M853" s="32" t="n"/>
      <c r="N853" s="32" t="n"/>
      <c r="O853" s="32" t="n"/>
      <c r="P853" s="32" t="n"/>
      <c r="Q853" s="32" t="n"/>
      <c r="R853" s="32" t="n"/>
      <c r="S853" s="32" t="n"/>
      <c r="T853" s="32" t="n"/>
      <c r="U853" s="32" t="n"/>
      <c r="V853" s="32" t="n"/>
      <c r="W853" s="32" t="n"/>
      <c r="X853" s="32" t="n"/>
      <c r="Y853" s="32" t="n"/>
      <c r="Z853" s="32" t="n"/>
    </row>
    <row r="854">
      <c r="A854" s="32" t="n"/>
      <c r="B854" s="32" t="n"/>
      <c r="C854" s="32" t="n"/>
      <c r="D854" s="32" t="n"/>
      <c r="E854" s="32" t="n"/>
      <c r="F854" s="32" t="n"/>
      <c r="G854" s="32" t="n"/>
      <c r="H854" s="32" t="n"/>
      <c r="I854" s="32" t="n"/>
      <c r="J854" s="32" t="n"/>
      <c r="K854" s="32" t="n"/>
      <c r="L854" s="32" t="n"/>
      <c r="M854" s="32" t="n"/>
      <c r="N854" s="32" t="n"/>
      <c r="O854" s="32" t="n"/>
      <c r="P854" s="32" t="n"/>
      <c r="Q854" s="32" t="n"/>
      <c r="R854" s="32" t="n"/>
      <c r="S854" s="32" t="n"/>
      <c r="T854" s="32" t="n"/>
      <c r="U854" s="32" t="n"/>
      <c r="V854" s="32" t="n"/>
      <c r="W854" s="32" t="n"/>
      <c r="X854" s="32" t="n"/>
      <c r="Y854" s="32" t="n"/>
      <c r="Z854" s="32" t="n"/>
    </row>
    <row r="855">
      <c r="A855" s="32" t="n"/>
      <c r="B855" s="32" t="n"/>
      <c r="C855" s="32" t="n"/>
      <c r="D855" s="32" t="n"/>
      <c r="E855" s="32" t="n"/>
      <c r="F855" s="32" t="n"/>
      <c r="G855" s="32" t="n"/>
      <c r="H855" s="32" t="n"/>
      <c r="I855" s="32" t="n"/>
      <c r="J855" s="32" t="n"/>
      <c r="K855" s="32" t="n"/>
      <c r="L855" s="32" t="n"/>
      <c r="M855" s="32" t="n"/>
      <c r="N855" s="32" t="n"/>
      <c r="O855" s="32" t="n"/>
      <c r="P855" s="32" t="n"/>
      <c r="Q855" s="32" t="n"/>
      <c r="R855" s="32" t="n"/>
      <c r="S855" s="32" t="n"/>
      <c r="T855" s="32" t="n"/>
      <c r="U855" s="32" t="n"/>
      <c r="V855" s="32" t="n"/>
      <c r="W855" s="32" t="n"/>
      <c r="X855" s="32" t="n"/>
      <c r="Y855" s="32" t="n"/>
      <c r="Z855" s="32" t="n"/>
    </row>
    <row r="856">
      <c r="A856" s="32" t="n"/>
      <c r="B856" s="32" t="n"/>
      <c r="C856" s="32" t="n"/>
      <c r="D856" s="32" t="n"/>
      <c r="E856" s="32" t="n"/>
      <c r="F856" s="32" t="n"/>
      <c r="G856" s="32" t="n"/>
      <c r="H856" s="32" t="n"/>
      <c r="I856" s="32" t="n"/>
      <c r="J856" s="32" t="n"/>
      <c r="K856" s="32" t="n"/>
      <c r="L856" s="32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2" t="n"/>
      <c r="W856" s="32" t="n"/>
      <c r="X856" s="32" t="n"/>
      <c r="Y856" s="32" t="n"/>
      <c r="Z856" s="32" t="n"/>
    </row>
    <row r="857">
      <c r="A857" s="32" t="n"/>
      <c r="B857" s="32" t="n"/>
      <c r="C857" s="32" t="n"/>
      <c r="D857" s="32" t="n"/>
      <c r="E857" s="32" t="n"/>
      <c r="F857" s="32" t="n"/>
      <c r="G857" s="32" t="n"/>
      <c r="H857" s="32" t="n"/>
      <c r="I857" s="32" t="n"/>
      <c r="J857" s="32" t="n"/>
      <c r="K857" s="32" t="n"/>
      <c r="L857" s="32" t="n"/>
      <c r="M857" s="32" t="n"/>
      <c r="N857" s="32" t="n"/>
      <c r="O857" s="32" t="n"/>
      <c r="P857" s="32" t="n"/>
      <c r="Q857" s="32" t="n"/>
      <c r="R857" s="32" t="n"/>
      <c r="S857" s="32" t="n"/>
      <c r="T857" s="32" t="n"/>
      <c r="U857" s="32" t="n"/>
      <c r="V857" s="32" t="n"/>
      <c r="W857" s="32" t="n"/>
      <c r="X857" s="32" t="n"/>
      <c r="Y857" s="32" t="n"/>
      <c r="Z857" s="32" t="n"/>
    </row>
    <row r="858">
      <c r="A858" s="32" t="n"/>
      <c r="B858" s="32" t="n"/>
      <c r="C858" s="32" t="n"/>
      <c r="D858" s="32" t="n"/>
      <c r="E858" s="32" t="n"/>
      <c r="F858" s="32" t="n"/>
      <c r="G858" s="32" t="n"/>
      <c r="H858" s="32" t="n"/>
      <c r="I858" s="32" t="n"/>
      <c r="J858" s="32" t="n"/>
      <c r="K858" s="32" t="n"/>
      <c r="L858" s="32" t="n"/>
      <c r="M858" s="32" t="n"/>
      <c r="N858" s="32" t="n"/>
      <c r="O858" s="32" t="n"/>
      <c r="P858" s="32" t="n"/>
      <c r="Q858" s="32" t="n"/>
      <c r="R858" s="32" t="n"/>
      <c r="S858" s="32" t="n"/>
      <c r="T858" s="32" t="n"/>
      <c r="U858" s="32" t="n"/>
      <c r="V858" s="32" t="n"/>
      <c r="W858" s="32" t="n"/>
      <c r="X858" s="32" t="n"/>
      <c r="Y858" s="32" t="n"/>
      <c r="Z858" s="32" t="n"/>
    </row>
    <row r="859">
      <c r="A859" s="32" t="n"/>
      <c r="B859" s="32" t="n"/>
      <c r="C859" s="32" t="n"/>
      <c r="D859" s="32" t="n"/>
      <c r="E859" s="32" t="n"/>
      <c r="F859" s="32" t="n"/>
      <c r="G859" s="32" t="n"/>
      <c r="H859" s="32" t="n"/>
      <c r="I859" s="32" t="n"/>
      <c r="J859" s="32" t="n"/>
      <c r="K859" s="32" t="n"/>
      <c r="L859" s="32" t="n"/>
      <c r="M859" s="32" t="n"/>
      <c r="N859" s="32" t="n"/>
      <c r="O859" s="32" t="n"/>
      <c r="P859" s="32" t="n"/>
      <c r="Q859" s="32" t="n"/>
      <c r="R859" s="32" t="n"/>
      <c r="S859" s="32" t="n"/>
      <c r="T859" s="32" t="n"/>
      <c r="U859" s="32" t="n"/>
      <c r="V859" s="32" t="n"/>
      <c r="W859" s="32" t="n"/>
      <c r="X859" s="32" t="n"/>
      <c r="Y859" s="32" t="n"/>
      <c r="Z859" s="32" t="n"/>
    </row>
    <row r="860">
      <c r="A860" s="32" t="n"/>
      <c r="B860" s="32" t="n"/>
      <c r="C860" s="32" t="n"/>
      <c r="D860" s="32" t="n"/>
      <c r="E860" s="32" t="n"/>
      <c r="F860" s="32" t="n"/>
      <c r="G860" s="32" t="n"/>
      <c r="H860" s="32" t="n"/>
      <c r="I860" s="32" t="n"/>
      <c r="J860" s="32" t="n"/>
      <c r="K860" s="32" t="n"/>
      <c r="L860" s="32" t="n"/>
      <c r="M860" s="32" t="n"/>
      <c r="N860" s="32" t="n"/>
      <c r="O860" s="32" t="n"/>
      <c r="P860" s="32" t="n"/>
      <c r="Q860" s="32" t="n"/>
      <c r="R860" s="32" t="n"/>
      <c r="S860" s="32" t="n"/>
      <c r="T860" s="32" t="n"/>
      <c r="U860" s="32" t="n"/>
      <c r="V860" s="32" t="n"/>
      <c r="W860" s="32" t="n"/>
      <c r="X860" s="32" t="n"/>
      <c r="Y860" s="32" t="n"/>
      <c r="Z860" s="32" t="n"/>
    </row>
    <row r="861">
      <c r="A861" s="32" t="n"/>
      <c r="B861" s="32" t="n"/>
      <c r="C861" s="32" t="n"/>
      <c r="D861" s="32" t="n"/>
      <c r="E861" s="32" t="n"/>
      <c r="F861" s="32" t="n"/>
      <c r="G861" s="32" t="n"/>
      <c r="H861" s="32" t="n"/>
      <c r="I861" s="32" t="n"/>
      <c r="J861" s="32" t="n"/>
      <c r="K861" s="32" t="n"/>
      <c r="L861" s="32" t="n"/>
      <c r="M861" s="32" t="n"/>
      <c r="N861" s="32" t="n"/>
      <c r="O861" s="32" t="n"/>
      <c r="P861" s="32" t="n"/>
      <c r="Q861" s="32" t="n"/>
      <c r="R861" s="32" t="n"/>
      <c r="S861" s="32" t="n"/>
      <c r="T861" s="32" t="n"/>
      <c r="U861" s="32" t="n"/>
      <c r="V861" s="32" t="n"/>
      <c r="W861" s="32" t="n"/>
      <c r="X861" s="32" t="n"/>
      <c r="Y861" s="32" t="n"/>
      <c r="Z861" s="32" t="n"/>
    </row>
    <row r="862">
      <c r="A862" s="32" t="n"/>
      <c r="B862" s="32" t="n"/>
      <c r="C862" s="32" t="n"/>
      <c r="D862" s="32" t="n"/>
      <c r="E862" s="32" t="n"/>
      <c r="F862" s="32" t="n"/>
      <c r="G862" s="32" t="n"/>
      <c r="H862" s="32" t="n"/>
      <c r="I862" s="32" t="n"/>
      <c r="J862" s="32" t="n"/>
      <c r="K862" s="32" t="n"/>
      <c r="L862" s="32" t="n"/>
      <c r="M862" s="32" t="n"/>
      <c r="N862" s="32" t="n"/>
      <c r="O862" s="32" t="n"/>
      <c r="P862" s="32" t="n"/>
      <c r="Q862" s="32" t="n"/>
      <c r="R862" s="32" t="n"/>
      <c r="S862" s="32" t="n"/>
      <c r="T862" s="32" t="n"/>
      <c r="U862" s="32" t="n"/>
      <c r="V862" s="32" t="n"/>
      <c r="W862" s="32" t="n"/>
      <c r="X862" s="32" t="n"/>
      <c r="Y862" s="32" t="n"/>
      <c r="Z862" s="32" t="n"/>
    </row>
    <row r="863">
      <c r="A863" s="32" t="n"/>
      <c r="B863" s="32" t="n"/>
      <c r="C863" s="32" t="n"/>
      <c r="D863" s="32" t="n"/>
      <c r="E863" s="32" t="n"/>
      <c r="F863" s="32" t="n"/>
      <c r="G863" s="32" t="n"/>
      <c r="H863" s="32" t="n"/>
      <c r="I863" s="32" t="n"/>
      <c r="J863" s="32" t="n"/>
      <c r="K863" s="32" t="n"/>
      <c r="L863" s="32" t="n"/>
      <c r="M863" s="32" t="n"/>
      <c r="N863" s="32" t="n"/>
      <c r="O863" s="32" t="n"/>
      <c r="P863" s="32" t="n"/>
      <c r="Q863" s="32" t="n"/>
      <c r="R863" s="32" t="n"/>
      <c r="S863" s="32" t="n"/>
      <c r="T863" s="32" t="n"/>
      <c r="U863" s="32" t="n"/>
      <c r="V863" s="32" t="n"/>
      <c r="W863" s="32" t="n"/>
      <c r="X863" s="32" t="n"/>
      <c r="Y863" s="32" t="n"/>
      <c r="Z863" s="32" t="n"/>
    </row>
    <row r="864">
      <c r="A864" s="32" t="n"/>
      <c r="B864" s="32" t="n"/>
      <c r="C864" s="32" t="n"/>
      <c r="D864" s="32" t="n"/>
      <c r="E864" s="32" t="n"/>
      <c r="F864" s="32" t="n"/>
      <c r="G864" s="32" t="n"/>
      <c r="H864" s="32" t="n"/>
      <c r="I864" s="32" t="n"/>
      <c r="J864" s="32" t="n"/>
      <c r="K864" s="32" t="n"/>
      <c r="L864" s="32" t="n"/>
      <c r="M864" s="32" t="n"/>
      <c r="N864" s="32" t="n"/>
      <c r="O864" s="32" t="n"/>
      <c r="P864" s="32" t="n"/>
      <c r="Q864" s="32" t="n"/>
      <c r="R864" s="32" t="n"/>
      <c r="S864" s="32" t="n"/>
      <c r="T864" s="32" t="n"/>
      <c r="U864" s="32" t="n"/>
      <c r="V864" s="32" t="n"/>
      <c r="W864" s="32" t="n"/>
      <c r="X864" s="32" t="n"/>
      <c r="Y864" s="32" t="n"/>
      <c r="Z864" s="32" t="n"/>
    </row>
    <row r="865">
      <c r="A865" s="32" t="n"/>
      <c r="B865" s="32" t="n"/>
      <c r="C865" s="32" t="n"/>
      <c r="D865" s="32" t="n"/>
      <c r="E865" s="32" t="n"/>
      <c r="F865" s="32" t="n"/>
      <c r="G865" s="32" t="n"/>
      <c r="H865" s="32" t="n"/>
      <c r="I865" s="32" t="n"/>
      <c r="J865" s="32" t="n"/>
      <c r="K865" s="32" t="n"/>
      <c r="L865" s="32" t="n"/>
      <c r="M865" s="32" t="n"/>
      <c r="N865" s="32" t="n"/>
      <c r="O865" s="32" t="n"/>
      <c r="P865" s="32" t="n"/>
      <c r="Q865" s="32" t="n"/>
      <c r="R865" s="32" t="n"/>
      <c r="S865" s="32" t="n"/>
      <c r="T865" s="32" t="n"/>
      <c r="U865" s="32" t="n"/>
      <c r="V865" s="32" t="n"/>
      <c r="W865" s="32" t="n"/>
      <c r="X865" s="32" t="n"/>
      <c r="Y865" s="32" t="n"/>
      <c r="Z865" s="32" t="n"/>
    </row>
    <row r="866">
      <c r="A866" s="32" t="n"/>
      <c r="B866" s="32" t="n"/>
      <c r="C866" s="32" t="n"/>
      <c r="D866" s="32" t="n"/>
      <c r="E866" s="32" t="n"/>
      <c r="F866" s="32" t="n"/>
      <c r="G866" s="32" t="n"/>
      <c r="H866" s="32" t="n"/>
      <c r="I866" s="32" t="n"/>
      <c r="J866" s="32" t="n"/>
      <c r="K866" s="32" t="n"/>
      <c r="L866" s="32" t="n"/>
      <c r="M866" s="32" t="n"/>
      <c r="N866" s="32" t="n"/>
      <c r="O866" s="32" t="n"/>
      <c r="P866" s="32" t="n"/>
      <c r="Q866" s="32" t="n"/>
      <c r="R866" s="32" t="n"/>
      <c r="S866" s="32" t="n"/>
      <c r="T866" s="32" t="n"/>
      <c r="U866" s="32" t="n"/>
      <c r="V866" s="32" t="n"/>
      <c r="W866" s="32" t="n"/>
      <c r="X866" s="32" t="n"/>
      <c r="Y866" s="32" t="n"/>
      <c r="Z866" s="32" t="n"/>
    </row>
    <row r="867">
      <c r="A867" s="32" t="n"/>
      <c r="B867" s="32" t="n"/>
      <c r="C867" s="32" t="n"/>
      <c r="D867" s="32" t="n"/>
      <c r="E867" s="32" t="n"/>
      <c r="F867" s="32" t="n"/>
      <c r="G867" s="32" t="n"/>
      <c r="H867" s="32" t="n"/>
      <c r="I867" s="32" t="n"/>
      <c r="J867" s="32" t="n"/>
      <c r="K867" s="32" t="n"/>
      <c r="L867" s="32" t="n"/>
      <c r="M867" s="32" t="n"/>
      <c r="N867" s="32" t="n"/>
      <c r="O867" s="32" t="n"/>
      <c r="P867" s="32" t="n"/>
      <c r="Q867" s="32" t="n"/>
      <c r="R867" s="32" t="n"/>
      <c r="S867" s="32" t="n"/>
      <c r="T867" s="32" t="n"/>
      <c r="U867" s="32" t="n"/>
      <c r="V867" s="32" t="n"/>
      <c r="W867" s="32" t="n"/>
      <c r="X867" s="32" t="n"/>
      <c r="Y867" s="32" t="n"/>
      <c r="Z867" s="32" t="n"/>
    </row>
    <row r="868">
      <c r="A868" s="32" t="n"/>
      <c r="B868" s="32" t="n"/>
      <c r="C868" s="32" t="n"/>
      <c r="D868" s="32" t="n"/>
      <c r="E868" s="32" t="n"/>
      <c r="F868" s="32" t="n"/>
      <c r="G868" s="32" t="n"/>
      <c r="H868" s="32" t="n"/>
      <c r="I868" s="32" t="n"/>
      <c r="J868" s="32" t="n"/>
      <c r="K868" s="32" t="n"/>
      <c r="L868" s="32" t="n"/>
      <c r="M868" s="32" t="n"/>
      <c r="N868" s="32" t="n"/>
      <c r="O868" s="32" t="n"/>
      <c r="P868" s="32" t="n"/>
      <c r="Q868" s="32" t="n"/>
      <c r="R868" s="32" t="n"/>
      <c r="S868" s="32" t="n"/>
      <c r="T868" s="32" t="n"/>
      <c r="U868" s="32" t="n"/>
      <c r="V868" s="32" t="n"/>
      <c r="W868" s="32" t="n"/>
      <c r="X868" s="32" t="n"/>
      <c r="Y868" s="32" t="n"/>
      <c r="Z868" s="32" t="n"/>
    </row>
    <row r="869">
      <c r="A869" s="32" t="n"/>
      <c r="B869" s="32" t="n"/>
      <c r="C869" s="32" t="n"/>
      <c r="D869" s="32" t="n"/>
      <c r="E869" s="32" t="n"/>
      <c r="F869" s="32" t="n"/>
      <c r="G869" s="32" t="n"/>
      <c r="H869" s="32" t="n"/>
      <c r="I869" s="32" t="n"/>
      <c r="J869" s="32" t="n"/>
      <c r="K869" s="32" t="n"/>
      <c r="L869" s="32" t="n"/>
      <c r="M869" s="32" t="n"/>
      <c r="N869" s="32" t="n"/>
      <c r="O869" s="32" t="n"/>
      <c r="P869" s="32" t="n"/>
      <c r="Q869" s="32" t="n"/>
      <c r="R869" s="32" t="n"/>
      <c r="S869" s="32" t="n"/>
      <c r="T869" s="32" t="n"/>
      <c r="U869" s="32" t="n"/>
      <c r="V869" s="32" t="n"/>
      <c r="W869" s="32" t="n"/>
      <c r="X869" s="32" t="n"/>
      <c r="Y869" s="32" t="n"/>
      <c r="Z869" s="32" t="n"/>
    </row>
    <row r="870">
      <c r="A870" s="32" t="n"/>
      <c r="B870" s="32" t="n"/>
      <c r="C870" s="32" t="n"/>
      <c r="D870" s="32" t="n"/>
      <c r="E870" s="32" t="n"/>
      <c r="F870" s="32" t="n"/>
      <c r="G870" s="32" t="n"/>
      <c r="H870" s="32" t="n"/>
      <c r="I870" s="32" t="n"/>
      <c r="J870" s="32" t="n"/>
      <c r="K870" s="32" t="n"/>
      <c r="L870" s="32" t="n"/>
      <c r="M870" s="32" t="n"/>
      <c r="N870" s="32" t="n"/>
      <c r="O870" s="32" t="n"/>
      <c r="P870" s="32" t="n"/>
      <c r="Q870" s="32" t="n"/>
      <c r="R870" s="32" t="n"/>
      <c r="S870" s="32" t="n"/>
      <c r="T870" s="32" t="n"/>
      <c r="U870" s="32" t="n"/>
      <c r="V870" s="32" t="n"/>
      <c r="W870" s="32" t="n"/>
      <c r="X870" s="32" t="n"/>
      <c r="Y870" s="32" t="n"/>
      <c r="Z870" s="32" t="n"/>
    </row>
    <row r="871">
      <c r="A871" s="32" t="n"/>
      <c r="B871" s="32" t="n"/>
      <c r="C871" s="32" t="n"/>
      <c r="D871" s="32" t="n"/>
      <c r="E871" s="32" t="n"/>
      <c r="F871" s="32" t="n"/>
      <c r="G871" s="32" t="n"/>
      <c r="H871" s="32" t="n"/>
      <c r="I871" s="32" t="n"/>
      <c r="J871" s="32" t="n"/>
      <c r="K871" s="32" t="n"/>
      <c r="L871" s="32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2" t="n"/>
      <c r="W871" s="32" t="n"/>
      <c r="X871" s="32" t="n"/>
      <c r="Y871" s="32" t="n"/>
      <c r="Z871" s="32" t="n"/>
    </row>
    <row r="872">
      <c r="A872" s="32" t="n"/>
      <c r="B872" s="32" t="n"/>
      <c r="C872" s="32" t="n"/>
      <c r="D872" s="32" t="n"/>
      <c r="E872" s="32" t="n"/>
      <c r="F872" s="32" t="n"/>
      <c r="G872" s="32" t="n"/>
      <c r="H872" s="32" t="n"/>
      <c r="I872" s="32" t="n"/>
      <c r="J872" s="32" t="n"/>
      <c r="K872" s="32" t="n"/>
      <c r="L872" s="32" t="n"/>
      <c r="M872" s="32" t="n"/>
      <c r="N872" s="32" t="n"/>
      <c r="O872" s="32" t="n"/>
      <c r="P872" s="32" t="n"/>
      <c r="Q872" s="32" t="n"/>
      <c r="R872" s="32" t="n"/>
      <c r="S872" s="32" t="n"/>
      <c r="T872" s="32" t="n"/>
      <c r="U872" s="32" t="n"/>
      <c r="V872" s="32" t="n"/>
      <c r="W872" s="32" t="n"/>
      <c r="X872" s="32" t="n"/>
      <c r="Y872" s="32" t="n"/>
      <c r="Z872" s="32" t="n"/>
    </row>
    <row r="873">
      <c r="A873" s="32" t="n"/>
      <c r="B873" s="32" t="n"/>
      <c r="C873" s="32" t="n"/>
      <c r="D873" s="32" t="n"/>
      <c r="E873" s="32" t="n"/>
      <c r="F873" s="32" t="n"/>
      <c r="G873" s="32" t="n"/>
      <c r="H873" s="32" t="n"/>
      <c r="I873" s="32" t="n"/>
      <c r="J873" s="32" t="n"/>
      <c r="K873" s="32" t="n"/>
      <c r="L873" s="32" t="n"/>
      <c r="M873" s="32" t="n"/>
      <c r="N873" s="32" t="n"/>
      <c r="O873" s="32" t="n"/>
      <c r="P873" s="32" t="n"/>
      <c r="Q873" s="32" t="n"/>
      <c r="R873" s="32" t="n"/>
      <c r="S873" s="32" t="n"/>
      <c r="T873" s="32" t="n"/>
      <c r="U873" s="32" t="n"/>
      <c r="V873" s="32" t="n"/>
      <c r="W873" s="32" t="n"/>
      <c r="X873" s="32" t="n"/>
      <c r="Y873" s="32" t="n"/>
      <c r="Z873" s="32" t="n"/>
    </row>
    <row r="874">
      <c r="A874" s="32" t="n"/>
      <c r="B874" s="32" t="n"/>
      <c r="C874" s="32" t="n"/>
      <c r="D874" s="32" t="n"/>
      <c r="E874" s="32" t="n"/>
      <c r="F874" s="32" t="n"/>
      <c r="G874" s="32" t="n"/>
      <c r="H874" s="32" t="n"/>
      <c r="I874" s="32" t="n"/>
      <c r="J874" s="32" t="n"/>
      <c r="K874" s="32" t="n"/>
      <c r="L874" s="32" t="n"/>
      <c r="M874" s="32" t="n"/>
      <c r="N874" s="32" t="n"/>
      <c r="O874" s="32" t="n"/>
      <c r="P874" s="32" t="n"/>
      <c r="Q874" s="32" t="n"/>
      <c r="R874" s="32" t="n"/>
      <c r="S874" s="32" t="n"/>
      <c r="T874" s="32" t="n"/>
      <c r="U874" s="32" t="n"/>
      <c r="V874" s="32" t="n"/>
      <c r="W874" s="32" t="n"/>
      <c r="X874" s="32" t="n"/>
      <c r="Y874" s="32" t="n"/>
      <c r="Z874" s="32" t="n"/>
    </row>
    <row r="875">
      <c r="A875" s="32" t="n"/>
      <c r="B875" s="32" t="n"/>
      <c r="C875" s="32" t="n"/>
      <c r="D875" s="32" t="n"/>
      <c r="E875" s="32" t="n"/>
      <c r="F875" s="32" t="n"/>
      <c r="G875" s="32" t="n"/>
      <c r="H875" s="32" t="n"/>
      <c r="I875" s="32" t="n"/>
      <c r="J875" s="32" t="n"/>
      <c r="K875" s="32" t="n"/>
      <c r="L875" s="32" t="n"/>
      <c r="M875" s="32" t="n"/>
      <c r="N875" s="32" t="n"/>
      <c r="O875" s="32" t="n"/>
      <c r="P875" s="32" t="n"/>
      <c r="Q875" s="32" t="n"/>
      <c r="R875" s="32" t="n"/>
      <c r="S875" s="32" t="n"/>
      <c r="T875" s="32" t="n"/>
      <c r="U875" s="32" t="n"/>
      <c r="V875" s="32" t="n"/>
      <c r="W875" s="32" t="n"/>
      <c r="X875" s="32" t="n"/>
      <c r="Y875" s="32" t="n"/>
      <c r="Z875" s="32" t="n"/>
    </row>
    <row r="876">
      <c r="A876" s="32" t="n"/>
      <c r="B876" s="32" t="n"/>
      <c r="C876" s="32" t="n"/>
      <c r="D876" s="32" t="n"/>
      <c r="E876" s="32" t="n"/>
      <c r="F876" s="32" t="n"/>
      <c r="G876" s="32" t="n"/>
      <c r="H876" s="32" t="n"/>
      <c r="I876" s="32" t="n"/>
      <c r="J876" s="32" t="n"/>
      <c r="K876" s="32" t="n"/>
      <c r="L876" s="32" t="n"/>
      <c r="M876" s="32" t="n"/>
      <c r="N876" s="32" t="n"/>
      <c r="O876" s="32" t="n"/>
      <c r="P876" s="32" t="n"/>
      <c r="Q876" s="32" t="n"/>
      <c r="R876" s="32" t="n"/>
      <c r="S876" s="32" t="n"/>
      <c r="T876" s="32" t="n"/>
      <c r="U876" s="32" t="n"/>
      <c r="V876" s="32" t="n"/>
      <c r="W876" s="32" t="n"/>
      <c r="X876" s="32" t="n"/>
      <c r="Y876" s="32" t="n"/>
      <c r="Z876" s="32" t="n"/>
    </row>
    <row r="877">
      <c r="A877" s="32" t="n"/>
      <c r="B877" s="32" t="n"/>
      <c r="C877" s="32" t="n"/>
      <c r="D877" s="32" t="n"/>
      <c r="E877" s="32" t="n"/>
      <c r="F877" s="32" t="n"/>
      <c r="G877" s="32" t="n"/>
      <c r="H877" s="32" t="n"/>
      <c r="I877" s="32" t="n"/>
      <c r="J877" s="32" t="n"/>
      <c r="K877" s="32" t="n"/>
      <c r="L877" s="32" t="n"/>
      <c r="M877" s="32" t="n"/>
      <c r="N877" s="32" t="n"/>
      <c r="O877" s="32" t="n"/>
      <c r="P877" s="32" t="n"/>
      <c r="Q877" s="32" t="n"/>
      <c r="R877" s="32" t="n"/>
      <c r="S877" s="32" t="n"/>
      <c r="T877" s="32" t="n"/>
      <c r="U877" s="32" t="n"/>
      <c r="V877" s="32" t="n"/>
      <c r="W877" s="32" t="n"/>
      <c r="X877" s="32" t="n"/>
      <c r="Y877" s="32" t="n"/>
      <c r="Z877" s="32" t="n"/>
    </row>
    <row r="878">
      <c r="A878" s="32" t="n"/>
      <c r="B878" s="32" t="n"/>
      <c r="C878" s="32" t="n"/>
      <c r="D878" s="32" t="n"/>
      <c r="E878" s="32" t="n"/>
      <c r="F878" s="32" t="n"/>
      <c r="G878" s="32" t="n"/>
      <c r="H878" s="32" t="n"/>
      <c r="I878" s="32" t="n"/>
      <c r="J878" s="32" t="n"/>
      <c r="K878" s="32" t="n"/>
      <c r="L878" s="32" t="n"/>
      <c r="M878" s="32" t="n"/>
      <c r="N878" s="32" t="n"/>
      <c r="O878" s="32" t="n"/>
      <c r="P878" s="32" t="n"/>
      <c r="Q878" s="32" t="n"/>
      <c r="R878" s="32" t="n"/>
      <c r="S878" s="32" t="n"/>
      <c r="T878" s="32" t="n"/>
      <c r="U878" s="32" t="n"/>
      <c r="V878" s="32" t="n"/>
      <c r="W878" s="32" t="n"/>
      <c r="X878" s="32" t="n"/>
      <c r="Y878" s="32" t="n"/>
      <c r="Z878" s="32" t="n"/>
    </row>
    <row r="879">
      <c r="A879" s="32" t="n"/>
      <c r="B879" s="32" t="n"/>
      <c r="C879" s="32" t="n"/>
      <c r="D879" s="32" t="n"/>
      <c r="E879" s="32" t="n"/>
      <c r="F879" s="32" t="n"/>
      <c r="G879" s="32" t="n"/>
      <c r="H879" s="32" t="n"/>
      <c r="I879" s="32" t="n"/>
      <c r="J879" s="32" t="n"/>
      <c r="K879" s="32" t="n"/>
      <c r="L879" s="32" t="n"/>
      <c r="M879" s="32" t="n"/>
      <c r="N879" s="32" t="n"/>
      <c r="O879" s="32" t="n"/>
      <c r="P879" s="32" t="n"/>
      <c r="Q879" s="32" t="n"/>
      <c r="R879" s="32" t="n"/>
      <c r="S879" s="32" t="n"/>
      <c r="T879" s="32" t="n"/>
      <c r="U879" s="32" t="n"/>
      <c r="V879" s="32" t="n"/>
      <c r="W879" s="32" t="n"/>
      <c r="X879" s="32" t="n"/>
      <c r="Y879" s="32" t="n"/>
      <c r="Z879" s="32" t="n"/>
    </row>
    <row r="880">
      <c r="A880" s="32" t="n"/>
      <c r="B880" s="32" t="n"/>
      <c r="C880" s="32" t="n"/>
      <c r="D880" s="32" t="n"/>
      <c r="E880" s="32" t="n"/>
      <c r="F880" s="32" t="n"/>
      <c r="G880" s="32" t="n"/>
      <c r="H880" s="32" t="n"/>
      <c r="I880" s="32" t="n"/>
      <c r="J880" s="32" t="n"/>
      <c r="K880" s="32" t="n"/>
      <c r="L880" s="32" t="n"/>
      <c r="M880" s="32" t="n"/>
      <c r="N880" s="32" t="n"/>
      <c r="O880" s="32" t="n"/>
      <c r="P880" s="32" t="n"/>
      <c r="Q880" s="32" t="n"/>
      <c r="R880" s="32" t="n"/>
      <c r="S880" s="32" t="n"/>
      <c r="T880" s="32" t="n"/>
      <c r="U880" s="32" t="n"/>
      <c r="V880" s="32" t="n"/>
      <c r="W880" s="32" t="n"/>
      <c r="X880" s="32" t="n"/>
      <c r="Y880" s="32" t="n"/>
      <c r="Z880" s="32" t="n"/>
    </row>
    <row r="881">
      <c r="A881" s="32" t="n"/>
      <c r="B881" s="32" t="n"/>
      <c r="C881" s="32" t="n"/>
      <c r="D881" s="32" t="n"/>
      <c r="E881" s="32" t="n"/>
      <c r="F881" s="32" t="n"/>
      <c r="G881" s="32" t="n"/>
      <c r="H881" s="32" t="n"/>
      <c r="I881" s="32" t="n"/>
      <c r="J881" s="32" t="n"/>
      <c r="K881" s="32" t="n"/>
      <c r="L881" s="32" t="n"/>
      <c r="M881" s="32" t="n"/>
      <c r="N881" s="32" t="n"/>
      <c r="O881" s="32" t="n"/>
      <c r="P881" s="32" t="n"/>
      <c r="Q881" s="32" t="n"/>
      <c r="R881" s="32" t="n"/>
      <c r="S881" s="32" t="n"/>
      <c r="T881" s="32" t="n"/>
      <c r="U881" s="32" t="n"/>
      <c r="V881" s="32" t="n"/>
      <c r="W881" s="32" t="n"/>
      <c r="X881" s="32" t="n"/>
      <c r="Y881" s="32" t="n"/>
      <c r="Z881" s="32" t="n"/>
    </row>
    <row r="882">
      <c r="A882" s="32" t="n"/>
      <c r="B882" s="32" t="n"/>
      <c r="C882" s="32" t="n"/>
      <c r="D882" s="32" t="n"/>
      <c r="E882" s="32" t="n"/>
      <c r="F882" s="32" t="n"/>
      <c r="G882" s="32" t="n"/>
      <c r="H882" s="32" t="n"/>
      <c r="I882" s="32" t="n"/>
      <c r="J882" s="32" t="n"/>
      <c r="K882" s="32" t="n"/>
      <c r="L882" s="32" t="n"/>
      <c r="M882" s="32" t="n"/>
      <c r="N882" s="32" t="n"/>
      <c r="O882" s="32" t="n"/>
      <c r="P882" s="32" t="n"/>
      <c r="Q882" s="32" t="n"/>
      <c r="R882" s="32" t="n"/>
      <c r="S882" s="32" t="n"/>
      <c r="T882" s="32" t="n"/>
      <c r="U882" s="32" t="n"/>
      <c r="V882" s="32" t="n"/>
      <c r="W882" s="32" t="n"/>
      <c r="X882" s="32" t="n"/>
      <c r="Y882" s="32" t="n"/>
      <c r="Z882" s="32" t="n"/>
    </row>
    <row r="883">
      <c r="A883" s="32" t="n"/>
      <c r="B883" s="32" t="n"/>
      <c r="C883" s="32" t="n"/>
      <c r="D883" s="32" t="n"/>
      <c r="E883" s="32" t="n"/>
      <c r="F883" s="32" t="n"/>
      <c r="G883" s="32" t="n"/>
      <c r="H883" s="32" t="n"/>
      <c r="I883" s="32" t="n"/>
      <c r="J883" s="32" t="n"/>
      <c r="K883" s="32" t="n"/>
      <c r="L883" s="32" t="n"/>
      <c r="M883" s="32" t="n"/>
      <c r="N883" s="32" t="n"/>
      <c r="O883" s="32" t="n"/>
      <c r="P883" s="32" t="n"/>
      <c r="Q883" s="32" t="n"/>
      <c r="R883" s="32" t="n"/>
      <c r="S883" s="32" t="n"/>
      <c r="T883" s="32" t="n"/>
      <c r="U883" s="32" t="n"/>
      <c r="V883" s="32" t="n"/>
      <c r="W883" s="32" t="n"/>
      <c r="X883" s="32" t="n"/>
      <c r="Y883" s="32" t="n"/>
      <c r="Z883" s="32" t="n"/>
    </row>
    <row r="884">
      <c r="A884" s="32" t="n"/>
      <c r="B884" s="32" t="n"/>
      <c r="C884" s="32" t="n"/>
      <c r="D884" s="32" t="n"/>
      <c r="E884" s="32" t="n"/>
      <c r="F884" s="32" t="n"/>
      <c r="G884" s="32" t="n"/>
      <c r="H884" s="32" t="n"/>
      <c r="I884" s="32" t="n"/>
      <c r="J884" s="32" t="n"/>
      <c r="K884" s="32" t="n"/>
      <c r="L884" s="32" t="n"/>
      <c r="M884" s="32" t="n"/>
      <c r="N884" s="32" t="n"/>
      <c r="O884" s="32" t="n"/>
      <c r="P884" s="32" t="n"/>
      <c r="Q884" s="32" t="n"/>
      <c r="R884" s="32" t="n"/>
      <c r="S884" s="32" t="n"/>
      <c r="T884" s="32" t="n"/>
      <c r="U884" s="32" t="n"/>
      <c r="V884" s="32" t="n"/>
      <c r="W884" s="32" t="n"/>
      <c r="X884" s="32" t="n"/>
      <c r="Y884" s="32" t="n"/>
      <c r="Z884" s="32" t="n"/>
    </row>
    <row r="885">
      <c r="A885" s="32" t="n"/>
      <c r="B885" s="32" t="n"/>
      <c r="C885" s="32" t="n"/>
      <c r="D885" s="32" t="n"/>
      <c r="E885" s="32" t="n"/>
      <c r="F885" s="32" t="n"/>
      <c r="G885" s="32" t="n"/>
      <c r="H885" s="32" t="n"/>
      <c r="I885" s="32" t="n"/>
      <c r="J885" s="32" t="n"/>
      <c r="K885" s="32" t="n"/>
      <c r="L885" s="32" t="n"/>
      <c r="M885" s="32" t="n"/>
      <c r="N885" s="32" t="n"/>
      <c r="O885" s="32" t="n"/>
      <c r="P885" s="32" t="n"/>
      <c r="Q885" s="32" t="n"/>
      <c r="R885" s="32" t="n"/>
      <c r="S885" s="32" t="n"/>
      <c r="T885" s="32" t="n"/>
      <c r="U885" s="32" t="n"/>
      <c r="V885" s="32" t="n"/>
      <c r="W885" s="32" t="n"/>
      <c r="X885" s="32" t="n"/>
      <c r="Y885" s="32" t="n"/>
      <c r="Z885" s="32" t="n"/>
    </row>
    <row r="886">
      <c r="A886" s="32" t="n"/>
      <c r="B886" s="32" t="n"/>
      <c r="C886" s="32" t="n"/>
      <c r="D886" s="32" t="n"/>
      <c r="E886" s="32" t="n"/>
      <c r="F886" s="32" t="n"/>
      <c r="G886" s="32" t="n"/>
      <c r="H886" s="32" t="n"/>
      <c r="I886" s="32" t="n"/>
      <c r="J886" s="32" t="n"/>
      <c r="K886" s="32" t="n"/>
      <c r="L886" s="32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2" t="n"/>
      <c r="W886" s="32" t="n"/>
      <c r="X886" s="32" t="n"/>
      <c r="Y886" s="32" t="n"/>
      <c r="Z886" s="32" t="n"/>
    </row>
    <row r="887">
      <c r="A887" s="32" t="n"/>
      <c r="B887" s="32" t="n"/>
      <c r="C887" s="32" t="n"/>
      <c r="D887" s="32" t="n"/>
      <c r="E887" s="32" t="n"/>
      <c r="F887" s="32" t="n"/>
      <c r="G887" s="32" t="n"/>
      <c r="H887" s="32" t="n"/>
      <c r="I887" s="32" t="n"/>
      <c r="J887" s="32" t="n"/>
      <c r="K887" s="32" t="n"/>
      <c r="L887" s="32" t="n"/>
      <c r="M887" s="32" t="n"/>
      <c r="N887" s="32" t="n"/>
      <c r="O887" s="32" t="n"/>
      <c r="P887" s="32" t="n"/>
      <c r="Q887" s="32" t="n"/>
      <c r="R887" s="32" t="n"/>
      <c r="S887" s="32" t="n"/>
      <c r="T887" s="32" t="n"/>
      <c r="U887" s="32" t="n"/>
      <c r="V887" s="32" t="n"/>
      <c r="W887" s="32" t="n"/>
      <c r="X887" s="32" t="n"/>
      <c r="Y887" s="32" t="n"/>
      <c r="Z887" s="32" t="n"/>
    </row>
    <row r="888">
      <c r="A888" s="32" t="n"/>
      <c r="B888" s="32" t="n"/>
      <c r="C888" s="32" t="n"/>
      <c r="D888" s="32" t="n"/>
      <c r="E888" s="32" t="n"/>
      <c r="F888" s="32" t="n"/>
      <c r="G888" s="32" t="n"/>
      <c r="H888" s="32" t="n"/>
      <c r="I888" s="32" t="n"/>
      <c r="J888" s="32" t="n"/>
      <c r="K888" s="32" t="n"/>
      <c r="L888" s="32" t="n"/>
      <c r="M888" s="32" t="n"/>
      <c r="N888" s="32" t="n"/>
      <c r="O888" s="32" t="n"/>
      <c r="P888" s="32" t="n"/>
      <c r="Q888" s="32" t="n"/>
      <c r="R888" s="32" t="n"/>
      <c r="S888" s="32" t="n"/>
      <c r="T888" s="32" t="n"/>
      <c r="U888" s="32" t="n"/>
      <c r="V888" s="32" t="n"/>
      <c r="W888" s="32" t="n"/>
      <c r="X888" s="32" t="n"/>
      <c r="Y888" s="32" t="n"/>
      <c r="Z888" s="32" t="n"/>
    </row>
    <row r="889">
      <c r="A889" s="32" t="n"/>
      <c r="B889" s="32" t="n"/>
      <c r="C889" s="32" t="n"/>
      <c r="D889" s="32" t="n"/>
      <c r="E889" s="32" t="n"/>
      <c r="F889" s="32" t="n"/>
      <c r="G889" s="32" t="n"/>
      <c r="H889" s="32" t="n"/>
      <c r="I889" s="32" t="n"/>
      <c r="J889" s="32" t="n"/>
      <c r="K889" s="32" t="n"/>
      <c r="L889" s="32" t="n"/>
      <c r="M889" s="32" t="n"/>
      <c r="N889" s="32" t="n"/>
      <c r="O889" s="32" t="n"/>
      <c r="P889" s="32" t="n"/>
      <c r="Q889" s="32" t="n"/>
      <c r="R889" s="32" t="n"/>
      <c r="S889" s="32" t="n"/>
      <c r="T889" s="32" t="n"/>
      <c r="U889" s="32" t="n"/>
      <c r="V889" s="32" t="n"/>
      <c r="W889" s="32" t="n"/>
      <c r="X889" s="32" t="n"/>
      <c r="Y889" s="32" t="n"/>
      <c r="Z889" s="32" t="n"/>
    </row>
    <row r="890">
      <c r="A890" s="32" t="n"/>
      <c r="B890" s="32" t="n"/>
      <c r="C890" s="32" t="n"/>
      <c r="D890" s="32" t="n"/>
      <c r="E890" s="32" t="n"/>
      <c r="F890" s="32" t="n"/>
      <c r="G890" s="32" t="n"/>
      <c r="H890" s="32" t="n"/>
      <c r="I890" s="32" t="n"/>
      <c r="J890" s="32" t="n"/>
      <c r="K890" s="32" t="n"/>
      <c r="L890" s="32" t="n"/>
      <c r="M890" s="32" t="n"/>
      <c r="N890" s="32" t="n"/>
      <c r="O890" s="32" t="n"/>
      <c r="P890" s="32" t="n"/>
      <c r="Q890" s="32" t="n"/>
      <c r="R890" s="32" t="n"/>
      <c r="S890" s="32" t="n"/>
      <c r="T890" s="32" t="n"/>
      <c r="U890" s="32" t="n"/>
      <c r="V890" s="32" t="n"/>
      <c r="W890" s="32" t="n"/>
      <c r="X890" s="32" t="n"/>
      <c r="Y890" s="32" t="n"/>
      <c r="Z890" s="32" t="n"/>
    </row>
    <row r="891">
      <c r="A891" s="32" t="n"/>
      <c r="B891" s="32" t="n"/>
      <c r="C891" s="32" t="n"/>
      <c r="D891" s="32" t="n"/>
      <c r="E891" s="32" t="n"/>
      <c r="F891" s="32" t="n"/>
      <c r="G891" s="32" t="n"/>
      <c r="H891" s="32" t="n"/>
      <c r="I891" s="32" t="n"/>
      <c r="J891" s="32" t="n"/>
      <c r="K891" s="32" t="n"/>
      <c r="L891" s="32" t="n"/>
      <c r="M891" s="32" t="n"/>
      <c r="N891" s="32" t="n"/>
      <c r="O891" s="32" t="n"/>
      <c r="P891" s="32" t="n"/>
      <c r="Q891" s="32" t="n"/>
      <c r="R891" s="32" t="n"/>
      <c r="S891" s="32" t="n"/>
      <c r="T891" s="32" t="n"/>
      <c r="U891" s="32" t="n"/>
      <c r="V891" s="32" t="n"/>
      <c r="W891" s="32" t="n"/>
      <c r="X891" s="32" t="n"/>
      <c r="Y891" s="32" t="n"/>
      <c r="Z891" s="32" t="n"/>
    </row>
    <row r="892">
      <c r="A892" s="32" t="n"/>
      <c r="B892" s="32" t="n"/>
      <c r="C892" s="32" t="n"/>
      <c r="D892" s="32" t="n"/>
      <c r="E892" s="32" t="n"/>
      <c r="F892" s="32" t="n"/>
      <c r="G892" s="32" t="n"/>
      <c r="H892" s="32" t="n"/>
      <c r="I892" s="32" t="n"/>
      <c r="J892" s="32" t="n"/>
      <c r="K892" s="32" t="n"/>
      <c r="L892" s="32" t="n"/>
      <c r="M892" s="32" t="n"/>
      <c r="N892" s="32" t="n"/>
      <c r="O892" s="32" t="n"/>
      <c r="P892" s="32" t="n"/>
      <c r="Q892" s="32" t="n"/>
      <c r="R892" s="32" t="n"/>
      <c r="S892" s="32" t="n"/>
      <c r="T892" s="32" t="n"/>
      <c r="U892" s="32" t="n"/>
      <c r="V892" s="32" t="n"/>
      <c r="W892" s="32" t="n"/>
      <c r="X892" s="32" t="n"/>
      <c r="Y892" s="32" t="n"/>
      <c r="Z892" s="32" t="n"/>
    </row>
    <row r="893">
      <c r="A893" s="32" t="n"/>
      <c r="B893" s="32" t="n"/>
      <c r="C893" s="32" t="n"/>
      <c r="D893" s="32" t="n"/>
      <c r="E893" s="32" t="n"/>
      <c r="F893" s="32" t="n"/>
      <c r="G893" s="32" t="n"/>
      <c r="H893" s="32" t="n"/>
      <c r="I893" s="32" t="n"/>
      <c r="J893" s="32" t="n"/>
      <c r="K893" s="32" t="n"/>
      <c r="L893" s="32" t="n"/>
      <c r="M893" s="32" t="n"/>
      <c r="N893" s="32" t="n"/>
      <c r="O893" s="32" t="n"/>
      <c r="P893" s="32" t="n"/>
      <c r="Q893" s="32" t="n"/>
      <c r="R893" s="32" t="n"/>
      <c r="S893" s="32" t="n"/>
      <c r="T893" s="32" t="n"/>
      <c r="U893" s="32" t="n"/>
      <c r="V893" s="32" t="n"/>
      <c r="W893" s="32" t="n"/>
      <c r="X893" s="32" t="n"/>
      <c r="Y893" s="32" t="n"/>
      <c r="Z893" s="32" t="n"/>
    </row>
    <row r="894">
      <c r="A894" s="32" t="n"/>
      <c r="B894" s="32" t="n"/>
      <c r="C894" s="32" t="n"/>
      <c r="D894" s="32" t="n"/>
      <c r="E894" s="32" t="n"/>
      <c r="F894" s="32" t="n"/>
      <c r="G894" s="32" t="n"/>
      <c r="H894" s="32" t="n"/>
      <c r="I894" s="32" t="n"/>
      <c r="J894" s="32" t="n"/>
      <c r="K894" s="32" t="n"/>
      <c r="L894" s="32" t="n"/>
      <c r="M894" s="32" t="n"/>
      <c r="N894" s="32" t="n"/>
      <c r="O894" s="32" t="n"/>
      <c r="P894" s="32" t="n"/>
      <c r="Q894" s="32" t="n"/>
      <c r="R894" s="32" t="n"/>
      <c r="S894" s="32" t="n"/>
      <c r="T894" s="32" t="n"/>
      <c r="U894" s="32" t="n"/>
      <c r="V894" s="32" t="n"/>
      <c r="W894" s="32" t="n"/>
      <c r="X894" s="32" t="n"/>
      <c r="Y894" s="32" t="n"/>
      <c r="Z894" s="32" t="n"/>
    </row>
    <row r="895">
      <c r="A895" s="32" t="n"/>
      <c r="B895" s="32" t="n"/>
      <c r="C895" s="32" t="n"/>
      <c r="D895" s="32" t="n"/>
      <c r="E895" s="32" t="n"/>
      <c r="F895" s="32" t="n"/>
      <c r="G895" s="32" t="n"/>
      <c r="H895" s="32" t="n"/>
      <c r="I895" s="32" t="n"/>
      <c r="J895" s="32" t="n"/>
      <c r="K895" s="32" t="n"/>
      <c r="L895" s="32" t="n"/>
      <c r="M895" s="32" t="n"/>
      <c r="N895" s="32" t="n"/>
      <c r="O895" s="32" t="n"/>
      <c r="P895" s="32" t="n"/>
      <c r="Q895" s="32" t="n"/>
      <c r="R895" s="32" t="n"/>
      <c r="S895" s="32" t="n"/>
      <c r="T895" s="32" t="n"/>
      <c r="U895" s="32" t="n"/>
      <c r="V895" s="32" t="n"/>
      <c r="W895" s="32" t="n"/>
      <c r="X895" s="32" t="n"/>
      <c r="Y895" s="32" t="n"/>
      <c r="Z895" s="32" t="n"/>
    </row>
    <row r="896">
      <c r="A896" s="32" t="n"/>
      <c r="B896" s="32" t="n"/>
      <c r="C896" s="32" t="n"/>
      <c r="D896" s="32" t="n"/>
      <c r="E896" s="32" t="n"/>
      <c r="F896" s="32" t="n"/>
      <c r="G896" s="32" t="n"/>
      <c r="H896" s="32" t="n"/>
      <c r="I896" s="32" t="n"/>
      <c r="J896" s="32" t="n"/>
      <c r="K896" s="32" t="n"/>
      <c r="L896" s="32" t="n"/>
      <c r="M896" s="32" t="n"/>
      <c r="N896" s="32" t="n"/>
      <c r="O896" s="32" t="n"/>
      <c r="P896" s="32" t="n"/>
      <c r="Q896" s="32" t="n"/>
      <c r="R896" s="32" t="n"/>
      <c r="S896" s="32" t="n"/>
      <c r="T896" s="32" t="n"/>
      <c r="U896" s="32" t="n"/>
      <c r="V896" s="32" t="n"/>
      <c r="W896" s="32" t="n"/>
      <c r="X896" s="32" t="n"/>
      <c r="Y896" s="32" t="n"/>
      <c r="Z896" s="32" t="n"/>
    </row>
    <row r="897">
      <c r="A897" s="32" t="n"/>
      <c r="B897" s="32" t="n"/>
      <c r="C897" s="32" t="n"/>
      <c r="D897" s="32" t="n"/>
      <c r="E897" s="32" t="n"/>
      <c r="F897" s="32" t="n"/>
      <c r="G897" s="32" t="n"/>
      <c r="H897" s="32" t="n"/>
      <c r="I897" s="32" t="n"/>
      <c r="J897" s="32" t="n"/>
      <c r="K897" s="32" t="n"/>
      <c r="L897" s="32" t="n"/>
      <c r="M897" s="32" t="n"/>
      <c r="N897" s="32" t="n"/>
      <c r="O897" s="32" t="n"/>
      <c r="P897" s="32" t="n"/>
      <c r="Q897" s="32" t="n"/>
      <c r="R897" s="32" t="n"/>
      <c r="S897" s="32" t="n"/>
      <c r="T897" s="32" t="n"/>
      <c r="U897" s="32" t="n"/>
      <c r="V897" s="32" t="n"/>
      <c r="W897" s="32" t="n"/>
      <c r="X897" s="32" t="n"/>
      <c r="Y897" s="32" t="n"/>
      <c r="Z897" s="32" t="n"/>
    </row>
    <row r="898">
      <c r="A898" s="32" t="n"/>
      <c r="B898" s="32" t="n"/>
      <c r="C898" s="32" t="n"/>
      <c r="D898" s="32" t="n"/>
      <c r="E898" s="32" t="n"/>
      <c r="F898" s="32" t="n"/>
      <c r="G898" s="32" t="n"/>
      <c r="H898" s="32" t="n"/>
      <c r="I898" s="32" t="n"/>
      <c r="J898" s="32" t="n"/>
      <c r="K898" s="32" t="n"/>
      <c r="L898" s="32" t="n"/>
      <c r="M898" s="32" t="n"/>
      <c r="N898" s="32" t="n"/>
      <c r="O898" s="32" t="n"/>
      <c r="P898" s="32" t="n"/>
      <c r="Q898" s="32" t="n"/>
      <c r="R898" s="32" t="n"/>
      <c r="S898" s="32" t="n"/>
      <c r="T898" s="32" t="n"/>
      <c r="U898" s="32" t="n"/>
      <c r="V898" s="32" t="n"/>
      <c r="W898" s="32" t="n"/>
      <c r="X898" s="32" t="n"/>
      <c r="Y898" s="32" t="n"/>
      <c r="Z898" s="32" t="n"/>
    </row>
    <row r="899">
      <c r="A899" s="32" t="n"/>
      <c r="B899" s="32" t="n"/>
      <c r="C899" s="32" t="n"/>
      <c r="D899" s="32" t="n"/>
      <c r="E899" s="32" t="n"/>
      <c r="F899" s="32" t="n"/>
      <c r="G899" s="32" t="n"/>
      <c r="H899" s="32" t="n"/>
      <c r="I899" s="32" t="n"/>
      <c r="J899" s="32" t="n"/>
      <c r="K899" s="32" t="n"/>
      <c r="L899" s="32" t="n"/>
      <c r="M899" s="32" t="n"/>
      <c r="N899" s="32" t="n"/>
      <c r="O899" s="32" t="n"/>
      <c r="P899" s="32" t="n"/>
      <c r="Q899" s="32" t="n"/>
      <c r="R899" s="32" t="n"/>
      <c r="S899" s="32" t="n"/>
      <c r="T899" s="32" t="n"/>
      <c r="U899" s="32" t="n"/>
      <c r="V899" s="32" t="n"/>
      <c r="W899" s="32" t="n"/>
      <c r="X899" s="32" t="n"/>
      <c r="Y899" s="32" t="n"/>
      <c r="Z899" s="32" t="n"/>
    </row>
    <row r="900">
      <c r="A900" s="32" t="n"/>
      <c r="B900" s="32" t="n"/>
      <c r="C900" s="32" t="n"/>
      <c r="D900" s="32" t="n"/>
      <c r="E900" s="32" t="n"/>
      <c r="F900" s="32" t="n"/>
      <c r="G900" s="32" t="n"/>
      <c r="H900" s="32" t="n"/>
      <c r="I900" s="32" t="n"/>
      <c r="J900" s="32" t="n"/>
      <c r="K900" s="32" t="n"/>
      <c r="L900" s="32" t="n"/>
      <c r="M900" s="32" t="n"/>
      <c r="N900" s="32" t="n"/>
      <c r="O900" s="32" t="n"/>
      <c r="P900" s="32" t="n"/>
      <c r="Q900" s="32" t="n"/>
      <c r="R900" s="32" t="n"/>
      <c r="S900" s="32" t="n"/>
      <c r="T900" s="32" t="n"/>
      <c r="U900" s="32" t="n"/>
      <c r="V900" s="32" t="n"/>
      <c r="W900" s="32" t="n"/>
      <c r="X900" s="32" t="n"/>
      <c r="Y900" s="32" t="n"/>
      <c r="Z900" s="32" t="n"/>
    </row>
    <row r="901">
      <c r="A901" s="32" t="n"/>
      <c r="B901" s="32" t="n"/>
      <c r="C901" s="32" t="n"/>
      <c r="D901" s="32" t="n"/>
      <c r="E901" s="32" t="n"/>
      <c r="F901" s="32" t="n"/>
      <c r="G901" s="32" t="n"/>
      <c r="H901" s="32" t="n"/>
      <c r="I901" s="32" t="n"/>
      <c r="J901" s="32" t="n"/>
      <c r="K901" s="32" t="n"/>
      <c r="L901" s="32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2" t="n"/>
      <c r="W901" s="32" t="n"/>
      <c r="X901" s="32" t="n"/>
      <c r="Y901" s="32" t="n"/>
      <c r="Z901" s="32" t="n"/>
    </row>
    <row r="902">
      <c r="A902" s="32" t="n"/>
      <c r="B902" s="32" t="n"/>
      <c r="C902" s="32" t="n"/>
      <c r="D902" s="32" t="n"/>
      <c r="E902" s="32" t="n"/>
      <c r="F902" s="32" t="n"/>
      <c r="G902" s="32" t="n"/>
      <c r="H902" s="32" t="n"/>
      <c r="I902" s="32" t="n"/>
      <c r="J902" s="32" t="n"/>
      <c r="K902" s="32" t="n"/>
      <c r="L902" s="32" t="n"/>
      <c r="M902" s="32" t="n"/>
      <c r="N902" s="32" t="n"/>
      <c r="O902" s="32" t="n"/>
      <c r="P902" s="32" t="n"/>
      <c r="Q902" s="32" t="n"/>
      <c r="R902" s="32" t="n"/>
      <c r="S902" s="32" t="n"/>
      <c r="T902" s="32" t="n"/>
      <c r="U902" s="32" t="n"/>
      <c r="V902" s="32" t="n"/>
      <c r="W902" s="32" t="n"/>
      <c r="X902" s="32" t="n"/>
      <c r="Y902" s="32" t="n"/>
      <c r="Z902" s="32" t="n"/>
    </row>
    <row r="903">
      <c r="A903" s="32" t="n"/>
      <c r="B903" s="32" t="n"/>
      <c r="C903" s="32" t="n"/>
      <c r="D903" s="32" t="n"/>
      <c r="E903" s="32" t="n"/>
      <c r="F903" s="32" t="n"/>
      <c r="G903" s="32" t="n"/>
      <c r="H903" s="32" t="n"/>
      <c r="I903" s="32" t="n"/>
      <c r="J903" s="32" t="n"/>
      <c r="K903" s="32" t="n"/>
      <c r="L903" s="32" t="n"/>
      <c r="M903" s="32" t="n"/>
      <c r="N903" s="32" t="n"/>
      <c r="O903" s="32" t="n"/>
      <c r="P903" s="32" t="n"/>
      <c r="Q903" s="32" t="n"/>
      <c r="R903" s="32" t="n"/>
      <c r="S903" s="32" t="n"/>
      <c r="T903" s="32" t="n"/>
      <c r="U903" s="32" t="n"/>
      <c r="V903" s="32" t="n"/>
      <c r="W903" s="32" t="n"/>
      <c r="X903" s="32" t="n"/>
      <c r="Y903" s="32" t="n"/>
      <c r="Z903" s="32" t="n"/>
    </row>
    <row r="904">
      <c r="A904" s="32" t="n"/>
      <c r="B904" s="32" t="n"/>
      <c r="C904" s="32" t="n"/>
      <c r="D904" s="32" t="n"/>
      <c r="E904" s="32" t="n"/>
      <c r="F904" s="32" t="n"/>
      <c r="G904" s="32" t="n"/>
      <c r="H904" s="32" t="n"/>
      <c r="I904" s="32" t="n"/>
      <c r="J904" s="32" t="n"/>
      <c r="K904" s="32" t="n"/>
      <c r="L904" s="32" t="n"/>
      <c r="M904" s="32" t="n"/>
      <c r="N904" s="32" t="n"/>
      <c r="O904" s="32" t="n"/>
      <c r="P904" s="32" t="n"/>
      <c r="Q904" s="32" t="n"/>
      <c r="R904" s="32" t="n"/>
      <c r="S904" s="32" t="n"/>
      <c r="T904" s="32" t="n"/>
      <c r="U904" s="32" t="n"/>
      <c r="V904" s="32" t="n"/>
      <c r="W904" s="32" t="n"/>
      <c r="X904" s="32" t="n"/>
      <c r="Y904" s="32" t="n"/>
      <c r="Z904" s="32" t="n"/>
    </row>
    <row r="905">
      <c r="A905" s="32" t="n"/>
      <c r="B905" s="32" t="n"/>
      <c r="C905" s="32" t="n"/>
      <c r="D905" s="32" t="n"/>
      <c r="E905" s="32" t="n"/>
      <c r="F905" s="32" t="n"/>
      <c r="G905" s="32" t="n"/>
      <c r="H905" s="32" t="n"/>
      <c r="I905" s="32" t="n"/>
      <c r="J905" s="32" t="n"/>
      <c r="K905" s="32" t="n"/>
      <c r="L905" s="32" t="n"/>
      <c r="M905" s="32" t="n"/>
      <c r="N905" s="32" t="n"/>
      <c r="O905" s="32" t="n"/>
      <c r="P905" s="32" t="n"/>
      <c r="Q905" s="32" t="n"/>
      <c r="R905" s="32" t="n"/>
      <c r="S905" s="32" t="n"/>
      <c r="T905" s="32" t="n"/>
      <c r="U905" s="32" t="n"/>
      <c r="V905" s="32" t="n"/>
      <c r="W905" s="32" t="n"/>
      <c r="X905" s="32" t="n"/>
      <c r="Y905" s="32" t="n"/>
      <c r="Z905" s="32" t="n"/>
    </row>
    <row r="906">
      <c r="A906" s="32" t="n"/>
      <c r="B906" s="32" t="n"/>
      <c r="C906" s="32" t="n"/>
      <c r="D906" s="32" t="n"/>
      <c r="E906" s="32" t="n"/>
      <c r="F906" s="32" t="n"/>
      <c r="G906" s="32" t="n"/>
      <c r="H906" s="32" t="n"/>
      <c r="I906" s="32" t="n"/>
      <c r="J906" s="32" t="n"/>
      <c r="K906" s="32" t="n"/>
      <c r="L906" s="32" t="n"/>
      <c r="M906" s="32" t="n"/>
      <c r="N906" s="32" t="n"/>
      <c r="O906" s="32" t="n"/>
      <c r="P906" s="32" t="n"/>
      <c r="Q906" s="32" t="n"/>
      <c r="R906" s="32" t="n"/>
      <c r="S906" s="32" t="n"/>
      <c r="T906" s="32" t="n"/>
      <c r="U906" s="32" t="n"/>
      <c r="V906" s="32" t="n"/>
      <c r="W906" s="32" t="n"/>
      <c r="X906" s="32" t="n"/>
      <c r="Y906" s="32" t="n"/>
      <c r="Z906" s="32" t="n"/>
    </row>
    <row r="907">
      <c r="A907" s="32" t="n"/>
      <c r="B907" s="32" t="n"/>
      <c r="C907" s="32" t="n"/>
      <c r="D907" s="32" t="n"/>
      <c r="E907" s="32" t="n"/>
      <c r="F907" s="32" t="n"/>
      <c r="G907" s="32" t="n"/>
      <c r="H907" s="32" t="n"/>
      <c r="I907" s="32" t="n"/>
      <c r="J907" s="32" t="n"/>
      <c r="K907" s="32" t="n"/>
      <c r="L907" s="32" t="n"/>
      <c r="M907" s="32" t="n"/>
      <c r="N907" s="32" t="n"/>
      <c r="O907" s="32" t="n"/>
      <c r="P907" s="32" t="n"/>
      <c r="Q907" s="32" t="n"/>
      <c r="R907" s="32" t="n"/>
      <c r="S907" s="32" t="n"/>
      <c r="T907" s="32" t="n"/>
      <c r="U907" s="32" t="n"/>
      <c r="V907" s="32" t="n"/>
      <c r="W907" s="32" t="n"/>
      <c r="X907" s="32" t="n"/>
      <c r="Y907" s="32" t="n"/>
      <c r="Z907" s="32" t="n"/>
    </row>
    <row r="908">
      <c r="A908" s="32" t="n"/>
      <c r="B908" s="32" t="n"/>
      <c r="C908" s="32" t="n"/>
      <c r="D908" s="32" t="n"/>
      <c r="E908" s="32" t="n"/>
      <c r="F908" s="32" t="n"/>
      <c r="G908" s="32" t="n"/>
      <c r="H908" s="32" t="n"/>
      <c r="I908" s="32" t="n"/>
      <c r="J908" s="32" t="n"/>
      <c r="K908" s="32" t="n"/>
      <c r="L908" s="32" t="n"/>
      <c r="M908" s="32" t="n"/>
      <c r="N908" s="32" t="n"/>
      <c r="O908" s="32" t="n"/>
      <c r="P908" s="32" t="n"/>
      <c r="Q908" s="32" t="n"/>
      <c r="R908" s="32" t="n"/>
      <c r="S908" s="32" t="n"/>
      <c r="T908" s="32" t="n"/>
      <c r="U908" s="32" t="n"/>
      <c r="V908" s="32" t="n"/>
      <c r="W908" s="32" t="n"/>
      <c r="X908" s="32" t="n"/>
      <c r="Y908" s="32" t="n"/>
      <c r="Z908" s="32" t="n"/>
    </row>
    <row r="909">
      <c r="A909" s="32" t="n"/>
      <c r="B909" s="32" t="n"/>
      <c r="C909" s="32" t="n"/>
      <c r="D909" s="32" t="n"/>
      <c r="E909" s="32" t="n"/>
      <c r="F909" s="32" t="n"/>
      <c r="G909" s="32" t="n"/>
      <c r="H909" s="32" t="n"/>
      <c r="I909" s="32" t="n"/>
      <c r="J909" s="32" t="n"/>
      <c r="K909" s="32" t="n"/>
      <c r="L909" s="32" t="n"/>
      <c r="M909" s="32" t="n"/>
      <c r="N909" s="32" t="n"/>
      <c r="O909" s="32" t="n"/>
      <c r="P909" s="32" t="n"/>
      <c r="Q909" s="32" t="n"/>
      <c r="R909" s="32" t="n"/>
      <c r="S909" s="32" t="n"/>
      <c r="T909" s="32" t="n"/>
      <c r="U909" s="32" t="n"/>
      <c r="V909" s="32" t="n"/>
      <c r="W909" s="32" t="n"/>
      <c r="X909" s="32" t="n"/>
      <c r="Y909" s="32" t="n"/>
      <c r="Z909" s="32" t="n"/>
    </row>
    <row r="910">
      <c r="A910" s="32" t="n"/>
      <c r="B910" s="32" t="n"/>
      <c r="C910" s="32" t="n"/>
      <c r="D910" s="32" t="n"/>
      <c r="E910" s="32" t="n"/>
      <c r="F910" s="32" t="n"/>
      <c r="G910" s="32" t="n"/>
      <c r="H910" s="32" t="n"/>
      <c r="I910" s="32" t="n"/>
      <c r="J910" s="32" t="n"/>
      <c r="K910" s="32" t="n"/>
      <c r="L910" s="32" t="n"/>
      <c r="M910" s="32" t="n"/>
      <c r="N910" s="32" t="n"/>
      <c r="O910" s="32" t="n"/>
      <c r="P910" s="32" t="n"/>
      <c r="Q910" s="32" t="n"/>
      <c r="R910" s="32" t="n"/>
      <c r="S910" s="32" t="n"/>
      <c r="T910" s="32" t="n"/>
      <c r="U910" s="32" t="n"/>
      <c r="V910" s="32" t="n"/>
      <c r="W910" s="32" t="n"/>
      <c r="X910" s="32" t="n"/>
      <c r="Y910" s="32" t="n"/>
      <c r="Z910" s="32" t="n"/>
    </row>
    <row r="911">
      <c r="A911" s="32" t="n"/>
      <c r="B911" s="32" t="n"/>
      <c r="C911" s="32" t="n"/>
      <c r="D911" s="32" t="n"/>
      <c r="E911" s="32" t="n"/>
      <c r="F911" s="32" t="n"/>
      <c r="G911" s="32" t="n"/>
      <c r="H911" s="32" t="n"/>
      <c r="I911" s="32" t="n"/>
      <c r="J911" s="32" t="n"/>
      <c r="K911" s="32" t="n"/>
      <c r="L911" s="32" t="n"/>
      <c r="M911" s="32" t="n"/>
      <c r="N911" s="32" t="n"/>
      <c r="O911" s="32" t="n"/>
      <c r="P911" s="32" t="n"/>
      <c r="Q911" s="32" t="n"/>
      <c r="R911" s="32" t="n"/>
      <c r="S911" s="32" t="n"/>
      <c r="T911" s="32" t="n"/>
      <c r="U911" s="32" t="n"/>
      <c r="V911" s="32" t="n"/>
      <c r="W911" s="32" t="n"/>
      <c r="X911" s="32" t="n"/>
      <c r="Y911" s="32" t="n"/>
      <c r="Z911" s="32" t="n"/>
    </row>
    <row r="912">
      <c r="A912" s="32" t="n"/>
      <c r="B912" s="32" t="n"/>
      <c r="C912" s="32" t="n"/>
      <c r="D912" s="32" t="n"/>
      <c r="E912" s="32" t="n"/>
      <c r="F912" s="32" t="n"/>
      <c r="G912" s="32" t="n"/>
      <c r="H912" s="32" t="n"/>
      <c r="I912" s="32" t="n"/>
      <c r="J912" s="32" t="n"/>
      <c r="K912" s="32" t="n"/>
      <c r="L912" s="32" t="n"/>
      <c r="M912" s="32" t="n"/>
      <c r="N912" s="32" t="n"/>
      <c r="O912" s="32" t="n"/>
      <c r="P912" s="32" t="n"/>
      <c r="Q912" s="32" t="n"/>
      <c r="R912" s="32" t="n"/>
      <c r="S912" s="32" t="n"/>
      <c r="T912" s="32" t="n"/>
      <c r="U912" s="32" t="n"/>
      <c r="V912" s="32" t="n"/>
      <c r="W912" s="32" t="n"/>
      <c r="X912" s="32" t="n"/>
      <c r="Y912" s="32" t="n"/>
      <c r="Z912" s="32" t="n"/>
    </row>
    <row r="913">
      <c r="A913" s="32" t="n"/>
      <c r="B913" s="32" t="n"/>
      <c r="C913" s="32" t="n"/>
      <c r="D913" s="32" t="n"/>
      <c r="E913" s="32" t="n"/>
      <c r="F913" s="32" t="n"/>
      <c r="G913" s="32" t="n"/>
      <c r="H913" s="32" t="n"/>
      <c r="I913" s="32" t="n"/>
      <c r="J913" s="32" t="n"/>
      <c r="K913" s="32" t="n"/>
      <c r="L913" s="32" t="n"/>
      <c r="M913" s="32" t="n"/>
      <c r="N913" s="32" t="n"/>
      <c r="O913" s="32" t="n"/>
      <c r="P913" s="32" t="n"/>
      <c r="Q913" s="32" t="n"/>
      <c r="R913" s="32" t="n"/>
      <c r="S913" s="32" t="n"/>
      <c r="T913" s="32" t="n"/>
      <c r="U913" s="32" t="n"/>
      <c r="V913" s="32" t="n"/>
      <c r="W913" s="32" t="n"/>
      <c r="X913" s="32" t="n"/>
      <c r="Y913" s="32" t="n"/>
      <c r="Z913" s="32" t="n"/>
    </row>
    <row r="914">
      <c r="A914" s="32" t="n"/>
      <c r="B914" s="32" t="n"/>
      <c r="C914" s="32" t="n"/>
      <c r="D914" s="32" t="n"/>
      <c r="E914" s="32" t="n"/>
      <c r="F914" s="32" t="n"/>
      <c r="G914" s="32" t="n"/>
      <c r="H914" s="32" t="n"/>
      <c r="I914" s="32" t="n"/>
      <c r="J914" s="32" t="n"/>
      <c r="K914" s="32" t="n"/>
      <c r="L914" s="32" t="n"/>
      <c r="M914" s="32" t="n"/>
      <c r="N914" s="32" t="n"/>
      <c r="O914" s="32" t="n"/>
      <c r="P914" s="32" t="n"/>
      <c r="Q914" s="32" t="n"/>
      <c r="R914" s="32" t="n"/>
      <c r="S914" s="32" t="n"/>
      <c r="T914" s="32" t="n"/>
      <c r="U914" s="32" t="n"/>
      <c r="V914" s="32" t="n"/>
      <c r="W914" s="32" t="n"/>
      <c r="X914" s="32" t="n"/>
      <c r="Y914" s="32" t="n"/>
      <c r="Z914" s="32" t="n"/>
    </row>
    <row r="915">
      <c r="A915" s="32" t="n"/>
      <c r="B915" s="32" t="n"/>
      <c r="C915" s="32" t="n"/>
      <c r="D915" s="32" t="n"/>
      <c r="E915" s="32" t="n"/>
      <c r="F915" s="32" t="n"/>
      <c r="G915" s="32" t="n"/>
      <c r="H915" s="32" t="n"/>
      <c r="I915" s="32" t="n"/>
      <c r="J915" s="32" t="n"/>
      <c r="K915" s="32" t="n"/>
      <c r="L915" s="32" t="n"/>
      <c r="M915" s="32" t="n"/>
      <c r="N915" s="32" t="n"/>
      <c r="O915" s="32" t="n"/>
      <c r="P915" s="32" t="n"/>
      <c r="Q915" s="32" t="n"/>
      <c r="R915" s="32" t="n"/>
      <c r="S915" s="32" t="n"/>
      <c r="T915" s="32" t="n"/>
      <c r="U915" s="32" t="n"/>
      <c r="V915" s="32" t="n"/>
      <c r="W915" s="32" t="n"/>
      <c r="X915" s="32" t="n"/>
      <c r="Y915" s="32" t="n"/>
      <c r="Z915" s="32" t="n"/>
    </row>
    <row r="916">
      <c r="A916" s="32" t="n"/>
      <c r="B916" s="32" t="n"/>
      <c r="C916" s="32" t="n"/>
      <c r="D916" s="32" t="n"/>
      <c r="E916" s="32" t="n"/>
      <c r="F916" s="32" t="n"/>
      <c r="G916" s="32" t="n"/>
      <c r="H916" s="32" t="n"/>
      <c r="I916" s="32" t="n"/>
      <c r="J916" s="32" t="n"/>
      <c r="K916" s="32" t="n"/>
      <c r="L916" s="32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2" t="n"/>
      <c r="W916" s="32" t="n"/>
      <c r="X916" s="32" t="n"/>
      <c r="Y916" s="32" t="n"/>
      <c r="Z916" s="32" t="n"/>
    </row>
    <row r="917">
      <c r="A917" s="32" t="n"/>
      <c r="B917" s="32" t="n"/>
      <c r="C917" s="32" t="n"/>
      <c r="D917" s="32" t="n"/>
      <c r="E917" s="32" t="n"/>
      <c r="F917" s="32" t="n"/>
      <c r="G917" s="32" t="n"/>
      <c r="H917" s="32" t="n"/>
      <c r="I917" s="32" t="n"/>
      <c r="J917" s="32" t="n"/>
      <c r="K917" s="32" t="n"/>
      <c r="L917" s="32" t="n"/>
      <c r="M917" s="32" t="n"/>
      <c r="N917" s="32" t="n"/>
      <c r="O917" s="32" t="n"/>
      <c r="P917" s="32" t="n"/>
      <c r="Q917" s="32" t="n"/>
      <c r="R917" s="32" t="n"/>
      <c r="S917" s="32" t="n"/>
      <c r="T917" s="32" t="n"/>
      <c r="U917" s="32" t="n"/>
      <c r="V917" s="32" t="n"/>
      <c r="W917" s="32" t="n"/>
      <c r="X917" s="32" t="n"/>
      <c r="Y917" s="32" t="n"/>
      <c r="Z917" s="32" t="n"/>
    </row>
    <row r="918">
      <c r="A918" s="32" t="n"/>
      <c r="B918" s="32" t="n"/>
      <c r="C918" s="32" t="n"/>
      <c r="D918" s="32" t="n"/>
      <c r="E918" s="32" t="n"/>
      <c r="F918" s="32" t="n"/>
      <c r="G918" s="32" t="n"/>
      <c r="H918" s="32" t="n"/>
      <c r="I918" s="32" t="n"/>
      <c r="J918" s="32" t="n"/>
      <c r="K918" s="32" t="n"/>
      <c r="L918" s="32" t="n"/>
      <c r="M918" s="32" t="n"/>
      <c r="N918" s="32" t="n"/>
      <c r="O918" s="32" t="n"/>
      <c r="P918" s="32" t="n"/>
      <c r="Q918" s="32" t="n"/>
      <c r="R918" s="32" t="n"/>
      <c r="S918" s="32" t="n"/>
      <c r="T918" s="32" t="n"/>
      <c r="U918" s="32" t="n"/>
      <c r="V918" s="32" t="n"/>
      <c r="W918" s="32" t="n"/>
      <c r="X918" s="32" t="n"/>
      <c r="Y918" s="32" t="n"/>
      <c r="Z918" s="32" t="n"/>
    </row>
    <row r="919">
      <c r="A919" s="32" t="n"/>
      <c r="B919" s="32" t="n"/>
      <c r="C919" s="32" t="n"/>
      <c r="D919" s="32" t="n"/>
      <c r="E919" s="32" t="n"/>
      <c r="F919" s="32" t="n"/>
      <c r="G919" s="32" t="n"/>
      <c r="H919" s="32" t="n"/>
      <c r="I919" s="32" t="n"/>
      <c r="J919" s="32" t="n"/>
      <c r="K919" s="32" t="n"/>
      <c r="L919" s="32" t="n"/>
      <c r="M919" s="32" t="n"/>
      <c r="N919" s="32" t="n"/>
      <c r="O919" s="32" t="n"/>
      <c r="P919" s="32" t="n"/>
      <c r="Q919" s="32" t="n"/>
      <c r="R919" s="32" t="n"/>
      <c r="S919" s="32" t="n"/>
      <c r="T919" s="32" t="n"/>
      <c r="U919" s="32" t="n"/>
      <c r="V919" s="32" t="n"/>
      <c r="W919" s="32" t="n"/>
      <c r="X919" s="32" t="n"/>
      <c r="Y919" s="32" t="n"/>
      <c r="Z919" s="32" t="n"/>
    </row>
    <row r="920">
      <c r="A920" s="32" t="n"/>
      <c r="B920" s="32" t="n"/>
      <c r="C920" s="32" t="n"/>
      <c r="D920" s="32" t="n"/>
      <c r="E920" s="32" t="n"/>
      <c r="F920" s="32" t="n"/>
      <c r="G920" s="32" t="n"/>
      <c r="H920" s="32" t="n"/>
      <c r="I920" s="32" t="n"/>
      <c r="J920" s="32" t="n"/>
      <c r="K920" s="32" t="n"/>
      <c r="L920" s="32" t="n"/>
      <c r="M920" s="32" t="n"/>
      <c r="N920" s="32" t="n"/>
      <c r="O920" s="32" t="n"/>
      <c r="P920" s="32" t="n"/>
      <c r="Q920" s="32" t="n"/>
      <c r="R920" s="32" t="n"/>
      <c r="S920" s="32" t="n"/>
      <c r="T920" s="32" t="n"/>
      <c r="U920" s="32" t="n"/>
      <c r="V920" s="32" t="n"/>
      <c r="W920" s="32" t="n"/>
      <c r="X920" s="32" t="n"/>
      <c r="Y920" s="32" t="n"/>
      <c r="Z920" s="32" t="n"/>
    </row>
    <row r="921">
      <c r="A921" s="32" t="n"/>
      <c r="B921" s="32" t="n"/>
      <c r="C921" s="32" t="n"/>
      <c r="D921" s="32" t="n"/>
      <c r="E921" s="32" t="n"/>
      <c r="F921" s="32" t="n"/>
      <c r="G921" s="32" t="n"/>
      <c r="H921" s="32" t="n"/>
      <c r="I921" s="32" t="n"/>
      <c r="J921" s="32" t="n"/>
      <c r="K921" s="32" t="n"/>
      <c r="L921" s="32" t="n"/>
      <c r="M921" s="32" t="n"/>
      <c r="N921" s="32" t="n"/>
      <c r="O921" s="32" t="n"/>
      <c r="P921" s="32" t="n"/>
      <c r="Q921" s="32" t="n"/>
      <c r="R921" s="32" t="n"/>
      <c r="S921" s="32" t="n"/>
      <c r="T921" s="32" t="n"/>
      <c r="U921" s="32" t="n"/>
      <c r="V921" s="32" t="n"/>
      <c r="W921" s="32" t="n"/>
      <c r="X921" s="32" t="n"/>
      <c r="Y921" s="32" t="n"/>
      <c r="Z921" s="32" t="n"/>
    </row>
    <row r="922">
      <c r="A922" s="32" t="n"/>
      <c r="B922" s="32" t="n"/>
      <c r="C922" s="32" t="n"/>
      <c r="D922" s="32" t="n"/>
      <c r="E922" s="32" t="n"/>
      <c r="F922" s="32" t="n"/>
      <c r="G922" s="32" t="n"/>
      <c r="H922" s="32" t="n"/>
      <c r="I922" s="32" t="n"/>
      <c r="J922" s="32" t="n"/>
      <c r="K922" s="32" t="n"/>
      <c r="L922" s="32" t="n"/>
      <c r="M922" s="32" t="n"/>
      <c r="N922" s="32" t="n"/>
      <c r="O922" s="32" t="n"/>
      <c r="P922" s="32" t="n"/>
      <c r="Q922" s="32" t="n"/>
      <c r="R922" s="32" t="n"/>
      <c r="S922" s="32" t="n"/>
      <c r="T922" s="32" t="n"/>
      <c r="U922" s="32" t="n"/>
      <c r="V922" s="32" t="n"/>
      <c r="W922" s="32" t="n"/>
      <c r="X922" s="32" t="n"/>
      <c r="Y922" s="32" t="n"/>
      <c r="Z922" s="32" t="n"/>
    </row>
    <row r="923">
      <c r="A923" s="32" t="n"/>
      <c r="B923" s="32" t="n"/>
      <c r="C923" s="32" t="n"/>
      <c r="D923" s="32" t="n"/>
      <c r="E923" s="32" t="n"/>
      <c r="F923" s="32" t="n"/>
      <c r="G923" s="32" t="n"/>
      <c r="H923" s="32" t="n"/>
      <c r="I923" s="32" t="n"/>
      <c r="J923" s="32" t="n"/>
      <c r="K923" s="32" t="n"/>
      <c r="L923" s="32" t="n"/>
      <c r="M923" s="32" t="n"/>
      <c r="N923" s="32" t="n"/>
      <c r="O923" s="32" t="n"/>
      <c r="P923" s="32" t="n"/>
      <c r="Q923" s="32" t="n"/>
      <c r="R923" s="32" t="n"/>
      <c r="S923" s="32" t="n"/>
      <c r="T923" s="32" t="n"/>
      <c r="U923" s="32" t="n"/>
      <c r="V923" s="32" t="n"/>
      <c r="W923" s="32" t="n"/>
      <c r="X923" s="32" t="n"/>
      <c r="Y923" s="32" t="n"/>
      <c r="Z923" s="32" t="n"/>
    </row>
    <row r="924">
      <c r="A924" s="32" t="n"/>
      <c r="B924" s="32" t="n"/>
      <c r="C924" s="32" t="n"/>
      <c r="D924" s="32" t="n"/>
      <c r="E924" s="32" t="n"/>
      <c r="F924" s="32" t="n"/>
      <c r="G924" s="32" t="n"/>
      <c r="H924" s="32" t="n"/>
      <c r="I924" s="32" t="n"/>
      <c r="J924" s="32" t="n"/>
      <c r="K924" s="32" t="n"/>
      <c r="L924" s="32" t="n"/>
      <c r="M924" s="32" t="n"/>
      <c r="N924" s="32" t="n"/>
      <c r="O924" s="32" t="n"/>
      <c r="P924" s="32" t="n"/>
      <c r="Q924" s="32" t="n"/>
      <c r="R924" s="32" t="n"/>
      <c r="S924" s="32" t="n"/>
      <c r="T924" s="32" t="n"/>
      <c r="U924" s="32" t="n"/>
      <c r="V924" s="32" t="n"/>
      <c r="W924" s="32" t="n"/>
      <c r="X924" s="32" t="n"/>
      <c r="Y924" s="32" t="n"/>
      <c r="Z924" s="32" t="n"/>
    </row>
    <row r="925">
      <c r="A925" s="32" t="n"/>
      <c r="B925" s="32" t="n"/>
      <c r="C925" s="32" t="n"/>
      <c r="D925" s="32" t="n"/>
      <c r="E925" s="32" t="n"/>
      <c r="F925" s="32" t="n"/>
      <c r="G925" s="32" t="n"/>
      <c r="H925" s="32" t="n"/>
      <c r="I925" s="32" t="n"/>
      <c r="J925" s="32" t="n"/>
      <c r="K925" s="32" t="n"/>
      <c r="L925" s="32" t="n"/>
      <c r="M925" s="32" t="n"/>
      <c r="N925" s="32" t="n"/>
      <c r="O925" s="32" t="n"/>
      <c r="P925" s="32" t="n"/>
      <c r="Q925" s="32" t="n"/>
      <c r="R925" s="32" t="n"/>
      <c r="S925" s="32" t="n"/>
      <c r="T925" s="32" t="n"/>
      <c r="U925" s="32" t="n"/>
      <c r="V925" s="32" t="n"/>
      <c r="W925" s="32" t="n"/>
      <c r="X925" s="32" t="n"/>
      <c r="Y925" s="32" t="n"/>
      <c r="Z925" s="32" t="n"/>
    </row>
    <row r="926">
      <c r="A926" s="32" t="n"/>
      <c r="B926" s="32" t="n"/>
      <c r="C926" s="32" t="n"/>
      <c r="D926" s="32" t="n"/>
      <c r="E926" s="32" t="n"/>
      <c r="F926" s="32" t="n"/>
      <c r="G926" s="32" t="n"/>
      <c r="H926" s="32" t="n"/>
      <c r="I926" s="32" t="n"/>
      <c r="J926" s="32" t="n"/>
      <c r="K926" s="32" t="n"/>
      <c r="L926" s="32" t="n"/>
      <c r="M926" s="32" t="n"/>
      <c r="N926" s="32" t="n"/>
      <c r="O926" s="32" t="n"/>
      <c r="P926" s="32" t="n"/>
      <c r="Q926" s="32" t="n"/>
      <c r="R926" s="32" t="n"/>
      <c r="S926" s="32" t="n"/>
      <c r="T926" s="32" t="n"/>
      <c r="U926" s="32" t="n"/>
      <c r="V926" s="32" t="n"/>
      <c r="W926" s="32" t="n"/>
      <c r="X926" s="32" t="n"/>
      <c r="Y926" s="32" t="n"/>
      <c r="Z926" s="32" t="n"/>
    </row>
    <row r="927">
      <c r="A927" s="32" t="n"/>
      <c r="B927" s="32" t="n"/>
      <c r="C927" s="32" t="n"/>
      <c r="D927" s="32" t="n"/>
      <c r="E927" s="32" t="n"/>
      <c r="F927" s="32" t="n"/>
      <c r="G927" s="32" t="n"/>
      <c r="H927" s="32" t="n"/>
      <c r="I927" s="32" t="n"/>
      <c r="J927" s="32" t="n"/>
      <c r="K927" s="32" t="n"/>
      <c r="L927" s="32" t="n"/>
      <c r="M927" s="32" t="n"/>
      <c r="N927" s="32" t="n"/>
      <c r="O927" s="32" t="n"/>
      <c r="P927" s="32" t="n"/>
      <c r="Q927" s="32" t="n"/>
      <c r="R927" s="32" t="n"/>
      <c r="S927" s="32" t="n"/>
      <c r="T927" s="32" t="n"/>
      <c r="U927" s="32" t="n"/>
      <c r="V927" s="32" t="n"/>
      <c r="W927" s="32" t="n"/>
      <c r="X927" s="32" t="n"/>
      <c r="Y927" s="32" t="n"/>
      <c r="Z927" s="32" t="n"/>
    </row>
    <row r="928">
      <c r="A928" s="32" t="n"/>
      <c r="B928" s="32" t="n"/>
      <c r="C928" s="32" t="n"/>
      <c r="D928" s="32" t="n"/>
      <c r="E928" s="32" t="n"/>
      <c r="F928" s="32" t="n"/>
      <c r="G928" s="32" t="n"/>
      <c r="H928" s="32" t="n"/>
      <c r="I928" s="32" t="n"/>
      <c r="J928" s="32" t="n"/>
      <c r="K928" s="32" t="n"/>
      <c r="L928" s="32" t="n"/>
      <c r="M928" s="32" t="n"/>
      <c r="N928" s="32" t="n"/>
      <c r="O928" s="32" t="n"/>
      <c r="P928" s="32" t="n"/>
      <c r="Q928" s="32" t="n"/>
      <c r="R928" s="32" t="n"/>
      <c r="S928" s="32" t="n"/>
      <c r="T928" s="32" t="n"/>
      <c r="U928" s="32" t="n"/>
      <c r="V928" s="32" t="n"/>
      <c r="W928" s="32" t="n"/>
      <c r="X928" s="32" t="n"/>
      <c r="Y928" s="32" t="n"/>
      <c r="Z928" s="32" t="n"/>
    </row>
    <row r="929">
      <c r="A929" s="32" t="n"/>
      <c r="B929" s="32" t="n"/>
      <c r="C929" s="32" t="n"/>
      <c r="D929" s="32" t="n"/>
      <c r="E929" s="32" t="n"/>
      <c r="F929" s="32" t="n"/>
      <c r="G929" s="32" t="n"/>
      <c r="H929" s="32" t="n"/>
      <c r="I929" s="32" t="n"/>
      <c r="J929" s="32" t="n"/>
      <c r="K929" s="32" t="n"/>
      <c r="L929" s="32" t="n"/>
      <c r="M929" s="32" t="n"/>
      <c r="N929" s="32" t="n"/>
      <c r="O929" s="32" t="n"/>
      <c r="P929" s="32" t="n"/>
      <c r="Q929" s="32" t="n"/>
      <c r="R929" s="32" t="n"/>
      <c r="S929" s="32" t="n"/>
      <c r="T929" s="32" t="n"/>
      <c r="U929" s="32" t="n"/>
      <c r="V929" s="32" t="n"/>
      <c r="W929" s="32" t="n"/>
      <c r="X929" s="32" t="n"/>
      <c r="Y929" s="32" t="n"/>
      <c r="Z929" s="32" t="n"/>
    </row>
    <row r="930">
      <c r="A930" s="32" t="n"/>
      <c r="B930" s="32" t="n"/>
      <c r="C930" s="32" t="n"/>
      <c r="D930" s="32" t="n"/>
      <c r="E930" s="32" t="n"/>
      <c r="F930" s="32" t="n"/>
      <c r="G930" s="32" t="n"/>
      <c r="H930" s="32" t="n"/>
      <c r="I930" s="32" t="n"/>
      <c r="J930" s="32" t="n"/>
      <c r="K930" s="32" t="n"/>
      <c r="L930" s="32" t="n"/>
      <c r="M930" s="32" t="n"/>
      <c r="N930" s="32" t="n"/>
      <c r="O930" s="32" t="n"/>
      <c r="P930" s="32" t="n"/>
      <c r="Q930" s="32" t="n"/>
      <c r="R930" s="32" t="n"/>
      <c r="S930" s="32" t="n"/>
      <c r="T930" s="32" t="n"/>
      <c r="U930" s="32" t="n"/>
      <c r="V930" s="32" t="n"/>
      <c r="W930" s="32" t="n"/>
      <c r="X930" s="32" t="n"/>
      <c r="Y930" s="32" t="n"/>
      <c r="Z930" s="32" t="n"/>
    </row>
    <row r="931">
      <c r="A931" s="32" t="n"/>
      <c r="B931" s="32" t="n"/>
      <c r="C931" s="32" t="n"/>
      <c r="D931" s="32" t="n"/>
      <c r="E931" s="32" t="n"/>
      <c r="F931" s="32" t="n"/>
      <c r="G931" s="32" t="n"/>
      <c r="H931" s="32" t="n"/>
      <c r="I931" s="32" t="n"/>
      <c r="J931" s="32" t="n"/>
      <c r="K931" s="32" t="n"/>
      <c r="L931" s="32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2" t="n"/>
      <c r="W931" s="32" t="n"/>
      <c r="X931" s="32" t="n"/>
      <c r="Y931" s="32" t="n"/>
      <c r="Z931" s="32" t="n"/>
    </row>
    <row r="932">
      <c r="A932" s="32" t="n"/>
      <c r="B932" s="32" t="n"/>
      <c r="C932" s="32" t="n"/>
      <c r="D932" s="32" t="n"/>
      <c r="E932" s="32" t="n"/>
      <c r="F932" s="32" t="n"/>
      <c r="G932" s="32" t="n"/>
      <c r="H932" s="32" t="n"/>
      <c r="I932" s="32" t="n"/>
      <c r="J932" s="32" t="n"/>
      <c r="K932" s="32" t="n"/>
      <c r="L932" s="32" t="n"/>
      <c r="M932" s="32" t="n"/>
      <c r="N932" s="32" t="n"/>
      <c r="O932" s="32" t="n"/>
      <c r="P932" s="32" t="n"/>
      <c r="Q932" s="32" t="n"/>
      <c r="R932" s="32" t="n"/>
      <c r="S932" s="32" t="n"/>
      <c r="T932" s="32" t="n"/>
      <c r="U932" s="32" t="n"/>
      <c r="V932" s="32" t="n"/>
      <c r="W932" s="32" t="n"/>
      <c r="X932" s="32" t="n"/>
      <c r="Y932" s="32" t="n"/>
      <c r="Z932" s="32" t="n"/>
    </row>
    <row r="933">
      <c r="A933" s="32" t="n"/>
      <c r="B933" s="32" t="n"/>
      <c r="C933" s="32" t="n"/>
      <c r="D933" s="32" t="n"/>
      <c r="E933" s="32" t="n"/>
      <c r="F933" s="32" t="n"/>
      <c r="G933" s="32" t="n"/>
      <c r="H933" s="32" t="n"/>
      <c r="I933" s="32" t="n"/>
      <c r="J933" s="32" t="n"/>
      <c r="K933" s="32" t="n"/>
      <c r="L933" s="32" t="n"/>
      <c r="M933" s="32" t="n"/>
      <c r="N933" s="32" t="n"/>
      <c r="O933" s="32" t="n"/>
      <c r="P933" s="32" t="n"/>
      <c r="Q933" s="32" t="n"/>
      <c r="R933" s="32" t="n"/>
      <c r="S933" s="32" t="n"/>
      <c r="T933" s="32" t="n"/>
      <c r="U933" s="32" t="n"/>
      <c r="V933" s="32" t="n"/>
      <c r="W933" s="32" t="n"/>
      <c r="X933" s="32" t="n"/>
      <c r="Y933" s="32" t="n"/>
      <c r="Z933" s="32" t="n"/>
    </row>
    <row r="934">
      <c r="A934" s="32" t="n"/>
      <c r="B934" s="32" t="n"/>
      <c r="C934" s="32" t="n"/>
      <c r="D934" s="32" t="n"/>
      <c r="E934" s="32" t="n"/>
      <c r="F934" s="32" t="n"/>
      <c r="G934" s="32" t="n"/>
      <c r="H934" s="32" t="n"/>
      <c r="I934" s="32" t="n"/>
      <c r="J934" s="32" t="n"/>
      <c r="K934" s="32" t="n"/>
      <c r="L934" s="32" t="n"/>
      <c r="M934" s="32" t="n"/>
      <c r="N934" s="32" t="n"/>
      <c r="O934" s="32" t="n"/>
      <c r="P934" s="32" t="n"/>
      <c r="Q934" s="32" t="n"/>
      <c r="R934" s="32" t="n"/>
      <c r="S934" s="32" t="n"/>
      <c r="T934" s="32" t="n"/>
      <c r="U934" s="32" t="n"/>
      <c r="V934" s="32" t="n"/>
      <c r="W934" s="32" t="n"/>
      <c r="X934" s="32" t="n"/>
      <c r="Y934" s="32" t="n"/>
      <c r="Z934" s="32" t="n"/>
    </row>
    <row r="935">
      <c r="A935" s="32" t="n"/>
      <c r="B935" s="32" t="n"/>
      <c r="C935" s="32" t="n"/>
      <c r="D935" s="32" t="n"/>
      <c r="E935" s="32" t="n"/>
      <c r="F935" s="32" t="n"/>
      <c r="G935" s="32" t="n"/>
      <c r="H935" s="32" t="n"/>
      <c r="I935" s="32" t="n"/>
      <c r="J935" s="32" t="n"/>
      <c r="K935" s="32" t="n"/>
      <c r="L935" s="32" t="n"/>
      <c r="M935" s="32" t="n"/>
      <c r="N935" s="32" t="n"/>
      <c r="O935" s="32" t="n"/>
      <c r="P935" s="32" t="n"/>
      <c r="Q935" s="32" t="n"/>
      <c r="R935" s="32" t="n"/>
      <c r="S935" s="32" t="n"/>
      <c r="T935" s="32" t="n"/>
      <c r="U935" s="32" t="n"/>
      <c r="V935" s="32" t="n"/>
      <c r="W935" s="32" t="n"/>
      <c r="X935" s="32" t="n"/>
      <c r="Y935" s="32" t="n"/>
      <c r="Z935" s="32" t="n"/>
    </row>
    <row r="936">
      <c r="A936" s="32" t="n"/>
      <c r="B936" s="32" t="n"/>
      <c r="C936" s="32" t="n"/>
      <c r="D936" s="32" t="n"/>
      <c r="E936" s="32" t="n"/>
      <c r="F936" s="32" t="n"/>
      <c r="G936" s="32" t="n"/>
      <c r="H936" s="32" t="n"/>
      <c r="I936" s="32" t="n"/>
      <c r="J936" s="32" t="n"/>
      <c r="K936" s="32" t="n"/>
      <c r="L936" s="32" t="n"/>
      <c r="M936" s="32" t="n"/>
      <c r="N936" s="32" t="n"/>
      <c r="O936" s="32" t="n"/>
      <c r="P936" s="32" t="n"/>
      <c r="Q936" s="32" t="n"/>
      <c r="R936" s="32" t="n"/>
      <c r="S936" s="32" t="n"/>
      <c r="T936" s="32" t="n"/>
      <c r="U936" s="32" t="n"/>
      <c r="V936" s="32" t="n"/>
      <c r="W936" s="32" t="n"/>
      <c r="X936" s="32" t="n"/>
      <c r="Y936" s="32" t="n"/>
      <c r="Z936" s="32" t="n"/>
    </row>
    <row r="937">
      <c r="A937" s="32" t="n"/>
      <c r="B937" s="32" t="n"/>
      <c r="C937" s="32" t="n"/>
      <c r="D937" s="32" t="n"/>
      <c r="E937" s="32" t="n"/>
      <c r="F937" s="32" t="n"/>
      <c r="G937" s="32" t="n"/>
      <c r="H937" s="32" t="n"/>
      <c r="I937" s="32" t="n"/>
      <c r="J937" s="32" t="n"/>
      <c r="K937" s="32" t="n"/>
      <c r="L937" s="32" t="n"/>
      <c r="M937" s="32" t="n"/>
      <c r="N937" s="32" t="n"/>
      <c r="O937" s="32" t="n"/>
      <c r="P937" s="32" t="n"/>
      <c r="Q937" s="32" t="n"/>
      <c r="R937" s="32" t="n"/>
      <c r="S937" s="32" t="n"/>
      <c r="T937" s="32" t="n"/>
      <c r="U937" s="32" t="n"/>
      <c r="V937" s="32" t="n"/>
      <c r="W937" s="32" t="n"/>
      <c r="X937" s="32" t="n"/>
      <c r="Y937" s="32" t="n"/>
      <c r="Z937" s="32" t="n"/>
    </row>
    <row r="938">
      <c r="A938" s="32" t="n"/>
      <c r="B938" s="32" t="n"/>
      <c r="C938" s="32" t="n"/>
      <c r="D938" s="32" t="n"/>
      <c r="E938" s="32" t="n"/>
      <c r="F938" s="32" t="n"/>
      <c r="G938" s="32" t="n"/>
      <c r="H938" s="32" t="n"/>
      <c r="I938" s="32" t="n"/>
      <c r="J938" s="32" t="n"/>
      <c r="K938" s="32" t="n"/>
      <c r="L938" s="32" t="n"/>
      <c r="M938" s="32" t="n"/>
      <c r="N938" s="32" t="n"/>
      <c r="O938" s="32" t="n"/>
      <c r="P938" s="32" t="n"/>
      <c r="Q938" s="32" t="n"/>
      <c r="R938" s="32" t="n"/>
      <c r="S938" s="32" t="n"/>
      <c r="T938" s="32" t="n"/>
      <c r="U938" s="32" t="n"/>
      <c r="V938" s="32" t="n"/>
      <c r="W938" s="32" t="n"/>
      <c r="X938" s="32" t="n"/>
      <c r="Y938" s="32" t="n"/>
      <c r="Z938" s="32" t="n"/>
    </row>
    <row r="939">
      <c r="A939" s="32" t="n"/>
      <c r="B939" s="32" t="n"/>
      <c r="C939" s="32" t="n"/>
      <c r="D939" s="32" t="n"/>
      <c r="E939" s="32" t="n"/>
      <c r="F939" s="32" t="n"/>
      <c r="G939" s="32" t="n"/>
      <c r="H939" s="32" t="n"/>
      <c r="I939" s="32" t="n"/>
      <c r="J939" s="32" t="n"/>
      <c r="K939" s="32" t="n"/>
      <c r="L939" s="32" t="n"/>
      <c r="M939" s="32" t="n"/>
      <c r="N939" s="32" t="n"/>
      <c r="O939" s="32" t="n"/>
      <c r="P939" s="32" t="n"/>
      <c r="Q939" s="32" t="n"/>
      <c r="R939" s="32" t="n"/>
      <c r="S939" s="32" t="n"/>
      <c r="T939" s="32" t="n"/>
      <c r="U939" s="32" t="n"/>
      <c r="V939" s="32" t="n"/>
      <c r="W939" s="32" t="n"/>
      <c r="X939" s="32" t="n"/>
      <c r="Y939" s="32" t="n"/>
      <c r="Z939" s="32" t="n"/>
    </row>
    <row r="940">
      <c r="A940" s="32" t="n"/>
      <c r="B940" s="32" t="n"/>
      <c r="C940" s="32" t="n"/>
      <c r="D940" s="32" t="n"/>
      <c r="E940" s="32" t="n"/>
      <c r="F940" s="32" t="n"/>
      <c r="G940" s="32" t="n"/>
      <c r="H940" s="32" t="n"/>
      <c r="I940" s="32" t="n"/>
      <c r="J940" s="32" t="n"/>
      <c r="K940" s="32" t="n"/>
      <c r="L940" s="32" t="n"/>
      <c r="M940" s="32" t="n"/>
      <c r="N940" s="32" t="n"/>
      <c r="O940" s="32" t="n"/>
      <c r="P940" s="32" t="n"/>
      <c r="Q940" s="32" t="n"/>
      <c r="R940" s="32" t="n"/>
      <c r="S940" s="32" t="n"/>
      <c r="T940" s="32" t="n"/>
      <c r="U940" s="32" t="n"/>
      <c r="V940" s="32" t="n"/>
      <c r="W940" s="32" t="n"/>
      <c r="X940" s="32" t="n"/>
      <c r="Y940" s="32" t="n"/>
      <c r="Z940" s="32" t="n"/>
    </row>
    <row r="941">
      <c r="A941" s="32" t="n"/>
      <c r="B941" s="32" t="n"/>
      <c r="C941" s="32" t="n"/>
      <c r="D941" s="32" t="n"/>
      <c r="E941" s="32" t="n"/>
      <c r="F941" s="32" t="n"/>
      <c r="G941" s="32" t="n"/>
      <c r="H941" s="32" t="n"/>
      <c r="I941" s="32" t="n"/>
      <c r="J941" s="32" t="n"/>
      <c r="K941" s="32" t="n"/>
      <c r="L941" s="32" t="n"/>
      <c r="M941" s="32" t="n"/>
      <c r="N941" s="32" t="n"/>
      <c r="O941" s="32" t="n"/>
      <c r="P941" s="32" t="n"/>
      <c r="Q941" s="32" t="n"/>
      <c r="R941" s="32" t="n"/>
      <c r="S941" s="32" t="n"/>
      <c r="T941" s="32" t="n"/>
      <c r="U941" s="32" t="n"/>
      <c r="V941" s="32" t="n"/>
      <c r="W941" s="32" t="n"/>
      <c r="X941" s="32" t="n"/>
      <c r="Y941" s="32" t="n"/>
      <c r="Z941" s="32" t="n"/>
    </row>
    <row r="942">
      <c r="A942" s="32" t="n"/>
      <c r="B942" s="32" t="n"/>
      <c r="C942" s="32" t="n"/>
      <c r="D942" s="32" t="n"/>
      <c r="E942" s="32" t="n"/>
      <c r="F942" s="32" t="n"/>
      <c r="G942" s="32" t="n"/>
      <c r="H942" s="32" t="n"/>
      <c r="I942" s="32" t="n"/>
      <c r="J942" s="32" t="n"/>
      <c r="K942" s="32" t="n"/>
      <c r="L942" s="32" t="n"/>
      <c r="M942" s="32" t="n"/>
      <c r="N942" s="32" t="n"/>
      <c r="O942" s="32" t="n"/>
      <c r="P942" s="32" t="n"/>
      <c r="Q942" s="32" t="n"/>
      <c r="R942" s="32" t="n"/>
      <c r="S942" s="32" t="n"/>
      <c r="T942" s="32" t="n"/>
      <c r="U942" s="32" t="n"/>
      <c r="V942" s="32" t="n"/>
      <c r="W942" s="32" t="n"/>
      <c r="X942" s="32" t="n"/>
      <c r="Y942" s="32" t="n"/>
      <c r="Z942" s="32" t="n"/>
    </row>
    <row r="943">
      <c r="A943" s="32" t="n"/>
      <c r="B943" s="32" t="n"/>
      <c r="C943" s="32" t="n"/>
      <c r="D943" s="32" t="n"/>
      <c r="E943" s="32" t="n"/>
      <c r="F943" s="32" t="n"/>
      <c r="G943" s="32" t="n"/>
      <c r="H943" s="32" t="n"/>
      <c r="I943" s="32" t="n"/>
      <c r="J943" s="32" t="n"/>
      <c r="K943" s="32" t="n"/>
      <c r="L943" s="32" t="n"/>
      <c r="M943" s="32" t="n"/>
      <c r="N943" s="32" t="n"/>
      <c r="O943" s="32" t="n"/>
      <c r="P943" s="32" t="n"/>
      <c r="Q943" s="32" t="n"/>
      <c r="R943" s="32" t="n"/>
      <c r="S943" s="32" t="n"/>
      <c r="T943" s="32" t="n"/>
      <c r="U943" s="32" t="n"/>
      <c r="V943" s="32" t="n"/>
      <c r="W943" s="32" t="n"/>
      <c r="X943" s="32" t="n"/>
      <c r="Y943" s="32" t="n"/>
      <c r="Z943" s="32" t="n"/>
    </row>
    <row r="944">
      <c r="A944" s="32" t="n"/>
      <c r="B944" s="32" t="n"/>
      <c r="C944" s="32" t="n"/>
      <c r="D944" s="32" t="n"/>
      <c r="E944" s="32" t="n"/>
      <c r="F944" s="32" t="n"/>
      <c r="G944" s="32" t="n"/>
      <c r="H944" s="32" t="n"/>
      <c r="I944" s="32" t="n"/>
      <c r="J944" s="32" t="n"/>
      <c r="K944" s="32" t="n"/>
      <c r="L944" s="32" t="n"/>
      <c r="M944" s="32" t="n"/>
      <c r="N944" s="32" t="n"/>
      <c r="O944" s="32" t="n"/>
      <c r="P944" s="32" t="n"/>
      <c r="Q944" s="32" t="n"/>
      <c r="R944" s="32" t="n"/>
      <c r="S944" s="32" t="n"/>
      <c r="T944" s="32" t="n"/>
      <c r="U944" s="32" t="n"/>
      <c r="V944" s="32" t="n"/>
      <c r="W944" s="32" t="n"/>
      <c r="X944" s="32" t="n"/>
      <c r="Y944" s="32" t="n"/>
      <c r="Z944" s="32" t="n"/>
    </row>
    <row r="945">
      <c r="A945" s="32" t="n"/>
      <c r="B945" s="32" t="n"/>
      <c r="C945" s="32" t="n"/>
      <c r="D945" s="32" t="n"/>
      <c r="E945" s="32" t="n"/>
      <c r="F945" s="32" t="n"/>
      <c r="G945" s="32" t="n"/>
      <c r="H945" s="32" t="n"/>
      <c r="I945" s="32" t="n"/>
      <c r="J945" s="32" t="n"/>
      <c r="K945" s="32" t="n"/>
      <c r="L945" s="32" t="n"/>
      <c r="M945" s="32" t="n"/>
      <c r="N945" s="32" t="n"/>
      <c r="O945" s="32" t="n"/>
      <c r="P945" s="32" t="n"/>
      <c r="Q945" s="32" t="n"/>
      <c r="R945" s="32" t="n"/>
      <c r="S945" s="32" t="n"/>
      <c r="T945" s="32" t="n"/>
      <c r="U945" s="32" t="n"/>
      <c r="V945" s="32" t="n"/>
      <c r="W945" s="32" t="n"/>
      <c r="X945" s="32" t="n"/>
      <c r="Y945" s="32" t="n"/>
      <c r="Z945" s="32" t="n"/>
    </row>
    <row r="946">
      <c r="A946" s="32" t="n"/>
      <c r="B946" s="32" t="n"/>
      <c r="C946" s="32" t="n"/>
      <c r="D946" s="32" t="n"/>
      <c r="E946" s="32" t="n"/>
      <c r="F946" s="32" t="n"/>
      <c r="G946" s="32" t="n"/>
      <c r="H946" s="32" t="n"/>
      <c r="I946" s="32" t="n"/>
      <c r="J946" s="32" t="n"/>
      <c r="K946" s="32" t="n"/>
      <c r="L946" s="32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2" t="n"/>
      <c r="W946" s="32" t="n"/>
      <c r="X946" s="32" t="n"/>
      <c r="Y946" s="32" t="n"/>
      <c r="Z946" s="32" t="n"/>
    </row>
    <row r="947">
      <c r="A947" s="32" t="n"/>
      <c r="B947" s="32" t="n"/>
      <c r="C947" s="32" t="n"/>
      <c r="D947" s="32" t="n"/>
      <c r="E947" s="32" t="n"/>
      <c r="F947" s="32" t="n"/>
      <c r="G947" s="32" t="n"/>
      <c r="H947" s="32" t="n"/>
      <c r="I947" s="32" t="n"/>
      <c r="J947" s="32" t="n"/>
      <c r="K947" s="32" t="n"/>
      <c r="L947" s="32" t="n"/>
      <c r="M947" s="32" t="n"/>
      <c r="N947" s="32" t="n"/>
      <c r="O947" s="32" t="n"/>
      <c r="P947" s="32" t="n"/>
      <c r="Q947" s="32" t="n"/>
      <c r="R947" s="32" t="n"/>
      <c r="S947" s="32" t="n"/>
      <c r="T947" s="32" t="n"/>
      <c r="U947" s="32" t="n"/>
      <c r="V947" s="32" t="n"/>
      <c r="W947" s="32" t="n"/>
      <c r="X947" s="32" t="n"/>
      <c r="Y947" s="32" t="n"/>
      <c r="Z947" s="32" t="n"/>
    </row>
    <row r="948">
      <c r="A948" s="32" t="n"/>
      <c r="B948" s="32" t="n"/>
      <c r="C948" s="32" t="n"/>
      <c r="D948" s="32" t="n"/>
      <c r="E948" s="32" t="n"/>
      <c r="F948" s="32" t="n"/>
      <c r="G948" s="32" t="n"/>
      <c r="H948" s="32" t="n"/>
      <c r="I948" s="32" t="n"/>
      <c r="J948" s="32" t="n"/>
      <c r="K948" s="32" t="n"/>
      <c r="L948" s="32" t="n"/>
      <c r="M948" s="32" t="n"/>
      <c r="N948" s="32" t="n"/>
      <c r="O948" s="32" t="n"/>
      <c r="P948" s="32" t="n"/>
      <c r="Q948" s="32" t="n"/>
      <c r="R948" s="32" t="n"/>
      <c r="S948" s="32" t="n"/>
      <c r="T948" s="32" t="n"/>
      <c r="U948" s="32" t="n"/>
      <c r="V948" s="32" t="n"/>
      <c r="W948" s="32" t="n"/>
      <c r="X948" s="32" t="n"/>
      <c r="Y948" s="32" t="n"/>
      <c r="Z948" s="32" t="n"/>
    </row>
    <row r="949">
      <c r="A949" s="32" t="n"/>
      <c r="B949" s="32" t="n"/>
      <c r="C949" s="32" t="n"/>
      <c r="D949" s="32" t="n"/>
      <c r="E949" s="32" t="n"/>
      <c r="F949" s="32" t="n"/>
      <c r="G949" s="32" t="n"/>
      <c r="H949" s="32" t="n"/>
      <c r="I949" s="32" t="n"/>
      <c r="J949" s="32" t="n"/>
      <c r="K949" s="32" t="n"/>
      <c r="L949" s="32" t="n"/>
      <c r="M949" s="32" t="n"/>
      <c r="N949" s="32" t="n"/>
      <c r="O949" s="32" t="n"/>
      <c r="P949" s="32" t="n"/>
      <c r="Q949" s="32" t="n"/>
      <c r="R949" s="32" t="n"/>
      <c r="S949" s="32" t="n"/>
      <c r="T949" s="32" t="n"/>
      <c r="U949" s="32" t="n"/>
      <c r="V949" s="32" t="n"/>
      <c r="W949" s="32" t="n"/>
      <c r="X949" s="32" t="n"/>
      <c r="Y949" s="32" t="n"/>
      <c r="Z949" s="32" t="n"/>
    </row>
    <row r="950">
      <c r="A950" s="32" t="n"/>
      <c r="B950" s="32" t="n"/>
      <c r="C950" s="32" t="n"/>
      <c r="D950" s="32" t="n"/>
      <c r="E950" s="32" t="n"/>
      <c r="F950" s="32" t="n"/>
      <c r="G950" s="32" t="n"/>
      <c r="H950" s="32" t="n"/>
      <c r="I950" s="32" t="n"/>
      <c r="J950" s="32" t="n"/>
      <c r="K950" s="32" t="n"/>
      <c r="L950" s="32" t="n"/>
      <c r="M950" s="32" t="n"/>
      <c r="N950" s="32" t="n"/>
      <c r="O950" s="32" t="n"/>
      <c r="P950" s="32" t="n"/>
      <c r="Q950" s="32" t="n"/>
      <c r="R950" s="32" t="n"/>
      <c r="S950" s="32" t="n"/>
      <c r="T950" s="32" t="n"/>
      <c r="U950" s="32" t="n"/>
      <c r="V950" s="32" t="n"/>
      <c r="W950" s="32" t="n"/>
      <c r="X950" s="32" t="n"/>
      <c r="Y950" s="32" t="n"/>
      <c r="Z950" s="32" t="n"/>
    </row>
    <row r="951">
      <c r="A951" s="32" t="n"/>
      <c r="B951" s="32" t="n"/>
      <c r="C951" s="32" t="n"/>
      <c r="D951" s="32" t="n"/>
      <c r="E951" s="32" t="n"/>
      <c r="F951" s="32" t="n"/>
      <c r="G951" s="32" t="n"/>
      <c r="H951" s="32" t="n"/>
      <c r="I951" s="32" t="n"/>
      <c r="J951" s="32" t="n"/>
      <c r="K951" s="32" t="n"/>
      <c r="L951" s="32" t="n"/>
      <c r="M951" s="32" t="n"/>
      <c r="N951" s="32" t="n"/>
      <c r="O951" s="32" t="n"/>
      <c r="P951" s="32" t="n"/>
      <c r="Q951" s="32" t="n"/>
      <c r="R951" s="32" t="n"/>
      <c r="S951" s="32" t="n"/>
      <c r="T951" s="32" t="n"/>
      <c r="U951" s="32" t="n"/>
      <c r="V951" s="32" t="n"/>
      <c r="W951" s="32" t="n"/>
      <c r="X951" s="32" t="n"/>
      <c r="Y951" s="32" t="n"/>
      <c r="Z951" s="32" t="n"/>
    </row>
    <row r="952">
      <c r="A952" s="32" t="n"/>
      <c r="B952" s="32" t="n"/>
      <c r="C952" s="32" t="n"/>
      <c r="D952" s="32" t="n"/>
      <c r="E952" s="32" t="n"/>
      <c r="F952" s="32" t="n"/>
      <c r="G952" s="32" t="n"/>
      <c r="H952" s="32" t="n"/>
      <c r="I952" s="32" t="n"/>
      <c r="J952" s="32" t="n"/>
      <c r="K952" s="32" t="n"/>
      <c r="L952" s="32" t="n"/>
      <c r="M952" s="32" t="n"/>
      <c r="N952" s="32" t="n"/>
      <c r="O952" s="32" t="n"/>
      <c r="P952" s="32" t="n"/>
      <c r="Q952" s="32" t="n"/>
      <c r="R952" s="32" t="n"/>
      <c r="S952" s="32" t="n"/>
      <c r="T952" s="32" t="n"/>
      <c r="U952" s="32" t="n"/>
      <c r="V952" s="32" t="n"/>
      <c r="W952" s="32" t="n"/>
      <c r="X952" s="32" t="n"/>
      <c r="Y952" s="32" t="n"/>
      <c r="Z952" s="32" t="n"/>
    </row>
    <row r="953">
      <c r="A953" s="32" t="n"/>
      <c r="B953" s="32" t="n"/>
      <c r="C953" s="32" t="n"/>
      <c r="D953" s="32" t="n"/>
      <c r="E953" s="32" t="n"/>
      <c r="F953" s="32" t="n"/>
      <c r="G953" s="32" t="n"/>
      <c r="H953" s="32" t="n"/>
      <c r="I953" s="32" t="n"/>
      <c r="J953" s="32" t="n"/>
      <c r="K953" s="32" t="n"/>
      <c r="L953" s="32" t="n"/>
      <c r="M953" s="32" t="n"/>
      <c r="N953" s="32" t="n"/>
      <c r="O953" s="32" t="n"/>
      <c r="P953" s="32" t="n"/>
      <c r="Q953" s="32" t="n"/>
      <c r="R953" s="32" t="n"/>
      <c r="S953" s="32" t="n"/>
      <c r="T953" s="32" t="n"/>
      <c r="U953" s="32" t="n"/>
      <c r="V953" s="32" t="n"/>
      <c r="W953" s="32" t="n"/>
      <c r="X953" s="32" t="n"/>
      <c r="Y953" s="32" t="n"/>
      <c r="Z953" s="32" t="n"/>
    </row>
    <row r="954">
      <c r="A954" s="32" t="n"/>
      <c r="B954" s="32" t="n"/>
      <c r="C954" s="32" t="n"/>
      <c r="D954" s="32" t="n"/>
      <c r="E954" s="32" t="n"/>
      <c r="F954" s="32" t="n"/>
      <c r="G954" s="32" t="n"/>
      <c r="H954" s="32" t="n"/>
      <c r="I954" s="32" t="n"/>
      <c r="J954" s="32" t="n"/>
      <c r="K954" s="32" t="n"/>
      <c r="L954" s="32" t="n"/>
      <c r="M954" s="32" t="n"/>
      <c r="N954" s="32" t="n"/>
      <c r="O954" s="32" t="n"/>
      <c r="P954" s="32" t="n"/>
      <c r="Q954" s="32" t="n"/>
      <c r="R954" s="32" t="n"/>
      <c r="S954" s="32" t="n"/>
      <c r="T954" s="32" t="n"/>
      <c r="U954" s="32" t="n"/>
      <c r="V954" s="32" t="n"/>
      <c r="W954" s="32" t="n"/>
      <c r="X954" s="32" t="n"/>
      <c r="Y954" s="32" t="n"/>
      <c r="Z954" s="32" t="n"/>
    </row>
    <row r="955">
      <c r="A955" s="32" t="n"/>
      <c r="B955" s="32" t="n"/>
      <c r="C955" s="32" t="n"/>
      <c r="D955" s="32" t="n"/>
      <c r="E955" s="32" t="n"/>
      <c r="F955" s="32" t="n"/>
      <c r="G955" s="32" t="n"/>
      <c r="H955" s="32" t="n"/>
      <c r="I955" s="32" t="n"/>
      <c r="J955" s="32" t="n"/>
      <c r="K955" s="32" t="n"/>
      <c r="L955" s="32" t="n"/>
      <c r="M955" s="32" t="n"/>
      <c r="N955" s="32" t="n"/>
      <c r="O955" s="32" t="n"/>
      <c r="P955" s="32" t="n"/>
      <c r="Q955" s="32" t="n"/>
      <c r="R955" s="32" t="n"/>
      <c r="S955" s="32" t="n"/>
      <c r="T955" s="32" t="n"/>
      <c r="U955" s="32" t="n"/>
      <c r="V955" s="32" t="n"/>
      <c r="W955" s="32" t="n"/>
      <c r="X955" s="32" t="n"/>
      <c r="Y955" s="32" t="n"/>
      <c r="Z955" s="32" t="n"/>
    </row>
    <row r="956">
      <c r="A956" s="32" t="n"/>
      <c r="B956" s="32" t="n"/>
      <c r="C956" s="32" t="n"/>
      <c r="D956" s="32" t="n"/>
      <c r="E956" s="32" t="n"/>
      <c r="F956" s="32" t="n"/>
      <c r="G956" s="32" t="n"/>
      <c r="H956" s="32" t="n"/>
      <c r="I956" s="32" t="n"/>
      <c r="J956" s="32" t="n"/>
      <c r="K956" s="32" t="n"/>
      <c r="L956" s="32" t="n"/>
      <c r="M956" s="32" t="n"/>
      <c r="N956" s="32" t="n"/>
      <c r="O956" s="32" t="n"/>
      <c r="P956" s="32" t="n"/>
      <c r="Q956" s="32" t="n"/>
      <c r="R956" s="32" t="n"/>
      <c r="S956" s="32" t="n"/>
      <c r="T956" s="32" t="n"/>
      <c r="U956" s="32" t="n"/>
      <c r="V956" s="32" t="n"/>
      <c r="W956" s="32" t="n"/>
      <c r="X956" s="32" t="n"/>
      <c r="Y956" s="32" t="n"/>
      <c r="Z956" s="32" t="n"/>
    </row>
    <row r="957">
      <c r="A957" s="32" t="n"/>
      <c r="B957" s="32" t="n"/>
      <c r="C957" s="32" t="n"/>
      <c r="D957" s="32" t="n"/>
      <c r="E957" s="32" t="n"/>
      <c r="F957" s="32" t="n"/>
      <c r="G957" s="32" t="n"/>
      <c r="H957" s="32" t="n"/>
      <c r="I957" s="32" t="n"/>
      <c r="J957" s="32" t="n"/>
      <c r="K957" s="32" t="n"/>
      <c r="L957" s="32" t="n"/>
      <c r="M957" s="32" t="n"/>
      <c r="N957" s="32" t="n"/>
      <c r="O957" s="32" t="n"/>
      <c r="P957" s="32" t="n"/>
      <c r="Q957" s="32" t="n"/>
      <c r="R957" s="32" t="n"/>
      <c r="S957" s="32" t="n"/>
      <c r="T957" s="32" t="n"/>
      <c r="U957" s="32" t="n"/>
      <c r="V957" s="32" t="n"/>
      <c r="W957" s="32" t="n"/>
      <c r="X957" s="32" t="n"/>
      <c r="Y957" s="32" t="n"/>
      <c r="Z957" s="32" t="n"/>
    </row>
    <row r="958">
      <c r="A958" s="32" t="n"/>
      <c r="B958" s="32" t="n"/>
      <c r="C958" s="32" t="n"/>
      <c r="D958" s="32" t="n"/>
      <c r="E958" s="32" t="n"/>
      <c r="F958" s="32" t="n"/>
      <c r="G958" s="32" t="n"/>
      <c r="H958" s="32" t="n"/>
      <c r="I958" s="32" t="n"/>
      <c r="J958" s="32" t="n"/>
      <c r="K958" s="32" t="n"/>
      <c r="L958" s="32" t="n"/>
      <c r="M958" s="32" t="n"/>
      <c r="N958" s="32" t="n"/>
      <c r="O958" s="32" t="n"/>
      <c r="P958" s="32" t="n"/>
      <c r="Q958" s="32" t="n"/>
      <c r="R958" s="32" t="n"/>
      <c r="S958" s="32" t="n"/>
      <c r="T958" s="32" t="n"/>
      <c r="U958" s="32" t="n"/>
      <c r="V958" s="32" t="n"/>
      <c r="W958" s="32" t="n"/>
      <c r="X958" s="32" t="n"/>
      <c r="Y958" s="32" t="n"/>
      <c r="Z958" s="32" t="n"/>
    </row>
    <row r="959">
      <c r="A959" s="32" t="n"/>
      <c r="B959" s="32" t="n"/>
      <c r="C959" s="32" t="n"/>
      <c r="D959" s="32" t="n"/>
      <c r="E959" s="32" t="n"/>
      <c r="F959" s="32" t="n"/>
      <c r="G959" s="32" t="n"/>
      <c r="H959" s="32" t="n"/>
      <c r="I959" s="32" t="n"/>
      <c r="J959" s="32" t="n"/>
      <c r="K959" s="32" t="n"/>
      <c r="L959" s="32" t="n"/>
      <c r="M959" s="32" t="n"/>
      <c r="N959" s="32" t="n"/>
      <c r="O959" s="32" t="n"/>
      <c r="P959" s="32" t="n"/>
      <c r="Q959" s="32" t="n"/>
      <c r="R959" s="32" t="n"/>
      <c r="S959" s="32" t="n"/>
      <c r="T959" s="32" t="n"/>
      <c r="U959" s="32" t="n"/>
      <c r="V959" s="32" t="n"/>
      <c r="W959" s="32" t="n"/>
      <c r="X959" s="32" t="n"/>
      <c r="Y959" s="32" t="n"/>
      <c r="Z959" s="32" t="n"/>
    </row>
    <row r="960">
      <c r="A960" s="32" t="n"/>
      <c r="B960" s="32" t="n"/>
      <c r="C960" s="32" t="n"/>
      <c r="D960" s="32" t="n"/>
      <c r="E960" s="32" t="n"/>
      <c r="F960" s="32" t="n"/>
      <c r="G960" s="32" t="n"/>
      <c r="H960" s="32" t="n"/>
      <c r="I960" s="32" t="n"/>
      <c r="J960" s="32" t="n"/>
      <c r="K960" s="32" t="n"/>
      <c r="L960" s="32" t="n"/>
      <c r="M960" s="32" t="n"/>
      <c r="N960" s="32" t="n"/>
      <c r="O960" s="32" t="n"/>
      <c r="P960" s="32" t="n"/>
      <c r="Q960" s="32" t="n"/>
      <c r="R960" s="32" t="n"/>
      <c r="S960" s="32" t="n"/>
      <c r="T960" s="32" t="n"/>
      <c r="U960" s="32" t="n"/>
      <c r="V960" s="32" t="n"/>
      <c r="W960" s="32" t="n"/>
      <c r="X960" s="32" t="n"/>
      <c r="Y960" s="32" t="n"/>
      <c r="Z960" s="32" t="n"/>
    </row>
    <row r="961">
      <c r="A961" s="32" t="n"/>
      <c r="B961" s="32" t="n"/>
      <c r="C961" s="32" t="n"/>
      <c r="D961" s="32" t="n"/>
      <c r="E961" s="32" t="n"/>
      <c r="F961" s="32" t="n"/>
      <c r="G961" s="32" t="n"/>
      <c r="H961" s="32" t="n"/>
      <c r="I961" s="32" t="n"/>
      <c r="J961" s="32" t="n"/>
      <c r="K961" s="32" t="n"/>
      <c r="L961" s="32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2" t="n"/>
      <c r="W961" s="32" t="n"/>
      <c r="X961" s="32" t="n"/>
      <c r="Y961" s="32" t="n"/>
      <c r="Z961" s="32" t="n"/>
    </row>
    <row r="962">
      <c r="A962" s="32" t="n"/>
      <c r="B962" s="32" t="n"/>
      <c r="C962" s="32" t="n"/>
      <c r="D962" s="32" t="n"/>
      <c r="E962" s="32" t="n"/>
      <c r="F962" s="32" t="n"/>
      <c r="G962" s="32" t="n"/>
      <c r="H962" s="32" t="n"/>
      <c r="I962" s="32" t="n"/>
      <c r="J962" s="32" t="n"/>
      <c r="K962" s="32" t="n"/>
      <c r="L962" s="32" t="n"/>
      <c r="M962" s="32" t="n"/>
      <c r="N962" s="32" t="n"/>
      <c r="O962" s="32" t="n"/>
      <c r="P962" s="32" t="n"/>
      <c r="Q962" s="32" t="n"/>
      <c r="R962" s="32" t="n"/>
      <c r="S962" s="32" t="n"/>
      <c r="T962" s="32" t="n"/>
      <c r="U962" s="32" t="n"/>
      <c r="V962" s="32" t="n"/>
      <c r="W962" s="32" t="n"/>
      <c r="X962" s="32" t="n"/>
      <c r="Y962" s="32" t="n"/>
      <c r="Z962" s="32" t="n"/>
    </row>
    <row r="963">
      <c r="A963" s="32" t="n"/>
      <c r="B963" s="32" t="n"/>
      <c r="C963" s="32" t="n"/>
      <c r="D963" s="32" t="n"/>
      <c r="E963" s="32" t="n"/>
      <c r="F963" s="32" t="n"/>
      <c r="G963" s="32" t="n"/>
      <c r="H963" s="32" t="n"/>
      <c r="I963" s="32" t="n"/>
      <c r="J963" s="32" t="n"/>
      <c r="K963" s="32" t="n"/>
      <c r="L963" s="32" t="n"/>
      <c r="M963" s="32" t="n"/>
      <c r="N963" s="32" t="n"/>
      <c r="O963" s="32" t="n"/>
      <c r="P963" s="32" t="n"/>
      <c r="Q963" s="32" t="n"/>
      <c r="R963" s="32" t="n"/>
      <c r="S963" s="32" t="n"/>
      <c r="T963" s="32" t="n"/>
      <c r="U963" s="32" t="n"/>
      <c r="V963" s="32" t="n"/>
      <c r="W963" s="32" t="n"/>
      <c r="X963" s="32" t="n"/>
      <c r="Y963" s="32" t="n"/>
      <c r="Z963" s="32" t="n"/>
    </row>
    <row r="964">
      <c r="A964" s="32" t="n"/>
      <c r="B964" s="32" t="n"/>
      <c r="C964" s="32" t="n"/>
      <c r="D964" s="32" t="n"/>
      <c r="E964" s="32" t="n"/>
      <c r="F964" s="32" t="n"/>
      <c r="G964" s="32" t="n"/>
      <c r="H964" s="32" t="n"/>
      <c r="I964" s="32" t="n"/>
      <c r="J964" s="32" t="n"/>
      <c r="K964" s="32" t="n"/>
      <c r="L964" s="32" t="n"/>
      <c r="M964" s="32" t="n"/>
      <c r="N964" s="32" t="n"/>
      <c r="O964" s="32" t="n"/>
      <c r="P964" s="32" t="n"/>
      <c r="Q964" s="32" t="n"/>
      <c r="R964" s="32" t="n"/>
      <c r="S964" s="32" t="n"/>
      <c r="T964" s="32" t="n"/>
      <c r="U964" s="32" t="n"/>
      <c r="V964" s="32" t="n"/>
      <c r="W964" s="32" t="n"/>
      <c r="X964" s="32" t="n"/>
      <c r="Y964" s="32" t="n"/>
      <c r="Z964" s="32" t="n"/>
    </row>
    <row r="965">
      <c r="A965" s="32" t="n"/>
      <c r="B965" s="32" t="n"/>
      <c r="C965" s="32" t="n"/>
      <c r="D965" s="32" t="n"/>
      <c r="E965" s="32" t="n"/>
      <c r="F965" s="32" t="n"/>
      <c r="G965" s="32" t="n"/>
      <c r="H965" s="32" t="n"/>
      <c r="I965" s="32" t="n"/>
      <c r="J965" s="32" t="n"/>
      <c r="K965" s="32" t="n"/>
      <c r="L965" s="32" t="n"/>
      <c r="M965" s="32" t="n"/>
      <c r="N965" s="32" t="n"/>
      <c r="O965" s="32" t="n"/>
      <c r="P965" s="32" t="n"/>
      <c r="Q965" s="32" t="n"/>
      <c r="R965" s="32" t="n"/>
      <c r="S965" s="32" t="n"/>
      <c r="T965" s="32" t="n"/>
      <c r="U965" s="32" t="n"/>
      <c r="V965" s="32" t="n"/>
      <c r="W965" s="32" t="n"/>
      <c r="X965" s="32" t="n"/>
      <c r="Y965" s="32" t="n"/>
      <c r="Z965" s="32" t="n"/>
    </row>
    <row r="966">
      <c r="A966" s="32" t="n"/>
      <c r="B966" s="32" t="n"/>
      <c r="C966" s="32" t="n"/>
      <c r="D966" s="32" t="n"/>
      <c r="E966" s="32" t="n"/>
      <c r="F966" s="32" t="n"/>
      <c r="G966" s="32" t="n"/>
      <c r="H966" s="32" t="n"/>
      <c r="I966" s="32" t="n"/>
      <c r="J966" s="32" t="n"/>
      <c r="K966" s="32" t="n"/>
      <c r="L966" s="32" t="n"/>
      <c r="M966" s="32" t="n"/>
      <c r="N966" s="32" t="n"/>
      <c r="O966" s="32" t="n"/>
      <c r="P966" s="32" t="n"/>
      <c r="Q966" s="32" t="n"/>
      <c r="R966" s="32" t="n"/>
      <c r="S966" s="32" t="n"/>
      <c r="T966" s="32" t="n"/>
      <c r="U966" s="32" t="n"/>
      <c r="V966" s="32" t="n"/>
      <c r="W966" s="32" t="n"/>
      <c r="X966" s="32" t="n"/>
      <c r="Y966" s="32" t="n"/>
      <c r="Z966" s="32" t="n"/>
    </row>
    <row r="967">
      <c r="A967" s="32" t="n"/>
      <c r="B967" s="32" t="n"/>
      <c r="C967" s="32" t="n"/>
      <c r="D967" s="32" t="n"/>
      <c r="E967" s="32" t="n"/>
      <c r="F967" s="32" t="n"/>
      <c r="G967" s="32" t="n"/>
      <c r="H967" s="32" t="n"/>
      <c r="I967" s="32" t="n"/>
      <c r="J967" s="32" t="n"/>
      <c r="K967" s="32" t="n"/>
      <c r="L967" s="32" t="n"/>
      <c r="M967" s="32" t="n"/>
      <c r="N967" s="32" t="n"/>
      <c r="O967" s="32" t="n"/>
      <c r="P967" s="32" t="n"/>
      <c r="Q967" s="32" t="n"/>
      <c r="R967" s="32" t="n"/>
      <c r="S967" s="32" t="n"/>
      <c r="T967" s="32" t="n"/>
      <c r="U967" s="32" t="n"/>
      <c r="V967" s="32" t="n"/>
      <c r="W967" s="32" t="n"/>
      <c r="X967" s="32" t="n"/>
      <c r="Y967" s="32" t="n"/>
      <c r="Z967" s="32" t="n"/>
    </row>
    <row r="968">
      <c r="A968" s="32" t="n"/>
      <c r="B968" s="32" t="n"/>
      <c r="C968" s="32" t="n"/>
      <c r="D968" s="32" t="n"/>
      <c r="E968" s="32" t="n"/>
      <c r="F968" s="32" t="n"/>
      <c r="G968" s="32" t="n"/>
      <c r="H968" s="32" t="n"/>
      <c r="I968" s="32" t="n"/>
      <c r="J968" s="32" t="n"/>
      <c r="K968" s="32" t="n"/>
      <c r="L968" s="32" t="n"/>
      <c r="M968" s="32" t="n"/>
      <c r="N968" s="32" t="n"/>
      <c r="O968" s="32" t="n"/>
      <c r="P968" s="32" t="n"/>
      <c r="Q968" s="32" t="n"/>
      <c r="R968" s="32" t="n"/>
      <c r="S968" s="32" t="n"/>
      <c r="T968" s="32" t="n"/>
      <c r="U968" s="32" t="n"/>
      <c r="V968" s="32" t="n"/>
      <c r="W968" s="32" t="n"/>
      <c r="X968" s="32" t="n"/>
      <c r="Y968" s="32" t="n"/>
      <c r="Z968" s="32" t="n"/>
    </row>
    <row r="969">
      <c r="A969" s="32" t="n"/>
      <c r="B969" s="32" t="n"/>
      <c r="C969" s="32" t="n"/>
      <c r="D969" s="32" t="n"/>
      <c r="E969" s="32" t="n"/>
      <c r="F969" s="32" t="n"/>
      <c r="G969" s="32" t="n"/>
      <c r="H969" s="32" t="n"/>
      <c r="I969" s="32" t="n"/>
      <c r="J969" s="32" t="n"/>
      <c r="K969" s="32" t="n"/>
      <c r="L969" s="32" t="n"/>
      <c r="M969" s="32" t="n"/>
      <c r="N969" s="32" t="n"/>
      <c r="O969" s="32" t="n"/>
      <c r="P969" s="32" t="n"/>
      <c r="Q969" s="32" t="n"/>
      <c r="R969" s="32" t="n"/>
      <c r="S969" s="32" t="n"/>
      <c r="T969" s="32" t="n"/>
      <c r="U969" s="32" t="n"/>
      <c r="V969" s="32" t="n"/>
      <c r="W969" s="32" t="n"/>
      <c r="X969" s="32" t="n"/>
      <c r="Y969" s="32" t="n"/>
      <c r="Z969" s="32" t="n"/>
    </row>
    <row r="970">
      <c r="A970" s="32" t="n"/>
      <c r="B970" s="32" t="n"/>
      <c r="C970" s="32" t="n"/>
      <c r="D970" s="32" t="n"/>
      <c r="E970" s="32" t="n"/>
      <c r="F970" s="32" t="n"/>
      <c r="G970" s="32" t="n"/>
      <c r="H970" s="32" t="n"/>
      <c r="I970" s="32" t="n"/>
      <c r="J970" s="32" t="n"/>
      <c r="K970" s="32" t="n"/>
      <c r="L970" s="32" t="n"/>
      <c r="M970" s="32" t="n"/>
      <c r="N970" s="32" t="n"/>
      <c r="O970" s="32" t="n"/>
      <c r="P970" s="32" t="n"/>
      <c r="Q970" s="32" t="n"/>
      <c r="R970" s="32" t="n"/>
      <c r="S970" s="32" t="n"/>
      <c r="T970" s="32" t="n"/>
      <c r="U970" s="32" t="n"/>
      <c r="V970" s="32" t="n"/>
      <c r="W970" s="32" t="n"/>
      <c r="X970" s="32" t="n"/>
      <c r="Y970" s="32" t="n"/>
      <c r="Z970" s="32" t="n"/>
    </row>
    <row r="971">
      <c r="A971" s="32" t="n"/>
      <c r="B971" s="32" t="n"/>
      <c r="C971" s="32" t="n"/>
      <c r="D971" s="32" t="n"/>
      <c r="E971" s="32" t="n"/>
      <c r="F971" s="32" t="n"/>
      <c r="G971" s="32" t="n"/>
      <c r="H971" s="32" t="n"/>
      <c r="I971" s="32" t="n"/>
      <c r="J971" s="32" t="n"/>
      <c r="K971" s="32" t="n"/>
      <c r="L971" s="32" t="n"/>
      <c r="M971" s="32" t="n"/>
      <c r="N971" s="32" t="n"/>
      <c r="O971" s="32" t="n"/>
      <c r="P971" s="32" t="n"/>
      <c r="Q971" s="32" t="n"/>
      <c r="R971" s="32" t="n"/>
      <c r="S971" s="32" t="n"/>
      <c r="T971" s="32" t="n"/>
      <c r="U971" s="32" t="n"/>
      <c r="V971" s="32" t="n"/>
      <c r="W971" s="32" t="n"/>
      <c r="X971" s="32" t="n"/>
      <c r="Y971" s="32" t="n"/>
      <c r="Z971" s="32" t="n"/>
    </row>
    <row r="972">
      <c r="A972" s="32" t="n"/>
      <c r="B972" s="32" t="n"/>
      <c r="C972" s="32" t="n"/>
      <c r="D972" s="32" t="n"/>
      <c r="E972" s="32" t="n"/>
      <c r="F972" s="32" t="n"/>
      <c r="G972" s="32" t="n"/>
      <c r="H972" s="32" t="n"/>
      <c r="I972" s="32" t="n"/>
      <c r="J972" s="32" t="n"/>
      <c r="K972" s="32" t="n"/>
      <c r="L972" s="32" t="n"/>
      <c r="M972" s="32" t="n"/>
      <c r="N972" s="32" t="n"/>
      <c r="O972" s="32" t="n"/>
      <c r="P972" s="32" t="n"/>
      <c r="Q972" s="32" t="n"/>
      <c r="R972" s="32" t="n"/>
      <c r="S972" s="32" t="n"/>
      <c r="T972" s="32" t="n"/>
      <c r="U972" s="32" t="n"/>
      <c r="V972" s="32" t="n"/>
      <c r="W972" s="32" t="n"/>
      <c r="X972" s="32" t="n"/>
      <c r="Y972" s="32" t="n"/>
      <c r="Z972" s="32" t="n"/>
    </row>
    <row r="973">
      <c r="A973" s="32" t="n"/>
      <c r="B973" s="32" t="n"/>
      <c r="C973" s="32" t="n"/>
      <c r="D973" s="32" t="n"/>
      <c r="E973" s="32" t="n"/>
      <c r="F973" s="32" t="n"/>
      <c r="G973" s="32" t="n"/>
      <c r="H973" s="32" t="n"/>
      <c r="I973" s="32" t="n"/>
      <c r="J973" s="32" t="n"/>
      <c r="K973" s="32" t="n"/>
      <c r="L973" s="32" t="n"/>
      <c r="M973" s="32" t="n"/>
      <c r="N973" s="32" t="n"/>
      <c r="O973" s="32" t="n"/>
      <c r="P973" s="32" t="n"/>
      <c r="Q973" s="32" t="n"/>
      <c r="R973" s="32" t="n"/>
      <c r="S973" s="32" t="n"/>
      <c r="T973" s="32" t="n"/>
      <c r="U973" s="32" t="n"/>
      <c r="V973" s="32" t="n"/>
      <c r="W973" s="32" t="n"/>
      <c r="X973" s="32" t="n"/>
      <c r="Y973" s="32" t="n"/>
      <c r="Z973" s="32" t="n"/>
    </row>
    <row r="974">
      <c r="A974" s="32" t="n"/>
      <c r="B974" s="32" t="n"/>
      <c r="C974" s="32" t="n"/>
      <c r="D974" s="32" t="n"/>
      <c r="E974" s="32" t="n"/>
      <c r="F974" s="32" t="n"/>
      <c r="G974" s="32" t="n"/>
      <c r="H974" s="32" t="n"/>
      <c r="I974" s="32" t="n"/>
      <c r="J974" s="32" t="n"/>
      <c r="K974" s="32" t="n"/>
      <c r="L974" s="32" t="n"/>
      <c r="M974" s="32" t="n"/>
      <c r="N974" s="32" t="n"/>
      <c r="O974" s="32" t="n"/>
      <c r="P974" s="32" t="n"/>
      <c r="Q974" s="32" t="n"/>
      <c r="R974" s="32" t="n"/>
      <c r="S974" s="32" t="n"/>
      <c r="T974" s="32" t="n"/>
      <c r="U974" s="32" t="n"/>
      <c r="V974" s="32" t="n"/>
      <c r="W974" s="32" t="n"/>
      <c r="X974" s="32" t="n"/>
      <c r="Y974" s="32" t="n"/>
      <c r="Z974" s="32" t="n"/>
    </row>
    <row r="975">
      <c r="A975" s="32" t="n"/>
      <c r="B975" s="32" t="n"/>
      <c r="C975" s="32" t="n"/>
      <c r="D975" s="32" t="n"/>
      <c r="E975" s="32" t="n"/>
      <c r="F975" s="32" t="n"/>
      <c r="G975" s="32" t="n"/>
      <c r="H975" s="32" t="n"/>
      <c r="I975" s="32" t="n"/>
      <c r="J975" s="32" t="n"/>
      <c r="K975" s="32" t="n"/>
      <c r="L975" s="32" t="n"/>
      <c r="M975" s="32" t="n"/>
      <c r="N975" s="32" t="n"/>
      <c r="O975" s="32" t="n"/>
      <c r="P975" s="32" t="n"/>
      <c r="Q975" s="32" t="n"/>
      <c r="R975" s="32" t="n"/>
      <c r="S975" s="32" t="n"/>
      <c r="T975" s="32" t="n"/>
      <c r="U975" s="32" t="n"/>
      <c r="V975" s="32" t="n"/>
      <c r="W975" s="32" t="n"/>
      <c r="X975" s="32" t="n"/>
      <c r="Y975" s="32" t="n"/>
      <c r="Z975" s="32" t="n"/>
    </row>
    <row r="976">
      <c r="A976" s="32" t="n"/>
      <c r="B976" s="32" t="n"/>
      <c r="C976" s="32" t="n"/>
      <c r="D976" s="32" t="n"/>
      <c r="E976" s="32" t="n"/>
      <c r="F976" s="32" t="n"/>
      <c r="G976" s="32" t="n"/>
      <c r="H976" s="32" t="n"/>
      <c r="I976" s="32" t="n"/>
      <c r="J976" s="32" t="n"/>
      <c r="K976" s="32" t="n"/>
      <c r="L976" s="32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2" t="n"/>
      <c r="W976" s="32" t="n"/>
      <c r="X976" s="32" t="n"/>
      <c r="Y976" s="32" t="n"/>
      <c r="Z976" s="32" t="n"/>
    </row>
    <row r="977">
      <c r="A977" s="32" t="n"/>
      <c r="B977" s="32" t="n"/>
      <c r="C977" s="32" t="n"/>
      <c r="D977" s="32" t="n"/>
      <c r="E977" s="32" t="n"/>
      <c r="F977" s="32" t="n"/>
      <c r="G977" s="32" t="n"/>
      <c r="H977" s="32" t="n"/>
      <c r="I977" s="32" t="n"/>
      <c r="J977" s="32" t="n"/>
      <c r="K977" s="32" t="n"/>
      <c r="L977" s="32" t="n"/>
      <c r="M977" s="32" t="n"/>
      <c r="N977" s="32" t="n"/>
      <c r="O977" s="32" t="n"/>
      <c r="P977" s="32" t="n"/>
      <c r="Q977" s="32" t="n"/>
      <c r="R977" s="32" t="n"/>
      <c r="S977" s="32" t="n"/>
      <c r="T977" s="32" t="n"/>
      <c r="U977" s="32" t="n"/>
      <c r="V977" s="32" t="n"/>
      <c r="W977" s="32" t="n"/>
      <c r="X977" s="32" t="n"/>
      <c r="Y977" s="32" t="n"/>
      <c r="Z977" s="32" t="n"/>
    </row>
    <row r="978">
      <c r="A978" s="32" t="n"/>
      <c r="B978" s="32" t="n"/>
      <c r="C978" s="32" t="n"/>
      <c r="D978" s="32" t="n"/>
      <c r="E978" s="32" t="n"/>
      <c r="F978" s="32" t="n"/>
      <c r="G978" s="32" t="n"/>
      <c r="H978" s="32" t="n"/>
      <c r="I978" s="32" t="n"/>
      <c r="J978" s="32" t="n"/>
      <c r="K978" s="32" t="n"/>
      <c r="L978" s="32" t="n"/>
      <c r="M978" s="32" t="n"/>
      <c r="N978" s="32" t="n"/>
      <c r="O978" s="32" t="n"/>
      <c r="P978" s="32" t="n"/>
      <c r="Q978" s="32" t="n"/>
      <c r="R978" s="32" t="n"/>
      <c r="S978" s="32" t="n"/>
      <c r="T978" s="32" t="n"/>
      <c r="U978" s="32" t="n"/>
      <c r="V978" s="32" t="n"/>
      <c r="W978" s="32" t="n"/>
      <c r="X978" s="32" t="n"/>
      <c r="Y978" s="32" t="n"/>
      <c r="Z978" s="32" t="n"/>
    </row>
    <row r="979">
      <c r="A979" s="32" t="n"/>
      <c r="B979" s="32" t="n"/>
      <c r="C979" s="32" t="n"/>
      <c r="D979" s="32" t="n"/>
      <c r="E979" s="32" t="n"/>
      <c r="F979" s="32" t="n"/>
      <c r="G979" s="32" t="n"/>
      <c r="H979" s="32" t="n"/>
      <c r="I979" s="32" t="n"/>
      <c r="J979" s="32" t="n"/>
      <c r="K979" s="32" t="n"/>
      <c r="L979" s="32" t="n"/>
      <c r="M979" s="32" t="n"/>
      <c r="N979" s="32" t="n"/>
      <c r="O979" s="32" t="n"/>
      <c r="P979" s="32" t="n"/>
      <c r="Q979" s="32" t="n"/>
      <c r="R979" s="32" t="n"/>
      <c r="S979" s="32" t="n"/>
      <c r="T979" s="32" t="n"/>
      <c r="U979" s="32" t="n"/>
      <c r="V979" s="32" t="n"/>
      <c r="W979" s="32" t="n"/>
      <c r="X979" s="32" t="n"/>
      <c r="Y979" s="32" t="n"/>
      <c r="Z979" s="32" t="n"/>
    </row>
    <row r="980">
      <c r="A980" s="32" t="n"/>
      <c r="B980" s="32" t="n"/>
      <c r="C980" s="32" t="n"/>
      <c r="D980" s="32" t="n"/>
      <c r="E980" s="32" t="n"/>
      <c r="F980" s="32" t="n"/>
      <c r="G980" s="32" t="n"/>
      <c r="H980" s="32" t="n"/>
      <c r="I980" s="32" t="n"/>
      <c r="J980" s="32" t="n"/>
      <c r="K980" s="32" t="n"/>
      <c r="L980" s="32" t="n"/>
      <c r="M980" s="32" t="n"/>
      <c r="N980" s="32" t="n"/>
      <c r="O980" s="32" t="n"/>
      <c r="P980" s="32" t="n"/>
      <c r="Q980" s="32" t="n"/>
      <c r="R980" s="32" t="n"/>
      <c r="S980" s="32" t="n"/>
      <c r="T980" s="32" t="n"/>
      <c r="U980" s="32" t="n"/>
      <c r="V980" s="32" t="n"/>
      <c r="W980" s="32" t="n"/>
      <c r="X980" s="32" t="n"/>
      <c r="Y980" s="32" t="n"/>
      <c r="Z980" s="32" t="n"/>
    </row>
    <row r="981">
      <c r="A981" s="32" t="n"/>
      <c r="B981" s="32" t="n"/>
      <c r="C981" s="32" t="n"/>
      <c r="D981" s="32" t="n"/>
      <c r="E981" s="32" t="n"/>
      <c r="F981" s="32" t="n"/>
      <c r="G981" s="32" t="n"/>
      <c r="H981" s="32" t="n"/>
      <c r="I981" s="32" t="n"/>
      <c r="J981" s="32" t="n"/>
      <c r="K981" s="32" t="n"/>
      <c r="L981" s="32" t="n"/>
      <c r="M981" s="32" t="n"/>
      <c r="N981" s="32" t="n"/>
      <c r="O981" s="32" t="n"/>
      <c r="P981" s="32" t="n"/>
      <c r="Q981" s="32" t="n"/>
      <c r="R981" s="32" t="n"/>
      <c r="S981" s="32" t="n"/>
      <c r="T981" s="32" t="n"/>
      <c r="U981" s="32" t="n"/>
      <c r="V981" s="32" t="n"/>
      <c r="W981" s="32" t="n"/>
      <c r="X981" s="32" t="n"/>
      <c r="Y981" s="32" t="n"/>
      <c r="Z981" s="32" t="n"/>
    </row>
    <row r="982">
      <c r="A982" s="32" t="n"/>
      <c r="B982" s="32" t="n"/>
      <c r="C982" s="32" t="n"/>
      <c r="D982" s="32" t="n"/>
      <c r="E982" s="32" t="n"/>
      <c r="F982" s="32" t="n"/>
      <c r="G982" s="32" t="n"/>
      <c r="H982" s="32" t="n"/>
      <c r="I982" s="32" t="n"/>
      <c r="J982" s="32" t="n"/>
      <c r="K982" s="32" t="n"/>
      <c r="L982" s="32" t="n"/>
      <c r="M982" s="32" t="n"/>
      <c r="N982" s="32" t="n"/>
      <c r="O982" s="32" t="n"/>
      <c r="P982" s="32" t="n"/>
      <c r="Q982" s="32" t="n"/>
      <c r="R982" s="32" t="n"/>
      <c r="S982" s="32" t="n"/>
      <c r="T982" s="32" t="n"/>
      <c r="U982" s="32" t="n"/>
      <c r="V982" s="32" t="n"/>
      <c r="W982" s="32" t="n"/>
      <c r="X982" s="32" t="n"/>
      <c r="Y982" s="32" t="n"/>
      <c r="Z982" s="32" t="n"/>
    </row>
    <row r="983">
      <c r="A983" s="32" t="n"/>
      <c r="B983" s="32" t="n"/>
      <c r="C983" s="32" t="n"/>
      <c r="D983" s="32" t="n"/>
      <c r="E983" s="32" t="n"/>
      <c r="F983" s="32" t="n"/>
      <c r="G983" s="32" t="n"/>
      <c r="H983" s="32" t="n"/>
      <c r="I983" s="32" t="n"/>
      <c r="J983" s="32" t="n"/>
      <c r="K983" s="32" t="n"/>
      <c r="L983" s="32" t="n"/>
      <c r="M983" s="32" t="n"/>
      <c r="N983" s="32" t="n"/>
      <c r="O983" s="32" t="n"/>
      <c r="P983" s="32" t="n"/>
      <c r="Q983" s="32" t="n"/>
      <c r="R983" s="32" t="n"/>
      <c r="S983" s="32" t="n"/>
      <c r="T983" s="32" t="n"/>
      <c r="U983" s="32" t="n"/>
      <c r="V983" s="32" t="n"/>
      <c r="W983" s="32" t="n"/>
      <c r="X983" s="32" t="n"/>
      <c r="Y983" s="32" t="n"/>
      <c r="Z983" s="32" t="n"/>
    </row>
    <row r="984">
      <c r="A984" s="32" t="n"/>
      <c r="B984" s="32" t="n"/>
      <c r="C984" s="32" t="n"/>
      <c r="D984" s="32" t="n"/>
      <c r="E984" s="32" t="n"/>
      <c r="F984" s="32" t="n"/>
      <c r="G984" s="32" t="n"/>
      <c r="H984" s="32" t="n"/>
      <c r="I984" s="32" t="n"/>
      <c r="J984" s="32" t="n"/>
      <c r="K984" s="32" t="n"/>
      <c r="L984" s="32" t="n"/>
      <c r="M984" s="32" t="n"/>
      <c r="N984" s="32" t="n"/>
      <c r="O984" s="32" t="n"/>
      <c r="P984" s="32" t="n"/>
      <c r="Q984" s="32" t="n"/>
      <c r="R984" s="32" t="n"/>
      <c r="S984" s="32" t="n"/>
      <c r="T984" s="32" t="n"/>
      <c r="U984" s="32" t="n"/>
      <c r="V984" s="32" t="n"/>
      <c r="W984" s="32" t="n"/>
      <c r="X984" s="32" t="n"/>
      <c r="Y984" s="32" t="n"/>
      <c r="Z984" s="32" t="n"/>
    </row>
    <row r="985">
      <c r="A985" s="32" t="n"/>
      <c r="B985" s="32" t="n"/>
      <c r="C985" s="32" t="n"/>
      <c r="D985" s="32" t="n"/>
      <c r="E985" s="32" t="n"/>
      <c r="F985" s="32" t="n"/>
      <c r="G985" s="32" t="n"/>
      <c r="H985" s="32" t="n"/>
      <c r="I985" s="32" t="n"/>
      <c r="J985" s="32" t="n"/>
      <c r="K985" s="32" t="n"/>
      <c r="L985" s="32" t="n"/>
      <c r="M985" s="32" t="n"/>
      <c r="N985" s="32" t="n"/>
      <c r="O985" s="32" t="n"/>
      <c r="P985" s="32" t="n"/>
      <c r="Q985" s="32" t="n"/>
      <c r="R985" s="32" t="n"/>
      <c r="S985" s="32" t="n"/>
      <c r="T985" s="32" t="n"/>
      <c r="U985" s="32" t="n"/>
      <c r="V985" s="32" t="n"/>
      <c r="W985" s="32" t="n"/>
      <c r="X985" s="32" t="n"/>
      <c r="Y985" s="32" t="n"/>
      <c r="Z985" s="32" t="n"/>
    </row>
    <row r="986">
      <c r="A986" s="32" t="n"/>
      <c r="B986" s="32" t="n"/>
      <c r="C986" s="32" t="n"/>
      <c r="D986" s="32" t="n"/>
      <c r="E986" s="32" t="n"/>
      <c r="F986" s="32" t="n"/>
      <c r="G986" s="32" t="n"/>
      <c r="H986" s="32" t="n"/>
      <c r="I986" s="32" t="n"/>
      <c r="J986" s="32" t="n"/>
      <c r="K986" s="32" t="n"/>
      <c r="L986" s="32" t="n"/>
      <c r="M986" s="32" t="n"/>
      <c r="N986" s="32" t="n"/>
      <c r="O986" s="32" t="n"/>
      <c r="P986" s="32" t="n"/>
      <c r="Q986" s="32" t="n"/>
      <c r="R986" s="32" t="n"/>
      <c r="S986" s="32" t="n"/>
      <c r="T986" s="32" t="n"/>
      <c r="U986" s="32" t="n"/>
      <c r="V986" s="32" t="n"/>
      <c r="W986" s="32" t="n"/>
      <c r="X986" s="32" t="n"/>
      <c r="Y986" s="32" t="n"/>
      <c r="Z986" s="32" t="n"/>
    </row>
    <row r="987">
      <c r="A987" s="32" t="n"/>
      <c r="B987" s="32" t="n"/>
      <c r="C987" s="32" t="n"/>
      <c r="D987" s="32" t="n"/>
      <c r="E987" s="32" t="n"/>
      <c r="F987" s="32" t="n"/>
      <c r="G987" s="32" t="n"/>
      <c r="H987" s="32" t="n"/>
      <c r="I987" s="32" t="n"/>
      <c r="J987" s="32" t="n"/>
      <c r="K987" s="32" t="n"/>
      <c r="L987" s="32" t="n"/>
      <c r="M987" s="32" t="n"/>
      <c r="N987" s="32" t="n"/>
      <c r="O987" s="32" t="n"/>
      <c r="P987" s="32" t="n"/>
      <c r="Q987" s="32" t="n"/>
      <c r="R987" s="32" t="n"/>
      <c r="S987" s="32" t="n"/>
      <c r="T987" s="32" t="n"/>
      <c r="U987" s="32" t="n"/>
      <c r="V987" s="32" t="n"/>
      <c r="W987" s="32" t="n"/>
      <c r="X987" s="32" t="n"/>
      <c r="Y987" s="32" t="n"/>
      <c r="Z987" s="32" t="n"/>
    </row>
    <row r="988">
      <c r="A988" s="32" t="n"/>
      <c r="B988" s="32" t="n"/>
      <c r="C988" s="32" t="n"/>
      <c r="D988" s="32" t="n"/>
      <c r="E988" s="32" t="n"/>
      <c r="F988" s="32" t="n"/>
      <c r="G988" s="32" t="n"/>
      <c r="H988" s="32" t="n"/>
      <c r="I988" s="32" t="n"/>
      <c r="J988" s="32" t="n"/>
      <c r="K988" s="32" t="n"/>
      <c r="L988" s="32" t="n"/>
      <c r="M988" s="32" t="n"/>
      <c r="N988" s="32" t="n"/>
      <c r="O988" s="32" t="n"/>
      <c r="P988" s="32" t="n"/>
      <c r="Q988" s="32" t="n"/>
      <c r="R988" s="32" t="n"/>
      <c r="S988" s="32" t="n"/>
      <c r="T988" s="32" t="n"/>
      <c r="U988" s="32" t="n"/>
      <c r="V988" s="32" t="n"/>
      <c r="W988" s="32" t="n"/>
      <c r="X988" s="32" t="n"/>
      <c r="Y988" s="32" t="n"/>
      <c r="Z988" s="32" t="n"/>
    </row>
    <row r="989">
      <c r="A989" s="32" t="n"/>
      <c r="B989" s="32" t="n"/>
      <c r="C989" s="32" t="n"/>
      <c r="D989" s="32" t="n"/>
      <c r="E989" s="32" t="n"/>
      <c r="F989" s="32" t="n"/>
      <c r="G989" s="32" t="n"/>
      <c r="H989" s="32" t="n"/>
      <c r="I989" s="32" t="n"/>
      <c r="J989" s="32" t="n"/>
      <c r="K989" s="32" t="n"/>
      <c r="L989" s="32" t="n"/>
      <c r="M989" s="32" t="n"/>
      <c r="N989" s="32" t="n"/>
      <c r="O989" s="32" t="n"/>
      <c r="P989" s="32" t="n"/>
      <c r="Q989" s="32" t="n"/>
      <c r="R989" s="32" t="n"/>
      <c r="S989" s="32" t="n"/>
      <c r="T989" s="32" t="n"/>
      <c r="U989" s="32" t="n"/>
      <c r="V989" s="32" t="n"/>
      <c r="W989" s="32" t="n"/>
      <c r="X989" s="32" t="n"/>
      <c r="Y989" s="32" t="n"/>
      <c r="Z989" s="32" t="n"/>
    </row>
    <row r="990">
      <c r="A990" s="32" t="n"/>
      <c r="B990" s="32" t="n"/>
      <c r="C990" s="32" t="n"/>
      <c r="D990" s="32" t="n"/>
      <c r="E990" s="32" t="n"/>
      <c r="F990" s="32" t="n"/>
      <c r="G990" s="32" t="n"/>
      <c r="H990" s="32" t="n"/>
      <c r="I990" s="32" t="n"/>
      <c r="J990" s="32" t="n"/>
      <c r="K990" s="32" t="n"/>
      <c r="L990" s="32" t="n"/>
      <c r="M990" s="32" t="n"/>
      <c r="N990" s="32" t="n"/>
      <c r="O990" s="32" t="n"/>
      <c r="P990" s="32" t="n"/>
      <c r="Q990" s="32" t="n"/>
      <c r="R990" s="32" t="n"/>
      <c r="S990" s="32" t="n"/>
      <c r="T990" s="32" t="n"/>
      <c r="U990" s="32" t="n"/>
      <c r="V990" s="32" t="n"/>
      <c r="W990" s="32" t="n"/>
      <c r="X990" s="32" t="n"/>
      <c r="Y990" s="32" t="n"/>
      <c r="Z990" s="32" t="n"/>
    </row>
    <row r="991">
      <c r="A991" s="32" t="n"/>
      <c r="B991" s="32" t="n"/>
      <c r="C991" s="32" t="n"/>
      <c r="D991" s="32" t="n"/>
      <c r="E991" s="32" t="n"/>
      <c r="F991" s="32" t="n"/>
      <c r="G991" s="32" t="n"/>
      <c r="H991" s="32" t="n"/>
      <c r="I991" s="32" t="n"/>
      <c r="J991" s="32" t="n"/>
      <c r="K991" s="32" t="n"/>
      <c r="L991" s="32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2" t="n"/>
      <c r="W991" s="32" t="n"/>
      <c r="X991" s="32" t="n"/>
      <c r="Y991" s="32" t="n"/>
      <c r="Z991" s="32" t="n"/>
    </row>
    <row r="992">
      <c r="A992" s="32" t="n"/>
      <c r="B992" s="32" t="n"/>
      <c r="C992" s="32" t="n"/>
      <c r="D992" s="32" t="n"/>
      <c r="E992" s="32" t="n"/>
      <c r="F992" s="32" t="n"/>
      <c r="G992" s="32" t="n"/>
      <c r="H992" s="32" t="n"/>
      <c r="I992" s="32" t="n"/>
      <c r="J992" s="32" t="n"/>
      <c r="K992" s="32" t="n"/>
      <c r="L992" s="32" t="n"/>
      <c r="M992" s="32" t="n"/>
      <c r="N992" s="32" t="n"/>
      <c r="O992" s="32" t="n"/>
      <c r="P992" s="32" t="n"/>
      <c r="Q992" s="32" t="n"/>
      <c r="R992" s="32" t="n"/>
      <c r="S992" s="32" t="n"/>
      <c r="T992" s="32" t="n"/>
      <c r="U992" s="32" t="n"/>
      <c r="V992" s="32" t="n"/>
      <c r="W992" s="32" t="n"/>
      <c r="X992" s="32" t="n"/>
      <c r="Y992" s="32" t="n"/>
      <c r="Z992" s="32" t="n"/>
    </row>
    <row r="993">
      <c r="A993" s="32" t="n"/>
      <c r="B993" s="32" t="n"/>
      <c r="C993" s="32" t="n"/>
      <c r="D993" s="32" t="n"/>
      <c r="E993" s="32" t="n"/>
      <c r="F993" s="32" t="n"/>
      <c r="G993" s="32" t="n"/>
      <c r="H993" s="32" t="n"/>
      <c r="I993" s="32" t="n"/>
      <c r="J993" s="32" t="n"/>
      <c r="K993" s="32" t="n"/>
      <c r="L993" s="32" t="n"/>
      <c r="M993" s="32" t="n"/>
      <c r="N993" s="32" t="n"/>
      <c r="O993" s="32" t="n"/>
      <c r="P993" s="32" t="n"/>
      <c r="Q993" s="32" t="n"/>
      <c r="R993" s="32" t="n"/>
      <c r="S993" s="32" t="n"/>
      <c r="T993" s="32" t="n"/>
      <c r="U993" s="32" t="n"/>
      <c r="V993" s="32" t="n"/>
      <c r="W993" s="32" t="n"/>
      <c r="X993" s="32" t="n"/>
      <c r="Y993" s="32" t="n"/>
      <c r="Z993" s="32" t="n"/>
    </row>
    <row r="994">
      <c r="A994" s="32" t="n"/>
      <c r="B994" s="32" t="n"/>
      <c r="C994" s="32" t="n"/>
      <c r="D994" s="32" t="n"/>
      <c r="E994" s="32" t="n"/>
      <c r="F994" s="32" t="n"/>
      <c r="G994" s="32" t="n"/>
      <c r="H994" s="32" t="n"/>
      <c r="I994" s="32" t="n"/>
      <c r="J994" s="32" t="n"/>
      <c r="K994" s="32" t="n"/>
      <c r="L994" s="32" t="n"/>
      <c r="M994" s="32" t="n"/>
      <c r="N994" s="32" t="n"/>
      <c r="O994" s="32" t="n"/>
      <c r="P994" s="32" t="n"/>
      <c r="Q994" s="32" t="n"/>
      <c r="R994" s="32" t="n"/>
      <c r="S994" s="32" t="n"/>
      <c r="T994" s="32" t="n"/>
      <c r="U994" s="32" t="n"/>
      <c r="V994" s="32" t="n"/>
      <c r="W994" s="32" t="n"/>
      <c r="X994" s="32" t="n"/>
      <c r="Y994" s="32" t="n"/>
      <c r="Z994" s="32" t="n"/>
    </row>
    <row r="995">
      <c r="A995" s="32" t="n"/>
      <c r="B995" s="32" t="n"/>
      <c r="C995" s="32" t="n"/>
      <c r="D995" s="32" t="n"/>
      <c r="E995" s="32" t="n"/>
      <c r="F995" s="32" t="n"/>
      <c r="G995" s="32" t="n"/>
      <c r="H995" s="32" t="n"/>
      <c r="I995" s="32" t="n"/>
      <c r="J995" s="32" t="n"/>
      <c r="K995" s="32" t="n"/>
      <c r="L995" s="32" t="n"/>
      <c r="M995" s="32" t="n"/>
      <c r="N995" s="32" t="n"/>
      <c r="O995" s="32" t="n"/>
      <c r="P995" s="32" t="n"/>
      <c r="Q995" s="32" t="n"/>
      <c r="R995" s="32" t="n"/>
      <c r="S995" s="32" t="n"/>
      <c r="T995" s="32" t="n"/>
      <c r="U995" s="32" t="n"/>
      <c r="V995" s="32" t="n"/>
      <c r="W995" s="32" t="n"/>
      <c r="X995" s="32" t="n"/>
      <c r="Y995" s="32" t="n"/>
      <c r="Z995" s="32" t="n"/>
    </row>
    <row r="996">
      <c r="A996" s="32" t="n"/>
      <c r="B996" s="32" t="n"/>
      <c r="C996" s="32" t="n"/>
      <c r="D996" s="32" t="n"/>
      <c r="E996" s="32" t="n"/>
      <c r="F996" s="32" t="n"/>
      <c r="G996" s="32" t="n"/>
      <c r="H996" s="32" t="n"/>
      <c r="I996" s="32" t="n"/>
      <c r="J996" s="32" t="n"/>
      <c r="K996" s="32" t="n"/>
      <c r="L996" s="32" t="n"/>
      <c r="M996" s="32" t="n"/>
      <c r="N996" s="32" t="n"/>
      <c r="O996" s="32" t="n"/>
      <c r="P996" s="32" t="n"/>
      <c r="Q996" s="32" t="n"/>
      <c r="R996" s="32" t="n"/>
      <c r="S996" s="32" t="n"/>
      <c r="T996" s="32" t="n"/>
      <c r="U996" s="32" t="n"/>
      <c r="V996" s="32" t="n"/>
      <c r="W996" s="32" t="n"/>
      <c r="X996" s="32" t="n"/>
      <c r="Y996" s="32" t="n"/>
      <c r="Z996" s="32" t="n"/>
    </row>
    <row r="997">
      <c r="A997" s="32" t="n"/>
      <c r="B997" s="32" t="n"/>
      <c r="C997" s="32" t="n"/>
      <c r="D997" s="32" t="n"/>
      <c r="E997" s="32" t="n"/>
      <c r="F997" s="32" t="n"/>
      <c r="G997" s="32" t="n"/>
      <c r="H997" s="32" t="n"/>
      <c r="I997" s="32" t="n"/>
      <c r="J997" s="32" t="n"/>
      <c r="K997" s="32" t="n"/>
      <c r="L997" s="32" t="n"/>
      <c r="M997" s="32" t="n"/>
      <c r="N997" s="32" t="n"/>
      <c r="O997" s="32" t="n"/>
      <c r="P997" s="32" t="n"/>
      <c r="Q997" s="32" t="n"/>
      <c r="R997" s="32" t="n"/>
      <c r="S997" s="32" t="n"/>
      <c r="T997" s="32" t="n"/>
      <c r="U997" s="32" t="n"/>
      <c r="V997" s="32" t="n"/>
      <c r="W997" s="32" t="n"/>
      <c r="X997" s="32" t="n"/>
      <c r="Y997" s="32" t="n"/>
      <c r="Z997" s="32" t="n"/>
    </row>
    <row r="998">
      <c r="A998" s="32" t="n"/>
      <c r="B998" s="32" t="n"/>
      <c r="C998" s="32" t="n"/>
      <c r="D998" s="32" t="n"/>
      <c r="E998" s="32" t="n"/>
      <c r="F998" s="32" t="n"/>
      <c r="G998" s="32" t="n"/>
      <c r="H998" s="32" t="n"/>
      <c r="I998" s="32" t="n"/>
      <c r="J998" s="32" t="n"/>
      <c r="K998" s="32" t="n"/>
      <c r="L998" s="32" t="n"/>
      <c r="M998" s="32" t="n"/>
      <c r="N998" s="32" t="n"/>
      <c r="O998" s="32" t="n"/>
      <c r="P998" s="32" t="n"/>
      <c r="Q998" s="32" t="n"/>
      <c r="R998" s="32" t="n"/>
      <c r="S998" s="32" t="n"/>
      <c r="T998" s="32" t="n"/>
      <c r="U998" s="32" t="n"/>
      <c r="V998" s="32" t="n"/>
      <c r="W998" s="32" t="n"/>
      <c r="X998" s="32" t="n"/>
      <c r="Y998" s="32" t="n"/>
      <c r="Z998" s="32" t="n"/>
    </row>
    <row r="999">
      <c r="A999" s="32" t="n"/>
      <c r="B999" s="32" t="n"/>
      <c r="C999" s="32" t="n"/>
      <c r="D999" s="32" t="n"/>
      <c r="E999" s="32" t="n"/>
      <c r="F999" s="32" t="n"/>
      <c r="G999" s="32" t="n"/>
      <c r="H999" s="32" t="n"/>
      <c r="I999" s="32" t="n"/>
      <c r="J999" s="32" t="n"/>
      <c r="K999" s="32" t="n"/>
      <c r="L999" s="32" t="n"/>
      <c r="M999" s="32" t="n"/>
      <c r="N999" s="32" t="n"/>
      <c r="O999" s="32" t="n"/>
      <c r="P999" s="32" t="n"/>
      <c r="Q999" s="32" t="n"/>
      <c r="R999" s="32" t="n"/>
      <c r="S999" s="32" t="n"/>
      <c r="T999" s="32" t="n"/>
      <c r="U999" s="32" t="n"/>
      <c r="V999" s="32" t="n"/>
      <c r="W999" s="32" t="n"/>
      <c r="X999" s="32" t="n"/>
      <c r="Y999" s="32" t="n"/>
      <c r="Z999" s="32" t="n"/>
    </row>
    <row r="1000">
      <c r="A1000" s="32" t="n"/>
      <c r="B1000" s="32" t="n"/>
      <c r="C1000" s="32" t="n"/>
      <c r="D1000" s="32" t="n"/>
      <c r="E1000" s="32" t="n"/>
      <c r="F1000" s="32" t="n"/>
      <c r="G1000" s="32" t="n"/>
      <c r="H1000" s="32" t="n"/>
      <c r="I1000" s="32" t="n"/>
      <c r="J1000" s="32" t="n"/>
      <c r="K1000" s="32" t="n"/>
      <c r="L1000" s="32" t="n"/>
      <c r="M1000" s="32" t="n"/>
      <c r="N1000" s="32" t="n"/>
      <c r="O1000" s="32" t="n"/>
      <c r="P1000" s="32" t="n"/>
      <c r="Q1000" s="32" t="n"/>
      <c r="R1000" s="32" t="n"/>
      <c r="S1000" s="32" t="n"/>
      <c r="T1000" s="32" t="n"/>
      <c r="U1000" s="32" t="n"/>
      <c r="V1000" s="32" t="n"/>
      <c r="W1000" s="32" t="n"/>
      <c r="X1000" s="32" t="n"/>
      <c r="Y1000" s="32" t="n"/>
      <c r="Z1000" s="32" t="n"/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A16" r:id="rId4"/>
    <hyperlink xmlns:r="http://schemas.openxmlformats.org/officeDocument/2006/relationships" ref="H21" r:id="rId5"/>
    <hyperlink xmlns:r="http://schemas.openxmlformats.org/officeDocument/2006/relationships" ref="A53" r:id="rId6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4E7EC"/>
    <outlinePr summaryBelow="0" summaryRight="0"/>
    <pageSetUpPr/>
  </sheetPr>
  <dimension ref="A1:C3"/>
  <sheetViews>
    <sheetView workbookViewId="0">
      <selection activeCell="A1" sqref="A1"/>
    </sheetView>
  </sheetViews>
  <sheetFormatPr baseColWidth="8" defaultColWidth="14.43" defaultRowHeight="15" customHeight="1"/>
  <cols>
    <col width="23.43" customWidth="1" style="83" min="1" max="1"/>
  </cols>
  <sheetData>
    <row r="1">
      <c r="A1" s="43" t="inlineStr">
        <is>
          <t>Name</t>
        </is>
      </c>
      <c r="B1" s="43" t="inlineStr">
        <is>
          <t>Date</t>
        </is>
      </c>
      <c r="C1" s="43" t="inlineStr">
        <is>
          <t>Skill</t>
        </is>
      </c>
    </row>
    <row r="2">
      <c r="A2" s="80" t="inlineStr">
        <is>
          <t>Elangovan Mathan</t>
        </is>
      </c>
      <c r="B2" s="44" t="n">
        <v>45668</v>
      </c>
      <c r="C2" s="80" t="inlineStr">
        <is>
          <t>FSD(Angular)</t>
        </is>
      </c>
    </row>
    <row r="3">
      <c r="A3" s="80" t="inlineStr">
        <is>
          <t>Nirmalkumar Neelamegan</t>
        </is>
      </c>
      <c r="B3" s="44" t="n">
        <v>45668</v>
      </c>
      <c r="C3" s="80" t="inlineStr">
        <is>
          <t>FSD(Angular)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4E7EC"/>
    <outlinePr summaryBelow="1" summaryRight="1"/>
    <pageSetUpPr/>
  </sheetPr>
  <dimension ref="A1:Z200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7.57" customWidth="1" style="83" min="1" max="1"/>
    <col width="13.86" customWidth="1" style="83" min="2" max="2"/>
    <col width="15.29" customWidth="1" style="83" min="3" max="3"/>
    <col width="18.29" customWidth="1" style="83" min="4" max="4"/>
    <col width="13.86" customWidth="1" style="83" min="5" max="5"/>
    <col width="16.43" customWidth="1" style="83" min="6" max="6"/>
    <col width="23.71" customWidth="1" style="83" min="7" max="7"/>
    <col width="23.86" customWidth="1" style="83" min="8" max="8"/>
    <col width="19.57" customWidth="1" style="83" min="9" max="9"/>
    <col width="13.43" customWidth="1" style="83" min="10" max="10"/>
    <col width="8.710000000000001" customWidth="1" style="83" min="11" max="11"/>
    <col width="23.14" customWidth="1" style="83" min="12" max="12"/>
    <col width="8.710000000000001" customWidth="1" style="83" min="13" max="26"/>
  </cols>
  <sheetData>
    <row r="1">
      <c r="A1" s="35" t="inlineStr">
        <is>
          <t>Recruiter Name</t>
        </is>
      </c>
      <c r="B1" s="35" t="inlineStr">
        <is>
          <t>Date</t>
        </is>
      </c>
      <c r="C1" s="35" t="inlineStr">
        <is>
          <t>Month</t>
        </is>
      </c>
      <c r="D1" s="35" t="inlineStr">
        <is>
          <t>Candidate Name</t>
        </is>
      </c>
      <c r="E1" s="3" t="inlineStr">
        <is>
          <t>Contact Number</t>
        </is>
      </c>
      <c r="F1" s="35" t="inlineStr">
        <is>
          <t>Current Location</t>
        </is>
      </c>
      <c r="G1" s="35" t="inlineStr">
        <is>
          <t>Req Title</t>
        </is>
      </c>
      <c r="H1" s="35" t="inlineStr">
        <is>
          <t>Screening Status</t>
        </is>
      </c>
      <c r="I1" s="35" t="inlineStr">
        <is>
          <t>Comments</t>
        </is>
      </c>
      <c r="J1" s="35" t="inlineStr">
        <is>
          <t>Current Salary</t>
        </is>
      </c>
      <c r="K1" s="35" t="inlineStr">
        <is>
          <t>Expected Salary</t>
        </is>
      </c>
      <c r="L1" s="35" t="inlineStr">
        <is>
          <t>Comments</t>
        </is>
      </c>
      <c r="M1" s="35" t="inlineStr">
        <is>
          <t> </t>
        </is>
      </c>
      <c r="N1" s="45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</row>
    <row r="2">
      <c r="A2" s="49" t="inlineStr">
        <is>
          <t>Vijay Anand</t>
        </is>
      </c>
      <c r="B2" s="48" t="n">
        <v>45665</v>
      </c>
      <c r="C2" s="49" t="inlineStr">
        <is>
          <t>January</t>
        </is>
      </c>
      <c r="D2" s="49" t="inlineStr">
        <is>
          <t>Sandhya S</t>
        </is>
      </c>
      <c r="E2" s="49" t="n">
        <v>8667092941</v>
      </c>
      <c r="F2" s="49" t="inlineStr">
        <is>
          <t>Chennai</t>
        </is>
      </c>
      <c r="G2" s="49" t="inlineStr">
        <is>
          <t>Full Stack Developer</t>
        </is>
      </c>
      <c r="H2" s="49" t="inlineStr">
        <is>
          <t>Candidate Withdrawn</t>
        </is>
      </c>
      <c r="I2" s="49" t="inlineStr">
        <is>
          <t>Backed out</t>
        </is>
      </c>
      <c r="J2" s="49" t="inlineStr">
        <is>
          <t>10.2 LPA</t>
        </is>
      </c>
      <c r="K2" s="49" t="inlineStr">
        <is>
          <t>16 LPA</t>
        </is>
      </c>
      <c r="L2" s="49" t="inlineStr">
        <is>
          <t>candidate backed out</t>
        </is>
      </c>
      <c r="M2" s="49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  <c r="Y2" s="82" t="n"/>
      <c r="Z2" s="82" t="n"/>
    </row>
    <row r="3">
      <c r="A3" s="49" t="inlineStr">
        <is>
          <t>Sarath</t>
        </is>
      </c>
      <c r="B3" s="48" t="n">
        <v>45665</v>
      </c>
      <c r="C3" s="49" t="inlineStr">
        <is>
          <t>January</t>
        </is>
      </c>
      <c r="D3" s="49" t="inlineStr">
        <is>
          <t>Bakya Vijayan</t>
        </is>
      </c>
      <c r="E3" s="51" t="n">
        <v>9600790511</v>
      </c>
      <c r="F3" s="49" t="inlineStr">
        <is>
          <t>Chennai</t>
        </is>
      </c>
      <c r="G3" s="49" t="inlineStr">
        <is>
          <t>Full Stack Developer</t>
        </is>
      </c>
      <c r="H3" s="49" t="inlineStr">
        <is>
          <t>Telephonic Screening</t>
        </is>
      </c>
      <c r="I3" s="49" t="inlineStr">
        <is>
          <t>Reject- Budget Constraint</t>
        </is>
      </c>
      <c r="J3" s="49" t="inlineStr">
        <is>
          <t>18 LPA</t>
        </is>
      </c>
      <c r="K3" s="49" t="inlineStr">
        <is>
          <t>33 LPA</t>
        </is>
      </c>
      <c r="L3" s="49" t="n"/>
      <c r="M3" s="49" t="n"/>
      <c r="N3" s="82" t="n"/>
      <c r="O3" s="82" t="n"/>
      <c r="P3" s="82" t="n"/>
      <c r="Q3" s="82" t="n"/>
      <c r="R3" s="82" t="n"/>
      <c r="S3" s="82" t="n"/>
      <c r="T3" s="82" t="n"/>
      <c r="U3" s="82" t="n"/>
      <c r="V3" s="82" t="n"/>
      <c r="W3" s="82" t="n"/>
      <c r="X3" s="82" t="n"/>
      <c r="Y3" s="82" t="n"/>
      <c r="Z3" s="82" t="n"/>
    </row>
    <row r="4">
      <c r="A4" s="49" t="inlineStr">
        <is>
          <t>Sarath</t>
        </is>
      </c>
      <c r="B4" s="48" t="n">
        <v>45665</v>
      </c>
      <c r="C4" s="49" t="inlineStr">
        <is>
          <t>January</t>
        </is>
      </c>
      <c r="D4" s="49" t="inlineStr">
        <is>
          <t>Naveen Asapu</t>
        </is>
      </c>
      <c r="E4" s="51" t="n">
        <v>8124457892</v>
      </c>
      <c r="F4" s="49" t="inlineStr">
        <is>
          <t>Chennai</t>
        </is>
      </c>
      <c r="G4" s="49" t="inlineStr">
        <is>
          <t>Full Stack Developer</t>
        </is>
      </c>
      <c r="H4" s="49" t="inlineStr">
        <is>
          <t>Telephonic Screening</t>
        </is>
      </c>
      <c r="I4" s="49" t="inlineStr">
        <is>
          <t>Reject- Budget Constraint</t>
        </is>
      </c>
      <c r="J4" s="49" t="inlineStr">
        <is>
          <t>22.50 LPA</t>
        </is>
      </c>
      <c r="K4" s="49" t="inlineStr">
        <is>
          <t>32 LPA</t>
        </is>
      </c>
      <c r="L4" s="49" t="n"/>
      <c r="M4" s="49" t="n"/>
      <c r="N4" s="82" t="n"/>
      <c r="O4" s="82" t="n"/>
      <c r="P4" s="82" t="n"/>
      <c r="Q4" s="82" t="n"/>
      <c r="R4" s="82" t="n"/>
      <c r="S4" s="82" t="n"/>
      <c r="T4" s="82" t="n"/>
      <c r="U4" s="82" t="n"/>
      <c r="V4" s="82" t="n"/>
      <c r="W4" s="82" t="n"/>
      <c r="X4" s="82" t="n"/>
      <c r="Y4" s="82" t="n"/>
      <c r="Z4" s="82" t="n"/>
    </row>
    <row r="5">
      <c r="A5" s="49" t="inlineStr">
        <is>
          <t>Sarath</t>
        </is>
      </c>
      <c r="B5" s="48" t="n">
        <v>45665</v>
      </c>
      <c r="C5" s="49" t="inlineStr">
        <is>
          <t>January</t>
        </is>
      </c>
      <c r="D5" s="49" t="inlineStr">
        <is>
          <t>Alaghu Sundram</t>
        </is>
      </c>
      <c r="E5" s="51" t="n">
        <v>8939114429</v>
      </c>
      <c r="F5" s="49" t="inlineStr">
        <is>
          <t>Chennai</t>
        </is>
      </c>
      <c r="G5" s="49" t="inlineStr">
        <is>
          <t>Full Stack Developer</t>
        </is>
      </c>
      <c r="H5" s="49" t="inlineStr">
        <is>
          <t>Telephonic Screening</t>
        </is>
      </c>
      <c r="I5" s="49" t="inlineStr">
        <is>
          <t>Reject</t>
        </is>
      </c>
      <c r="J5" s="49" t="n"/>
      <c r="K5" s="49" t="n"/>
      <c r="L5" s="49" t="n"/>
      <c r="M5" s="49" t="n"/>
      <c r="N5" s="82" t="n"/>
      <c r="O5" s="82" t="n"/>
      <c r="P5" s="82" t="n"/>
      <c r="Q5" s="82" t="n"/>
      <c r="R5" s="82" t="n"/>
      <c r="S5" s="82" t="n"/>
      <c r="T5" s="82" t="n"/>
      <c r="U5" s="82" t="n"/>
      <c r="V5" s="82" t="n"/>
      <c r="W5" s="82" t="n"/>
      <c r="X5" s="82" t="n"/>
      <c r="Y5" s="82" t="n"/>
      <c r="Z5" s="82" t="n"/>
    </row>
    <row r="6">
      <c r="A6" s="49" t="inlineStr">
        <is>
          <t>Sarath</t>
        </is>
      </c>
      <c r="B6" s="48" t="n">
        <v>45665</v>
      </c>
      <c r="C6" s="49" t="inlineStr">
        <is>
          <t>January</t>
        </is>
      </c>
      <c r="D6" s="49" t="inlineStr">
        <is>
          <t>Jegan P</t>
        </is>
      </c>
      <c r="E6" s="55" t="n">
        <v>7904841246</v>
      </c>
      <c r="F6" s="49" t="inlineStr">
        <is>
          <t>Chennai</t>
        </is>
      </c>
      <c r="G6" s="49" t="inlineStr">
        <is>
          <t>Full Stack Developer</t>
        </is>
      </c>
      <c r="H6" s="49" t="inlineStr">
        <is>
          <t>Telephonic Screening</t>
        </is>
      </c>
      <c r="I6" s="49" t="inlineStr">
        <is>
          <t>Reject</t>
        </is>
      </c>
      <c r="J6" s="49" t="n"/>
      <c r="K6" s="49" t="n"/>
      <c r="L6" s="49" t="n"/>
      <c r="M6" s="49" t="n"/>
      <c r="N6" s="82" t="n"/>
      <c r="O6" s="82" t="n"/>
      <c r="P6" s="82" t="n"/>
      <c r="Q6" s="82" t="n"/>
      <c r="R6" s="82" t="n"/>
      <c r="S6" s="82" t="n"/>
      <c r="T6" s="82" t="n"/>
      <c r="U6" s="82" t="n"/>
      <c r="V6" s="82" t="n"/>
      <c r="W6" s="82" t="n"/>
      <c r="X6" s="82" t="n"/>
      <c r="Y6" s="82" t="n"/>
      <c r="Z6" s="82" t="n"/>
    </row>
    <row r="7">
      <c r="A7" s="49" t="inlineStr">
        <is>
          <t>Sarath</t>
        </is>
      </c>
      <c r="B7" s="48" t="n">
        <v>45665</v>
      </c>
      <c r="C7" s="49" t="inlineStr">
        <is>
          <t>January</t>
        </is>
      </c>
      <c r="D7" s="49" t="inlineStr">
        <is>
          <t>Naresh Ponnusamy</t>
        </is>
      </c>
      <c r="E7" s="51" t="n">
        <v>8015392688</v>
      </c>
      <c r="F7" s="49" t="inlineStr">
        <is>
          <t>Chennai</t>
        </is>
      </c>
      <c r="G7" s="49" t="inlineStr">
        <is>
          <t>Full Stack Developer</t>
        </is>
      </c>
      <c r="H7" s="49" t="inlineStr">
        <is>
          <t>Telephonic Screening</t>
        </is>
      </c>
      <c r="I7" s="49" t="inlineStr">
        <is>
          <t>Reject- 3 months NP</t>
        </is>
      </c>
      <c r="J7" s="49" t="n"/>
      <c r="K7" s="49" t="n"/>
      <c r="L7" s="49" t="n"/>
      <c r="M7" s="49" t="n"/>
      <c r="N7" s="82" t="n"/>
      <c r="O7" s="82" t="n"/>
      <c r="P7" s="82" t="n"/>
      <c r="Q7" s="82" t="n"/>
      <c r="R7" s="82" t="n"/>
      <c r="S7" s="82" t="n"/>
      <c r="T7" s="82" t="n"/>
      <c r="U7" s="82" t="n"/>
      <c r="V7" s="82" t="n"/>
      <c r="W7" s="82" t="n"/>
      <c r="X7" s="82" t="n"/>
      <c r="Y7" s="82" t="n"/>
      <c r="Z7" s="82" t="n"/>
    </row>
    <row r="8">
      <c r="A8" s="49" t="inlineStr">
        <is>
          <t>Sarath</t>
        </is>
      </c>
      <c r="B8" s="48" t="n">
        <v>45665</v>
      </c>
      <c r="C8" s="49" t="inlineStr">
        <is>
          <t>January</t>
        </is>
      </c>
      <c r="D8" s="59" t="inlineStr">
        <is>
          <t>Syed Hameed</t>
        </is>
      </c>
      <c r="E8" s="49" t="n">
        <v>9025729639</v>
      </c>
      <c r="F8" s="49" t="inlineStr">
        <is>
          <t>Chennai</t>
        </is>
      </c>
      <c r="G8" s="49" t="inlineStr">
        <is>
          <t>Full Stack Developer</t>
        </is>
      </c>
      <c r="H8" s="49" t="inlineStr">
        <is>
          <t>ZN Submission</t>
        </is>
      </c>
      <c r="I8" s="49" t="inlineStr">
        <is>
          <t>Backed out</t>
        </is>
      </c>
      <c r="J8" s="49" t="inlineStr">
        <is>
          <t>13 LPA</t>
        </is>
      </c>
      <c r="K8" s="49" t="inlineStr">
        <is>
          <t>As per the company standard</t>
        </is>
      </c>
      <c r="L8" s="49" t="n"/>
      <c r="M8" s="49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</row>
    <row r="9">
      <c r="A9" s="49" t="inlineStr">
        <is>
          <t>Sarath</t>
        </is>
      </c>
      <c r="B9" s="48" t="n">
        <v>45665</v>
      </c>
      <c r="C9" s="49" t="inlineStr">
        <is>
          <t>January</t>
        </is>
      </c>
      <c r="D9" s="49" t="inlineStr">
        <is>
          <t>Pradeepraj Arumugam</t>
        </is>
      </c>
      <c r="E9" s="51" t="n">
        <v>9943300927</v>
      </c>
      <c r="F9" s="49" t="inlineStr">
        <is>
          <t>Chennai</t>
        </is>
      </c>
      <c r="G9" s="49" t="inlineStr">
        <is>
          <t>Full Stack Developer</t>
        </is>
      </c>
      <c r="H9" s="49" t="inlineStr">
        <is>
          <t>Telephonic Screening</t>
        </is>
      </c>
      <c r="I9" s="49" t="inlineStr">
        <is>
          <t>Reject</t>
        </is>
      </c>
      <c r="J9" s="49" t="n"/>
      <c r="K9" s="49" t="n"/>
      <c r="L9" s="49" t="n"/>
      <c r="M9" s="49" t="n"/>
      <c r="N9" s="82" t="n"/>
      <c r="O9" s="82" t="n"/>
      <c r="P9" s="82" t="n"/>
      <c r="Q9" s="82" t="n"/>
      <c r="R9" s="82" t="n"/>
      <c r="S9" s="82" t="n"/>
      <c r="T9" s="82" t="n"/>
      <c r="U9" s="82" t="n"/>
      <c r="V9" s="82" t="n"/>
      <c r="W9" s="82" t="n"/>
      <c r="X9" s="82" t="n"/>
      <c r="Y9" s="82" t="n"/>
      <c r="Z9" s="82" t="n"/>
    </row>
    <row r="10">
      <c r="A10" s="49" t="inlineStr">
        <is>
          <t>Sarath</t>
        </is>
      </c>
      <c r="B10" s="48" t="n">
        <v>45665</v>
      </c>
      <c r="C10" s="49" t="inlineStr">
        <is>
          <t>January</t>
        </is>
      </c>
      <c r="D10" s="49" t="inlineStr">
        <is>
          <t>Sivakumar Kandappan</t>
        </is>
      </c>
      <c r="E10" s="51" t="n">
        <v>6381585734</v>
      </c>
      <c r="F10" s="49" t="inlineStr">
        <is>
          <t>Chennai</t>
        </is>
      </c>
      <c r="G10" s="49" t="inlineStr">
        <is>
          <t>Full Stack Developer</t>
        </is>
      </c>
      <c r="H10" s="49" t="inlineStr">
        <is>
          <t>Telephonic Screening</t>
        </is>
      </c>
      <c r="I10" s="49" t="inlineStr">
        <is>
          <t>Not intrested</t>
        </is>
      </c>
      <c r="J10" s="49" t="n"/>
      <c r="K10" s="49" t="n"/>
      <c r="L10" s="49" t="n"/>
      <c r="M10" s="49" t="n"/>
      <c r="N10" s="82" t="n"/>
      <c r="O10" s="82" t="n"/>
      <c r="P10" s="82" t="n"/>
      <c r="Q10" s="82" t="n"/>
      <c r="R10" s="82" t="n"/>
      <c r="S10" s="82" t="n"/>
      <c r="T10" s="82" t="n"/>
      <c r="U10" s="82" t="n"/>
      <c r="V10" s="82" t="n"/>
      <c r="W10" s="82" t="n"/>
      <c r="X10" s="82" t="n"/>
      <c r="Y10" s="82" t="n"/>
      <c r="Z10" s="82" t="n"/>
    </row>
    <row r="11">
      <c r="A11" s="49" t="inlineStr">
        <is>
          <t>Sarath</t>
        </is>
      </c>
      <c r="B11" s="48" t="n">
        <v>45665</v>
      </c>
      <c r="C11" s="49" t="inlineStr">
        <is>
          <t>January</t>
        </is>
      </c>
      <c r="D11" s="49" t="inlineStr">
        <is>
          <t>Venkatesh Prabhu</t>
        </is>
      </c>
      <c r="E11" s="51" t="n">
        <v>7010645183</v>
      </c>
      <c r="F11" s="49" t="inlineStr">
        <is>
          <t>Chennai</t>
        </is>
      </c>
      <c r="G11" s="49" t="inlineStr">
        <is>
          <t>Full Stack Developer</t>
        </is>
      </c>
      <c r="H11" s="49" t="inlineStr">
        <is>
          <t>Telephonic Screening</t>
        </is>
      </c>
      <c r="I11" s="49" t="inlineStr">
        <is>
          <t>Not intrested</t>
        </is>
      </c>
      <c r="J11" s="49" t="n"/>
      <c r="K11" s="49" t="n"/>
      <c r="L11" s="49" t="n"/>
      <c r="M11" s="49" t="n"/>
      <c r="N11" s="82" t="n"/>
      <c r="O11" s="82" t="n"/>
      <c r="P11" s="82" t="n"/>
      <c r="Q11" s="82" t="n"/>
      <c r="R11" s="82" t="n"/>
      <c r="S11" s="82" t="n"/>
      <c r="T11" s="82" t="n"/>
      <c r="U11" s="82" t="n"/>
      <c r="V11" s="82" t="n"/>
      <c r="W11" s="82" t="n"/>
      <c r="X11" s="82" t="n"/>
      <c r="Y11" s="82" t="n"/>
      <c r="Z11" s="82" t="n"/>
    </row>
    <row r="12">
      <c r="A12" s="49" t="inlineStr">
        <is>
          <t>Sarath</t>
        </is>
      </c>
      <c r="B12" s="48" t="n">
        <v>45665</v>
      </c>
      <c r="C12" s="49" t="inlineStr">
        <is>
          <t>January</t>
        </is>
      </c>
      <c r="D12" s="65" t="inlineStr">
        <is>
          <t>Dibakar Hazra</t>
        </is>
      </c>
      <c r="E12" s="49" t="n">
        <v>7908313425</v>
      </c>
      <c r="F12" s="49" t="inlineStr">
        <is>
          <t>Chennai</t>
        </is>
      </c>
      <c r="G12" s="49" t="inlineStr">
        <is>
          <t>Full Stack Developer</t>
        </is>
      </c>
      <c r="H12" s="49" t="inlineStr">
        <is>
          <t>Telephonic Screening</t>
        </is>
      </c>
      <c r="I12" s="49" t="inlineStr">
        <is>
          <t>Reject</t>
        </is>
      </c>
      <c r="J12" s="49" t="n"/>
      <c r="K12" s="49" t="n"/>
      <c r="L12" s="49" t="n"/>
      <c r="M12" s="49" t="n"/>
      <c r="N12" s="82" t="n"/>
      <c r="O12" s="82" t="n"/>
      <c r="P12" s="82" t="n"/>
      <c r="Q12" s="82" t="n"/>
      <c r="R12" s="82" t="n"/>
      <c r="S12" s="82" t="n"/>
      <c r="T12" s="82" t="n"/>
      <c r="U12" s="82" t="n"/>
      <c r="V12" s="82" t="n"/>
      <c r="W12" s="82" t="n"/>
      <c r="X12" s="82" t="n"/>
      <c r="Y12" s="82" t="n"/>
      <c r="Z12" s="82" t="n"/>
    </row>
    <row r="13">
      <c r="A13" s="49" t="inlineStr">
        <is>
          <t>Sarath</t>
        </is>
      </c>
      <c r="B13" s="48" t="n">
        <v>45666</v>
      </c>
      <c r="C13" s="49" t="inlineStr">
        <is>
          <t>January</t>
        </is>
      </c>
      <c r="D13" s="65" t="inlineStr">
        <is>
          <t>Mayank Khandelwal</t>
        </is>
      </c>
      <c r="E13" s="49" t="n">
        <v>9871532875</v>
      </c>
      <c r="F13" s="49" t="inlineStr">
        <is>
          <t>Chennai</t>
        </is>
      </c>
      <c r="G13" s="49" t="inlineStr">
        <is>
          <t>Full Stack Developer</t>
        </is>
      </c>
      <c r="H13" s="49" t="inlineStr">
        <is>
          <t>Telephonic Screening</t>
        </is>
      </c>
      <c r="I13" s="49" t="inlineStr">
        <is>
          <t>Reject</t>
        </is>
      </c>
      <c r="J13" s="49" t="n"/>
      <c r="K13" s="49" t="n"/>
      <c r="L13" s="49" t="n"/>
      <c r="M13" s="49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</row>
    <row r="14">
      <c r="A14" s="49" t="inlineStr">
        <is>
          <t>Sarath</t>
        </is>
      </c>
      <c r="B14" s="48" t="n">
        <v>45666</v>
      </c>
      <c r="C14" s="49" t="inlineStr">
        <is>
          <t>January</t>
        </is>
      </c>
      <c r="D14" s="49" t="inlineStr">
        <is>
          <t>Aravindkumar Perumal</t>
        </is>
      </c>
      <c r="E14" s="51" t="n">
        <v>9629284742</v>
      </c>
      <c r="F14" s="49" t="inlineStr">
        <is>
          <t>Chennai</t>
        </is>
      </c>
      <c r="G14" s="49" t="inlineStr">
        <is>
          <t>Full Stack Developer</t>
        </is>
      </c>
      <c r="H14" s="49" t="inlineStr">
        <is>
          <t>Telephonic Screening</t>
        </is>
      </c>
      <c r="I14" s="49" t="inlineStr">
        <is>
          <t>Beyond the budget</t>
        </is>
      </c>
      <c r="J14" s="49" t="inlineStr">
        <is>
          <t>25 LPA</t>
        </is>
      </c>
      <c r="K14" s="49" t="inlineStr">
        <is>
          <t>33 LPA</t>
        </is>
      </c>
      <c r="L14" s="49" t="n"/>
      <c r="M14" s="49" t="n"/>
      <c r="N14" s="82" t="n"/>
      <c r="O14" s="82" t="n"/>
      <c r="P14" s="82" t="n"/>
      <c r="Q14" s="82" t="n"/>
      <c r="R14" s="82" t="n"/>
      <c r="S14" s="82" t="n"/>
      <c r="T14" s="82" t="n"/>
      <c r="U14" s="82" t="n"/>
      <c r="V14" s="82" t="n"/>
      <c r="W14" s="82" t="n"/>
      <c r="X14" s="82" t="n"/>
      <c r="Y14" s="82" t="n"/>
      <c r="Z14" s="82" t="n"/>
    </row>
    <row r="15">
      <c r="A15" s="49" t="inlineStr">
        <is>
          <t>Sarath</t>
        </is>
      </c>
      <c r="B15" s="48" t="n">
        <v>45666</v>
      </c>
      <c r="C15" s="49" t="inlineStr">
        <is>
          <t>January</t>
        </is>
      </c>
      <c r="D15" s="49" t="inlineStr">
        <is>
          <t>Noorul Sirajudeen</t>
        </is>
      </c>
      <c r="E15" s="51" t="n">
        <v>9677909469</v>
      </c>
      <c r="F15" s="49" t="inlineStr">
        <is>
          <t>Chennai</t>
        </is>
      </c>
      <c r="G15" s="49" t="inlineStr">
        <is>
          <t>Full Stack Developer</t>
        </is>
      </c>
      <c r="H15" s="49" t="inlineStr">
        <is>
          <t>Telephonic Screening</t>
        </is>
      </c>
      <c r="I15" s="49" t="inlineStr">
        <is>
          <t>Reject</t>
        </is>
      </c>
      <c r="J15" s="49" t="n"/>
      <c r="K15" s="49" t="n"/>
      <c r="L15" s="49" t="n"/>
      <c r="M15" s="49" t="n"/>
      <c r="N15" s="82" t="n"/>
      <c r="O15" s="82" t="n"/>
      <c r="P15" s="82" t="n"/>
      <c r="Q15" s="82" t="n"/>
      <c r="R15" s="82" t="n"/>
      <c r="S15" s="82" t="n"/>
      <c r="T15" s="82" t="n"/>
      <c r="U15" s="82" t="n"/>
      <c r="V15" s="82" t="n"/>
      <c r="W15" s="82" t="n"/>
      <c r="X15" s="82" t="n"/>
      <c r="Y15" s="82" t="n"/>
      <c r="Z15" s="82" t="n"/>
    </row>
    <row r="16">
      <c r="A16" s="49" t="inlineStr">
        <is>
          <t>Sarath</t>
        </is>
      </c>
      <c r="B16" s="48" t="n">
        <v>45666</v>
      </c>
      <c r="C16" s="49" t="inlineStr">
        <is>
          <t>January</t>
        </is>
      </c>
      <c r="D16" s="49" t="inlineStr">
        <is>
          <t>Ruth Angel Balu</t>
        </is>
      </c>
      <c r="E16" s="51" t="n">
        <v>9952981253</v>
      </c>
      <c r="F16" s="49" t="inlineStr">
        <is>
          <t>Chennai</t>
        </is>
      </c>
      <c r="G16" s="49" t="inlineStr">
        <is>
          <t>Full Stack Developer</t>
        </is>
      </c>
      <c r="H16" s="49" t="inlineStr">
        <is>
          <t>Telephonic Screening</t>
        </is>
      </c>
      <c r="I16" s="49" t="inlineStr">
        <is>
          <t>Reject</t>
        </is>
      </c>
      <c r="J16" s="49" t="n"/>
      <c r="K16" s="49" t="n"/>
      <c r="L16" s="49" t="n"/>
      <c r="M16" s="49" t="n"/>
      <c r="N16" s="82" t="n"/>
      <c r="O16" s="82" t="n"/>
      <c r="P16" s="82" t="n"/>
      <c r="Q16" s="82" t="n"/>
      <c r="R16" s="82" t="n"/>
      <c r="S16" s="82" t="n"/>
      <c r="T16" s="82" t="n"/>
      <c r="U16" s="82" t="n"/>
      <c r="V16" s="82" t="n"/>
      <c r="W16" s="82" t="n"/>
      <c r="X16" s="82" t="n"/>
      <c r="Y16" s="82" t="n"/>
      <c r="Z16" s="82" t="n"/>
    </row>
    <row r="17">
      <c r="A17" s="49" t="inlineStr">
        <is>
          <t>Sarath</t>
        </is>
      </c>
      <c r="B17" s="48" t="n">
        <v>45666</v>
      </c>
      <c r="C17" s="49" t="inlineStr">
        <is>
          <t>January</t>
        </is>
      </c>
      <c r="D17" s="59" t="inlineStr">
        <is>
          <t>Jagadeesh Murugaiyan</t>
        </is>
      </c>
      <c r="E17" s="49" t="n">
        <v>9677231132</v>
      </c>
      <c r="F17" s="49" t="inlineStr">
        <is>
          <t>Chennai</t>
        </is>
      </c>
      <c r="G17" s="49" t="inlineStr">
        <is>
          <t>Full Stack Developer</t>
        </is>
      </c>
      <c r="H17" s="49" t="inlineStr">
        <is>
          <t>Telephonic Screening</t>
        </is>
      </c>
      <c r="I17" s="49" t="inlineStr">
        <is>
          <t>Beyond Budget</t>
        </is>
      </c>
      <c r="J17" s="49" t="inlineStr">
        <is>
          <t>22 LPA</t>
        </is>
      </c>
      <c r="K17" s="49" t="inlineStr">
        <is>
          <t>28 LPA</t>
        </is>
      </c>
      <c r="L17" s="49" t="inlineStr">
        <is>
          <t>don't have any cloud exp</t>
        </is>
      </c>
      <c r="M17" s="49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</row>
    <row r="18">
      <c r="A18" s="49" t="inlineStr">
        <is>
          <t>Sarath</t>
        </is>
      </c>
      <c r="B18" s="48" t="n">
        <v>45666</v>
      </c>
      <c r="C18" s="49" t="inlineStr">
        <is>
          <t>January</t>
        </is>
      </c>
      <c r="D18" s="49" t="inlineStr">
        <is>
          <t>Ashok Hariharan</t>
        </is>
      </c>
      <c r="E18" s="51" t="n">
        <v>9894887733</v>
      </c>
      <c r="F18" s="49" t="inlineStr">
        <is>
          <t>Chennai</t>
        </is>
      </c>
      <c r="G18" s="49" t="inlineStr">
        <is>
          <t>Full Stack Developer</t>
        </is>
      </c>
      <c r="H18" s="49" t="inlineStr">
        <is>
          <t>Telephonic Screening</t>
        </is>
      </c>
      <c r="I18" s="49" t="inlineStr">
        <is>
          <t>beyond Budget</t>
        </is>
      </c>
      <c r="J18" s="49" t="inlineStr">
        <is>
          <t>26 LPA</t>
        </is>
      </c>
      <c r="K18" s="49" t="inlineStr">
        <is>
          <t>33 LPA</t>
        </is>
      </c>
      <c r="L18" s="49" t="inlineStr">
        <is>
          <t xml:space="preserve">2 Months </t>
        </is>
      </c>
      <c r="M18" s="49" t="n"/>
      <c r="N18" s="82" t="n"/>
      <c r="O18" s="82" t="n"/>
      <c r="P18" s="82" t="n"/>
      <c r="Q18" s="82" t="n"/>
      <c r="R18" s="82" t="n"/>
      <c r="S18" s="82" t="n"/>
      <c r="T18" s="82" t="n"/>
      <c r="U18" s="82" t="n"/>
      <c r="V18" s="82" t="n"/>
      <c r="W18" s="82" t="n"/>
      <c r="X18" s="82" t="n"/>
      <c r="Y18" s="82" t="n"/>
      <c r="Z18" s="82" t="n"/>
    </row>
    <row r="19">
      <c r="A19" s="67" t="inlineStr">
        <is>
          <t>Sarath</t>
        </is>
      </c>
      <c r="B19" s="67" t="n">
        <v>45666</v>
      </c>
      <c r="C19" s="67" t="inlineStr">
        <is>
          <t>January</t>
        </is>
      </c>
      <c r="D19" s="67" t="inlineStr">
        <is>
          <t>Elangovan Mathan</t>
        </is>
      </c>
      <c r="E19" s="67" t="n">
        <v>9500866068</v>
      </c>
      <c r="F19" s="67" t="inlineStr">
        <is>
          <t>Chennai</t>
        </is>
      </c>
      <c r="G19" s="67" t="inlineStr">
        <is>
          <t>Full Stack Developer</t>
        </is>
      </c>
      <c r="H19" s="49" t="inlineStr">
        <is>
          <t>ZN Hire</t>
        </is>
      </c>
      <c r="I19" s="67" t="inlineStr">
        <is>
          <t>Offer accepted</t>
        </is>
      </c>
      <c r="J19" s="67" t="inlineStr">
        <is>
          <t>7 LPA</t>
        </is>
      </c>
      <c r="K19" s="67" t="inlineStr">
        <is>
          <t>13.50 LPA</t>
        </is>
      </c>
      <c r="L19" s="67" t="inlineStr">
        <is>
          <t>Immediate</t>
        </is>
      </c>
      <c r="M19" s="67" t="inlineStr">
        <is>
          <t>Joining on 20jan</t>
        </is>
      </c>
      <c r="N19" s="68" t="n"/>
      <c r="O19" s="68" t="n"/>
      <c r="P19" s="68" t="n"/>
      <c r="Q19" s="68" t="n"/>
      <c r="R19" s="68" t="n"/>
      <c r="S19" s="68" t="n"/>
      <c r="T19" s="68" t="n"/>
      <c r="U19" s="68" t="n"/>
      <c r="V19" s="68" t="n"/>
      <c r="W19" s="68" t="n"/>
      <c r="X19" s="68" t="n"/>
      <c r="Y19" s="68" t="n"/>
      <c r="Z19" s="68" t="n"/>
    </row>
    <row r="20">
      <c r="A20" s="49" t="inlineStr">
        <is>
          <t>Sarath</t>
        </is>
      </c>
      <c r="B20" s="48" t="n">
        <v>45666</v>
      </c>
      <c r="C20" s="49" t="inlineStr">
        <is>
          <t>January</t>
        </is>
      </c>
      <c r="D20" s="49" t="inlineStr">
        <is>
          <t>Nirmalkumar Neelamegan</t>
        </is>
      </c>
      <c r="E20" s="51" t="n">
        <v>7339451508</v>
      </c>
      <c r="F20" s="49" t="inlineStr">
        <is>
          <t>Chennai</t>
        </is>
      </c>
      <c r="G20" s="49" t="inlineStr">
        <is>
          <t>Full Stack Developer</t>
        </is>
      </c>
      <c r="H20" s="49" t="inlineStr">
        <is>
          <t>ZN Interview</t>
        </is>
      </c>
      <c r="I20" s="49" t="inlineStr">
        <is>
          <t>need to send</t>
        </is>
      </c>
      <c r="J20" s="49" t="inlineStr">
        <is>
          <t>8 LPA</t>
        </is>
      </c>
      <c r="K20" s="49" t="inlineStr">
        <is>
          <t>13 LPA</t>
        </is>
      </c>
      <c r="L20" s="49" t="inlineStr">
        <is>
          <t>1 Month</t>
        </is>
      </c>
      <c r="M20" s="49" t="n"/>
      <c r="N20" s="82" t="n"/>
      <c r="O20" s="82" t="n"/>
      <c r="P20" s="82" t="n"/>
      <c r="Q20" s="82" t="n"/>
      <c r="R20" s="82" t="n"/>
      <c r="S20" s="82" t="n"/>
      <c r="T20" s="82" t="n"/>
      <c r="U20" s="82" t="n"/>
      <c r="V20" s="82" t="n"/>
      <c r="W20" s="82" t="n"/>
      <c r="X20" s="82" t="n"/>
      <c r="Y20" s="82" t="n"/>
      <c r="Z20" s="82" t="n"/>
    </row>
    <row r="21">
      <c r="A21" s="49" t="inlineStr">
        <is>
          <t>Sarath</t>
        </is>
      </c>
      <c r="B21" s="48" t="n">
        <v>45666</v>
      </c>
      <c r="C21" s="49" t="inlineStr">
        <is>
          <t>January</t>
        </is>
      </c>
      <c r="D21" s="49" t="inlineStr">
        <is>
          <t xml:space="preserve">Vinodhini Martin </t>
        </is>
      </c>
      <c r="E21" s="51" t="n">
        <v>9025831044</v>
      </c>
      <c r="F21" s="49" t="inlineStr">
        <is>
          <t>Chennai</t>
        </is>
      </c>
      <c r="G21" s="49" t="inlineStr">
        <is>
          <t>Full Stack Developer</t>
        </is>
      </c>
      <c r="H21" s="49" t="inlineStr">
        <is>
          <t>Telephonic Screening</t>
        </is>
      </c>
      <c r="I21" s="49" t="inlineStr">
        <is>
          <t>Not intrested</t>
        </is>
      </c>
      <c r="J21" s="49" t="n"/>
      <c r="K21" s="49" t="n"/>
      <c r="L21" s="49" t="n"/>
      <c r="M21" s="49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</row>
    <row r="22">
      <c r="A22" s="49" t="inlineStr">
        <is>
          <t>Sarath</t>
        </is>
      </c>
      <c r="B22" s="48" t="n">
        <v>45666</v>
      </c>
      <c r="C22" s="49" t="inlineStr">
        <is>
          <t>January</t>
        </is>
      </c>
      <c r="D22" s="69" t="inlineStr">
        <is>
          <t>Preethi Sekar</t>
        </is>
      </c>
      <c r="E22" s="49" t="n">
        <v>7358129494</v>
      </c>
      <c r="F22" s="49" t="inlineStr">
        <is>
          <t>Chennai</t>
        </is>
      </c>
      <c r="G22" s="49" t="inlineStr">
        <is>
          <t>Full Stack Developer</t>
        </is>
      </c>
      <c r="H22" s="49" t="inlineStr">
        <is>
          <t>ZN Submission</t>
        </is>
      </c>
      <c r="I22" s="32" t="n"/>
      <c r="J22" s="49" t="inlineStr">
        <is>
          <t>6 LPA</t>
        </is>
      </c>
      <c r="K22" s="49" t="inlineStr">
        <is>
          <t>10 LPA</t>
        </is>
      </c>
      <c r="L22" s="49" t="inlineStr">
        <is>
          <t xml:space="preserve">Immediate </t>
        </is>
      </c>
      <c r="M22" s="49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</row>
    <row r="23">
      <c r="A23" s="49" t="inlineStr">
        <is>
          <t>Sarath</t>
        </is>
      </c>
      <c r="B23" s="48" t="n">
        <v>45667</v>
      </c>
      <c r="C23" s="49" t="inlineStr">
        <is>
          <t>January</t>
        </is>
      </c>
      <c r="D23" s="49" t="inlineStr">
        <is>
          <t>Mathan Kumar S</t>
        </is>
      </c>
      <c r="E23" s="51" t="n">
        <v>8248540437</v>
      </c>
      <c r="F23" s="49" t="inlineStr">
        <is>
          <t>Chennai</t>
        </is>
      </c>
      <c r="G23" s="49" t="inlineStr">
        <is>
          <t>Full Stack Developer</t>
        </is>
      </c>
      <c r="H23" s="49" t="inlineStr">
        <is>
          <t>Candidate Withdrawn</t>
        </is>
      </c>
      <c r="I23" s="49" t="inlineStr">
        <is>
          <t>Backed out</t>
        </is>
      </c>
      <c r="J23" s="49" t="inlineStr">
        <is>
          <t>7.5 LPA</t>
        </is>
      </c>
      <c r="K23" s="49" t="inlineStr">
        <is>
          <t>15 LPA</t>
        </is>
      </c>
      <c r="L23" s="49" t="inlineStr">
        <is>
          <t>7th Feb last date</t>
        </is>
      </c>
      <c r="M23" s="49" t="n"/>
      <c r="N23" s="82" t="n"/>
      <c r="O23" s="82" t="n"/>
      <c r="P23" s="82" t="n"/>
      <c r="Q23" s="82" t="n"/>
      <c r="R23" s="82" t="n"/>
      <c r="S23" s="82" t="n"/>
      <c r="T23" s="82" t="n"/>
      <c r="U23" s="82" t="n"/>
      <c r="V23" s="82" t="n"/>
      <c r="W23" s="82" t="n"/>
      <c r="X23" s="82" t="n"/>
      <c r="Y23" s="82" t="n"/>
      <c r="Z23" s="82" t="n"/>
    </row>
    <row r="24">
      <c r="A24" s="49" t="inlineStr">
        <is>
          <t>Sarath</t>
        </is>
      </c>
      <c r="B24" s="48" t="n">
        <v>45667</v>
      </c>
      <c r="C24" s="49" t="inlineStr">
        <is>
          <t>January</t>
        </is>
      </c>
      <c r="D24" s="49" t="inlineStr">
        <is>
          <t>Owais Nismo</t>
        </is>
      </c>
      <c r="E24" s="51" t="n">
        <v>9074086377</v>
      </c>
      <c r="F24" s="49" t="inlineStr">
        <is>
          <t>Chennai</t>
        </is>
      </c>
      <c r="G24" s="49" t="inlineStr">
        <is>
          <t>Full Stack Developer</t>
        </is>
      </c>
      <c r="H24" s="49" t="inlineStr">
        <is>
          <t>Candidate Withdrawn</t>
        </is>
      </c>
      <c r="I24" s="49" t="inlineStr">
        <is>
          <t>Backed out</t>
        </is>
      </c>
      <c r="J24" s="49" t="inlineStr">
        <is>
          <t>7.50 LPA</t>
        </is>
      </c>
      <c r="K24" s="49" t="inlineStr">
        <is>
          <t>12 LPA</t>
        </is>
      </c>
      <c r="L24" s="49" t="inlineStr">
        <is>
          <t>30 Days</t>
        </is>
      </c>
      <c r="M24" s="49" t="n"/>
      <c r="N24" s="82" t="n"/>
      <c r="O24" s="82" t="n"/>
      <c r="P24" s="82" t="n"/>
      <c r="Q24" s="82" t="n"/>
      <c r="R24" s="82" t="n"/>
      <c r="S24" s="82" t="n"/>
      <c r="T24" s="82" t="n"/>
      <c r="U24" s="82" t="n"/>
      <c r="V24" s="82" t="n"/>
      <c r="W24" s="82" t="n"/>
      <c r="X24" s="82" t="n"/>
      <c r="Y24" s="82" t="n"/>
      <c r="Z24" s="82" t="n"/>
    </row>
    <row r="25">
      <c r="A25" s="49" t="inlineStr">
        <is>
          <t>Sarath</t>
        </is>
      </c>
      <c r="B25" s="48" t="n">
        <v>45667</v>
      </c>
      <c r="C25" s="49" t="inlineStr">
        <is>
          <t>January</t>
        </is>
      </c>
      <c r="D25" s="49" t="inlineStr">
        <is>
          <t>Kamatchi venkatesan</t>
        </is>
      </c>
      <c r="E25" s="51" t="n">
        <v>9600241024</v>
      </c>
      <c r="F25" s="49" t="inlineStr">
        <is>
          <t>Chennai</t>
        </is>
      </c>
      <c r="G25" s="49" t="inlineStr">
        <is>
          <t>Full Stack Developer</t>
        </is>
      </c>
      <c r="H25" s="49" t="inlineStr">
        <is>
          <t>ZN Interview</t>
        </is>
      </c>
      <c r="I25" s="49" t="inlineStr">
        <is>
          <t>L1 feed back pending</t>
        </is>
      </c>
      <c r="J25" s="49" t="inlineStr">
        <is>
          <t>4.9 LPA</t>
        </is>
      </c>
      <c r="K25" s="49" t="inlineStr">
        <is>
          <t>9 LPA</t>
        </is>
      </c>
      <c r="L25" s="49" t="inlineStr">
        <is>
          <t>90 Days(Negotiable t0 45)</t>
        </is>
      </c>
      <c r="M25" s="49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</row>
    <row r="26" ht="15.75" customHeight="1" s="83">
      <c r="A26" s="49" t="inlineStr">
        <is>
          <t>Sarath</t>
        </is>
      </c>
      <c r="B26" s="48" t="n">
        <v>45667</v>
      </c>
      <c r="C26" s="49" t="inlineStr">
        <is>
          <t>January</t>
        </is>
      </c>
      <c r="D26" s="70" t="inlineStr">
        <is>
          <t>Humera Yasmeen</t>
        </is>
      </c>
      <c r="E26" s="51" t="n">
        <v>7598459786</v>
      </c>
      <c r="F26" s="49" t="inlineStr">
        <is>
          <t>Chennai</t>
        </is>
      </c>
      <c r="G26" s="49" t="inlineStr">
        <is>
          <t>Full Stack Developer</t>
        </is>
      </c>
      <c r="H26" s="49" t="inlineStr">
        <is>
          <t>ZN Interview</t>
        </is>
      </c>
      <c r="I26" s="49" t="inlineStr">
        <is>
          <t>On 14-01-25</t>
        </is>
      </c>
      <c r="J26" s="49" t="inlineStr">
        <is>
          <t>20 LPA</t>
        </is>
      </c>
      <c r="K26" s="49" t="inlineStr">
        <is>
          <t>25 LPA</t>
        </is>
      </c>
      <c r="L26" s="49" t="inlineStr">
        <is>
          <t>30 Days</t>
        </is>
      </c>
      <c r="M26" s="49" t="n"/>
      <c r="N26" s="82" t="n"/>
      <c r="O26" s="82" t="n"/>
      <c r="P26" s="82" t="n"/>
      <c r="Q26" s="82" t="n"/>
      <c r="R26" s="82" t="n"/>
      <c r="S26" s="82" t="n"/>
      <c r="T26" s="82" t="n"/>
      <c r="U26" s="82" t="n"/>
      <c r="V26" s="82" t="n"/>
      <c r="W26" s="82" t="n"/>
      <c r="X26" s="82" t="n"/>
      <c r="Y26" s="82" t="n"/>
      <c r="Z26" s="82" t="n"/>
    </row>
    <row r="27" ht="15.75" customHeight="1" s="83">
      <c r="A27" s="49" t="inlineStr">
        <is>
          <t>Sarath</t>
        </is>
      </c>
      <c r="B27" s="48" t="n">
        <v>45667</v>
      </c>
      <c r="C27" s="49" t="inlineStr">
        <is>
          <t>January</t>
        </is>
      </c>
      <c r="D27" s="49" t="inlineStr">
        <is>
          <t>Indiver Piyush</t>
        </is>
      </c>
      <c r="E27" s="51" t="n">
        <v>8148859722</v>
      </c>
      <c r="F27" s="49" t="inlineStr">
        <is>
          <t>Chennai</t>
        </is>
      </c>
      <c r="G27" s="49" t="inlineStr">
        <is>
          <t>Full Stack Developer</t>
        </is>
      </c>
      <c r="H27" s="49" t="inlineStr">
        <is>
          <t>ZN Interview</t>
        </is>
      </c>
      <c r="I27" s="49" t="inlineStr">
        <is>
          <t>Reject</t>
        </is>
      </c>
      <c r="J27" s="49" t="n"/>
      <c r="K27" s="49" t="n"/>
      <c r="L27" s="49" t="n"/>
      <c r="M27" s="49" t="n"/>
      <c r="N27" s="82" t="n"/>
      <c r="O27" s="82" t="n"/>
      <c r="P27" s="82" t="n"/>
      <c r="Q27" s="82" t="n"/>
      <c r="R27" s="82" t="n"/>
      <c r="S27" s="82" t="n"/>
      <c r="T27" s="82" t="n"/>
      <c r="U27" s="82" t="n"/>
      <c r="V27" s="82" t="n"/>
      <c r="W27" s="82" t="n"/>
      <c r="X27" s="82" t="n"/>
      <c r="Y27" s="82" t="n"/>
      <c r="Z27" s="82" t="n"/>
    </row>
    <row r="28" ht="15.75" customHeight="1" s="83">
      <c r="A28" s="49" t="inlineStr">
        <is>
          <t>Sarath</t>
        </is>
      </c>
      <c r="B28" s="48" t="n">
        <v>45667</v>
      </c>
      <c r="C28" s="49" t="inlineStr">
        <is>
          <t>January</t>
        </is>
      </c>
      <c r="D28" s="49" t="inlineStr">
        <is>
          <t>Bibin Christopher</t>
        </is>
      </c>
      <c r="E28" s="51" t="n">
        <v>6383938335</v>
      </c>
      <c r="F28" s="49" t="inlineStr">
        <is>
          <t>Chennai</t>
        </is>
      </c>
      <c r="G28" s="49" t="inlineStr">
        <is>
          <t>Full Stack Developer</t>
        </is>
      </c>
      <c r="H28" s="49" t="inlineStr">
        <is>
          <t>Telephonic Screening</t>
        </is>
      </c>
      <c r="I28" s="49" t="inlineStr">
        <is>
          <t>Reject</t>
        </is>
      </c>
      <c r="J28" s="49" t="n"/>
      <c r="K28" s="49" t="n"/>
      <c r="L28" s="49" t="n"/>
      <c r="M28" s="49" t="n"/>
      <c r="N28" s="82" t="n"/>
      <c r="O28" s="82" t="n"/>
      <c r="P28" s="82" t="n"/>
      <c r="Q28" s="82" t="n"/>
      <c r="R28" s="82" t="n"/>
      <c r="S28" s="82" t="n"/>
      <c r="T28" s="82" t="n"/>
      <c r="U28" s="82" t="n"/>
      <c r="V28" s="82" t="n"/>
      <c r="W28" s="82" t="n"/>
      <c r="X28" s="82" t="n"/>
      <c r="Y28" s="82" t="n"/>
      <c r="Z28" s="82" t="n"/>
    </row>
    <row r="29" ht="15.75" customHeight="1" s="83">
      <c r="A29" s="49" t="inlineStr">
        <is>
          <t>Sarath</t>
        </is>
      </c>
      <c r="B29" s="48" t="n">
        <v>45667</v>
      </c>
      <c r="C29" s="49" t="inlineStr">
        <is>
          <t>January</t>
        </is>
      </c>
      <c r="D29" s="59" t="inlineStr">
        <is>
          <t>Tamil Selvan</t>
        </is>
      </c>
      <c r="E29" s="49" t="n">
        <v>7010349163</v>
      </c>
      <c r="F29" s="49" t="inlineStr">
        <is>
          <t>Chennai</t>
        </is>
      </c>
      <c r="G29" s="49" t="inlineStr">
        <is>
          <t>Full Stack Developer</t>
        </is>
      </c>
      <c r="H29" s="49" t="inlineStr">
        <is>
          <t>Telephonic Screening</t>
        </is>
      </c>
      <c r="I29" s="49" t="inlineStr">
        <is>
          <t>Reject</t>
        </is>
      </c>
      <c r="J29" s="49" t="n"/>
      <c r="K29" s="49" t="n"/>
      <c r="L29" s="49" t="n"/>
      <c r="M29" s="49" t="n"/>
      <c r="N29" s="82" t="n"/>
      <c r="O29" s="82" t="n"/>
      <c r="P29" s="82" t="n"/>
      <c r="Q29" s="82" t="n"/>
      <c r="R29" s="82" t="n"/>
      <c r="S29" s="82" t="n"/>
      <c r="T29" s="82" t="n"/>
      <c r="U29" s="82" t="n"/>
      <c r="V29" s="82" t="n"/>
      <c r="W29" s="82" t="n"/>
      <c r="X29" s="82" t="n"/>
      <c r="Y29" s="82" t="n"/>
      <c r="Z29" s="82" t="n"/>
    </row>
    <row r="30" ht="15.75" customHeight="1" s="83">
      <c r="A30" s="49" t="inlineStr">
        <is>
          <t>Sarath</t>
        </is>
      </c>
      <c r="B30" s="48" t="n">
        <v>45667</v>
      </c>
      <c r="C30" s="49" t="inlineStr">
        <is>
          <t>January</t>
        </is>
      </c>
      <c r="D30" s="59" t="inlineStr">
        <is>
          <t>Harish Sundhar</t>
        </is>
      </c>
      <c r="E30" s="49" t="n">
        <v>8973631907</v>
      </c>
      <c r="F30" s="49" t="inlineStr">
        <is>
          <t>Chennai</t>
        </is>
      </c>
      <c r="G30" s="49" t="inlineStr">
        <is>
          <t>Full Stack Developer</t>
        </is>
      </c>
      <c r="H30" s="49" t="inlineStr">
        <is>
          <t>Telephonic Screening</t>
        </is>
      </c>
      <c r="I30" s="49" t="inlineStr">
        <is>
          <t>Not intrested</t>
        </is>
      </c>
      <c r="J30" s="49" t="n"/>
      <c r="K30" s="49" t="n"/>
      <c r="L30" s="49" t="n"/>
      <c r="M30" s="49" t="n"/>
      <c r="N30" s="82" t="n"/>
      <c r="O30" s="82" t="n"/>
      <c r="P30" s="82" t="n"/>
      <c r="Q30" s="82" t="n"/>
      <c r="R30" s="82" t="n"/>
      <c r="S30" s="82" t="n"/>
      <c r="T30" s="82" t="n"/>
      <c r="U30" s="82" t="n"/>
      <c r="V30" s="82" t="n"/>
      <c r="W30" s="82" t="n"/>
      <c r="X30" s="82" t="n"/>
      <c r="Y30" s="82" t="n"/>
      <c r="Z30" s="82" t="n"/>
    </row>
    <row r="31" ht="15.75" customHeight="1" s="83">
      <c r="A31" s="49" t="inlineStr">
        <is>
          <t>Sarath</t>
        </is>
      </c>
      <c r="B31" s="48" t="n">
        <v>45667</v>
      </c>
      <c r="C31" s="49" t="inlineStr">
        <is>
          <t>January</t>
        </is>
      </c>
      <c r="D31" s="49" t="inlineStr">
        <is>
          <t>Abinaya S</t>
        </is>
      </c>
      <c r="E31" s="51" t="n">
        <v>9360174449</v>
      </c>
      <c r="F31" s="49" t="inlineStr">
        <is>
          <t>Kovilpatti</t>
        </is>
      </c>
      <c r="G31" s="49" t="inlineStr">
        <is>
          <t>Full Stack Developer</t>
        </is>
      </c>
      <c r="H31" s="49" t="inlineStr">
        <is>
          <t>Candidate Withdrawn</t>
        </is>
      </c>
      <c r="I31" s="49" t="inlineStr">
        <is>
          <t>Backed out</t>
        </is>
      </c>
      <c r="J31" s="49" t="inlineStr">
        <is>
          <t>8 LPA</t>
        </is>
      </c>
      <c r="K31" s="49" t="inlineStr">
        <is>
          <t>14 LPA</t>
        </is>
      </c>
      <c r="L31" s="49" t="inlineStr">
        <is>
          <t>15 Days</t>
        </is>
      </c>
      <c r="M31" s="49" t="n"/>
      <c r="N31" s="82" t="n"/>
      <c r="O31" s="82" t="n"/>
      <c r="P31" s="82" t="n"/>
      <c r="Q31" s="82" t="n"/>
      <c r="R31" s="82" t="n"/>
      <c r="S31" s="82" t="n"/>
      <c r="T31" s="82" t="n"/>
      <c r="U31" s="82" t="n"/>
      <c r="V31" s="82" t="n"/>
      <c r="W31" s="82" t="n"/>
      <c r="X31" s="82" t="n"/>
      <c r="Y31" s="82" t="n"/>
      <c r="Z31" s="82" t="n"/>
    </row>
    <row r="32" ht="15.75" customHeight="1" s="83">
      <c r="A32" s="72" t="inlineStr">
        <is>
          <t>Sarath</t>
        </is>
      </c>
      <c r="B32" s="71" t="n">
        <v>45670</v>
      </c>
      <c r="C32" s="72" t="inlineStr">
        <is>
          <t>January</t>
        </is>
      </c>
      <c r="D32" s="72" t="inlineStr">
        <is>
          <t>Ramya Muthuraman</t>
        </is>
      </c>
      <c r="E32" s="72" t="n">
        <v>7339092698</v>
      </c>
      <c r="F32" s="72" t="inlineStr">
        <is>
          <t>Chennai</t>
        </is>
      </c>
      <c r="G32" s="72" t="inlineStr">
        <is>
          <t>Full Stack Developer</t>
        </is>
      </c>
      <c r="H32" s="72" t="inlineStr">
        <is>
          <t>ZN Offer</t>
        </is>
      </c>
      <c r="I32" s="72" t="inlineStr">
        <is>
          <t>Selected</t>
        </is>
      </c>
      <c r="J32" s="72" t="inlineStr">
        <is>
          <t>8 LPA</t>
        </is>
      </c>
      <c r="K32" s="72" t="inlineStr">
        <is>
          <t>12 LPA</t>
        </is>
      </c>
      <c r="L32" s="72" t="inlineStr">
        <is>
          <t>90 Days(Negotioable to 45days0</t>
        </is>
      </c>
      <c r="M32" s="72" t="n"/>
      <c r="N32" s="73" t="n"/>
      <c r="O32" s="73" t="n"/>
      <c r="P32" s="73" t="n"/>
      <c r="Q32" s="73" t="n"/>
      <c r="R32" s="73" t="n"/>
      <c r="S32" s="73" t="n"/>
      <c r="T32" s="73" t="n"/>
      <c r="U32" s="73" t="n"/>
      <c r="V32" s="73" t="n"/>
      <c r="W32" s="73" t="n"/>
      <c r="X32" s="73" t="n"/>
      <c r="Y32" s="73" t="n"/>
      <c r="Z32" s="73" t="n"/>
    </row>
    <row r="33" ht="15.75" customHeight="1" s="83">
      <c r="A33" s="49" t="inlineStr">
        <is>
          <t>Sarath</t>
        </is>
      </c>
      <c r="B33" s="48" t="n">
        <v>45670</v>
      </c>
      <c r="C33" s="49" t="inlineStr">
        <is>
          <t>January</t>
        </is>
      </c>
      <c r="D33" s="49" t="inlineStr">
        <is>
          <t>Elangovan Murugan</t>
        </is>
      </c>
      <c r="E33" s="51" t="n">
        <v>8056732185</v>
      </c>
      <c r="F33" s="49" t="inlineStr">
        <is>
          <t>Chennai</t>
        </is>
      </c>
      <c r="G33" s="49" t="inlineStr">
        <is>
          <t>Full Stack Developer</t>
        </is>
      </c>
      <c r="H33" s="49" t="inlineStr">
        <is>
          <t>ZN Interview</t>
        </is>
      </c>
      <c r="I33" s="49" t="inlineStr">
        <is>
          <t>Submitted for Review</t>
        </is>
      </c>
      <c r="J33" s="49" t="inlineStr">
        <is>
          <t>9.2 LPA</t>
        </is>
      </c>
      <c r="K33" s="49" t="inlineStr">
        <is>
          <t>15 LPA</t>
        </is>
      </c>
      <c r="L33" s="49" t="inlineStr">
        <is>
          <t>60 Days(Negotiable to 30days)</t>
        </is>
      </c>
      <c r="M33" s="49" t="n"/>
      <c r="N33" s="82" t="n"/>
      <c r="O33" s="82" t="n"/>
      <c r="P33" s="82" t="n"/>
      <c r="Q33" s="82" t="n"/>
      <c r="R33" s="82" t="n"/>
      <c r="S33" s="82" t="n"/>
      <c r="T33" s="82" t="n"/>
      <c r="U33" s="82" t="n"/>
      <c r="V33" s="82" t="n"/>
      <c r="W33" s="82" t="n"/>
      <c r="X33" s="82" t="n"/>
      <c r="Y33" s="82" t="n"/>
      <c r="Z33" s="82" t="n"/>
    </row>
    <row r="34" ht="15.75" customHeight="1" s="83">
      <c r="A34" s="49" t="inlineStr">
        <is>
          <t>Sarath</t>
        </is>
      </c>
      <c r="B34" s="48" t="n">
        <v>45670</v>
      </c>
      <c r="C34" s="49" t="inlineStr">
        <is>
          <t>January</t>
        </is>
      </c>
      <c r="D34" s="59" t="inlineStr">
        <is>
          <t>Ram Kumar</t>
        </is>
      </c>
      <c r="E34" s="49" t="n">
        <v>8610028776</v>
      </c>
      <c r="F34" s="49" t="inlineStr">
        <is>
          <t>Chennai</t>
        </is>
      </c>
      <c r="G34" s="49" t="inlineStr">
        <is>
          <t>Full Stack Developer</t>
        </is>
      </c>
      <c r="H34" s="49" t="inlineStr">
        <is>
          <t>Telephonic Screening</t>
        </is>
      </c>
      <c r="I34" s="49" t="inlineStr">
        <is>
          <t>Reject</t>
        </is>
      </c>
      <c r="J34" s="49" t="n"/>
      <c r="K34" s="49" t="n"/>
      <c r="L34" s="49" t="n"/>
      <c r="M34" s="49" t="n"/>
      <c r="N34" s="82" t="n"/>
      <c r="O34" s="82" t="n"/>
      <c r="P34" s="82" t="n"/>
      <c r="Q34" s="82" t="n"/>
      <c r="R34" s="82" t="n"/>
      <c r="S34" s="82" t="n"/>
      <c r="T34" s="82" t="n"/>
      <c r="U34" s="82" t="n"/>
      <c r="V34" s="82" t="n"/>
      <c r="W34" s="82" t="n"/>
      <c r="X34" s="82" t="n"/>
      <c r="Y34" s="82" t="n"/>
      <c r="Z34" s="82" t="n"/>
    </row>
    <row r="35" ht="15.75" customHeight="1" s="83">
      <c r="A35" s="49" t="inlineStr">
        <is>
          <t>Sarath</t>
        </is>
      </c>
      <c r="B35" s="48" t="n">
        <v>45670</v>
      </c>
      <c r="C35" s="49" t="inlineStr">
        <is>
          <t>January</t>
        </is>
      </c>
      <c r="D35" s="49" t="inlineStr">
        <is>
          <t>Vanishri Boopathy</t>
        </is>
      </c>
      <c r="E35" s="51" t="n">
        <v>9677228396</v>
      </c>
      <c r="F35" s="49" t="inlineStr">
        <is>
          <t>Chennai</t>
        </is>
      </c>
      <c r="G35" s="49" t="inlineStr">
        <is>
          <t>Full Stack Developer</t>
        </is>
      </c>
      <c r="H35" s="49" t="inlineStr">
        <is>
          <t>Telephonic Screening</t>
        </is>
      </c>
      <c r="I35" s="49" t="inlineStr">
        <is>
          <t>On hold due to high exp</t>
        </is>
      </c>
      <c r="J35" s="49" t="inlineStr">
        <is>
          <t>12 LPA</t>
        </is>
      </c>
      <c r="K35" s="49" t="inlineStr">
        <is>
          <t>20 LPA</t>
        </is>
      </c>
      <c r="L35" s="49" t="n"/>
      <c r="M35" s="49" t="n"/>
      <c r="N35" s="82" t="n"/>
      <c r="O35" s="82" t="n"/>
      <c r="P35" s="82" t="n"/>
      <c r="Q35" s="82" t="n"/>
      <c r="R35" s="82" t="n"/>
      <c r="S35" s="82" t="n"/>
      <c r="T35" s="82" t="n"/>
      <c r="U35" s="82" t="n"/>
      <c r="V35" s="82" t="n"/>
      <c r="W35" s="82" t="n"/>
      <c r="X35" s="82" t="n"/>
      <c r="Y35" s="82" t="n"/>
      <c r="Z35" s="82" t="n"/>
    </row>
    <row r="36" ht="15.75" customHeight="1" s="83">
      <c r="A36" s="49" t="inlineStr">
        <is>
          <t>Vijay Anand</t>
        </is>
      </c>
      <c r="B36" s="48" t="n">
        <v>45671</v>
      </c>
      <c r="C36" s="49" t="inlineStr">
        <is>
          <t>January</t>
        </is>
      </c>
      <c r="D36" s="49" t="inlineStr">
        <is>
          <t>Hareharan R S</t>
        </is>
      </c>
      <c r="E36" s="49" t="n">
        <v>7358207040</v>
      </c>
      <c r="F36" s="49" t="inlineStr">
        <is>
          <t>Chennai</t>
        </is>
      </c>
      <c r="G36" s="49" t="inlineStr">
        <is>
          <t>Full Stack Developer</t>
        </is>
      </c>
      <c r="H36" s="49" t="inlineStr">
        <is>
          <t>Candidate Withdrawn</t>
        </is>
      </c>
      <c r="I36" s="49" t="inlineStr">
        <is>
          <t>Backed out</t>
        </is>
      </c>
      <c r="J36" s="49" t="inlineStr">
        <is>
          <t>4 LPA</t>
        </is>
      </c>
      <c r="K36" s="49" t="inlineStr">
        <is>
          <t>6.5 LPA - 7 LPA</t>
        </is>
      </c>
      <c r="L36" s="49" t="inlineStr">
        <is>
          <t>Immediate Joiner</t>
        </is>
      </c>
      <c r="M36" s="49" t="n"/>
      <c r="N36" s="82" t="n"/>
      <c r="O36" s="82" t="n"/>
      <c r="P36" s="82" t="n"/>
      <c r="Q36" s="82" t="n"/>
      <c r="R36" s="82" t="n"/>
      <c r="S36" s="82" t="n"/>
      <c r="T36" s="82" t="n"/>
      <c r="U36" s="82" t="n"/>
      <c r="V36" s="82" t="n"/>
      <c r="W36" s="82" t="n"/>
      <c r="X36" s="82" t="n"/>
      <c r="Y36" s="82" t="n"/>
      <c r="Z36" s="82" t="n"/>
    </row>
    <row r="37" ht="15.75" customHeight="1" s="83">
      <c r="A37" s="49" t="inlineStr">
        <is>
          <t>Vijay Anand</t>
        </is>
      </c>
      <c r="B37" s="48" t="n">
        <v>45671</v>
      </c>
      <c r="C37" s="49" t="inlineStr">
        <is>
          <t>January</t>
        </is>
      </c>
      <c r="D37" s="49" t="inlineStr">
        <is>
          <t>Noorul Sirajudeen</t>
        </is>
      </c>
      <c r="E37" s="49" t="n">
        <v>9677909469</v>
      </c>
      <c r="F37" s="49" t="inlineStr">
        <is>
          <t>Chennai</t>
        </is>
      </c>
      <c r="G37" s="49" t="inlineStr">
        <is>
          <t>Full Stack Developer</t>
        </is>
      </c>
      <c r="H37" s="49" t="inlineStr">
        <is>
          <t>Telephonic Screening</t>
        </is>
      </c>
      <c r="I37" s="49" t="inlineStr">
        <is>
          <t>He needs time to think about the opportunity with ZeroNorth</t>
        </is>
      </c>
      <c r="J37" s="49" t="n"/>
      <c r="K37" s="49" t="n"/>
      <c r="L37" s="49" t="n"/>
      <c r="M37" s="49" t="n"/>
      <c r="N37" s="82" t="n"/>
      <c r="O37" s="82" t="n"/>
      <c r="P37" s="82" t="n"/>
      <c r="Q37" s="82" t="n"/>
      <c r="R37" s="82" t="n"/>
      <c r="S37" s="82" t="n"/>
      <c r="T37" s="82" t="n"/>
      <c r="U37" s="82" t="n"/>
      <c r="V37" s="82" t="n"/>
      <c r="W37" s="82" t="n"/>
      <c r="X37" s="82" t="n"/>
      <c r="Y37" s="82" t="n"/>
      <c r="Z37" s="82" t="n"/>
    </row>
    <row r="38" ht="15.75" customHeight="1" s="83">
      <c r="A38" s="49" t="inlineStr">
        <is>
          <t>Vijay Anand</t>
        </is>
      </c>
      <c r="B38" s="48" t="n">
        <v>45672</v>
      </c>
      <c r="C38" s="49" t="inlineStr">
        <is>
          <t>January</t>
        </is>
      </c>
      <c r="D38" s="49" t="inlineStr">
        <is>
          <t>Rohith H</t>
        </is>
      </c>
      <c r="E38" s="49" t="n">
        <v>9884538089</v>
      </c>
      <c r="F38" s="49" t="inlineStr">
        <is>
          <t>Chennai</t>
        </is>
      </c>
      <c r="G38" s="49" t="inlineStr">
        <is>
          <t>Full Stack Developer</t>
        </is>
      </c>
      <c r="H38" s="49" t="inlineStr">
        <is>
          <t>ZN Interview</t>
        </is>
      </c>
      <c r="I38" s="49" t="inlineStr">
        <is>
          <t>R1 completed - 14 Feb (awaiting feedback)</t>
        </is>
      </c>
      <c r="J38" s="49" t="inlineStr">
        <is>
          <t>14 LPA</t>
        </is>
      </c>
      <c r="K38" s="49" t="inlineStr">
        <is>
          <t>18 LPA</t>
        </is>
      </c>
      <c r="L38" s="49" t="inlineStr">
        <is>
          <t>1 month</t>
        </is>
      </c>
      <c r="M38" s="49" t="n"/>
      <c r="N38" s="82" t="n"/>
      <c r="O38" s="82" t="n"/>
      <c r="P38" s="82" t="n"/>
      <c r="Q38" s="82" t="n"/>
      <c r="R38" s="82" t="n"/>
      <c r="S38" s="82" t="n"/>
      <c r="T38" s="82" t="n"/>
      <c r="U38" s="82" t="n"/>
      <c r="V38" s="82" t="n"/>
      <c r="W38" s="82" t="n"/>
      <c r="X38" s="82" t="n"/>
      <c r="Y38" s="82" t="n"/>
      <c r="Z38" s="82" t="n"/>
    </row>
    <row r="39" ht="15.75" customHeight="1" s="83">
      <c r="A39" s="49" t="inlineStr">
        <is>
          <t>Arohi</t>
        </is>
      </c>
      <c r="B39" s="48" t="n">
        <v>45672</v>
      </c>
      <c r="C39" s="49" t="inlineStr">
        <is>
          <t>January</t>
        </is>
      </c>
      <c r="D39" s="49" t="inlineStr">
        <is>
          <t>Santhosh S</t>
        </is>
      </c>
      <c r="E39" s="49" t="n">
        <v>8838295808</v>
      </c>
      <c r="F39" s="49" t="inlineStr">
        <is>
          <t>Chennai</t>
        </is>
      </c>
      <c r="G39" s="49" t="inlineStr">
        <is>
          <t>Full Stack Developer</t>
        </is>
      </c>
      <c r="H39" s="49" t="inlineStr">
        <is>
          <t>Telephonic Screening</t>
        </is>
      </c>
      <c r="I39" s="49" t="inlineStr">
        <is>
          <t>Reject</t>
        </is>
      </c>
      <c r="J39" s="49" t="n"/>
      <c r="K39" s="49" t="n"/>
      <c r="L39" s="49" t="n"/>
      <c r="M39" s="49" t="n"/>
      <c r="N39" s="82" t="n"/>
      <c r="O39" s="82" t="n"/>
      <c r="P39" s="82" t="n"/>
      <c r="Q39" s="82" t="n"/>
      <c r="R39" s="82" t="n"/>
      <c r="S39" s="82" t="n"/>
      <c r="T39" s="82" t="n"/>
      <c r="U39" s="82" t="n"/>
      <c r="V39" s="82" t="n"/>
      <c r="W39" s="82" t="n"/>
      <c r="X39" s="82" t="n"/>
      <c r="Y39" s="82" t="n"/>
      <c r="Z39" s="82" t="n"/>
    </row>
    <row r="40" ht="15.75" customHeight="1" s="83">
      <c r="A40" s="49" t="inlineStr">
        <is>
          <t>Arohi</t>
        </is>
      </c>
      <c r="B40" s="48" t="n">
        <v>45672</v>
      </c>
      <c r="C40" s="49" t="inlineStr">
        <is>
          <t>January</t>
        </is>
      </c>
      <c r="D40" s="49" t="inlineStr">
        <is>
          <t>Anandh C</t>
        </is>
      </c>
      <c r="E40" s="49" t="n">
        <v>8838249278</v>
      </c>
      <c r="F40" s="49" t="inlineStr">
        <is>
          <t>Chennai</t>
        </is>
      </c>
      <c r="G40" s="49" t="inlineStr">
        <is>
          <t>Full Stack Developer</t>
        </is>
      </c>
      <c r="H40" s="49" t="inlineStr">
        <is>
          <t>Telephonic Screening</t>
        </is>
      </c>
      <c r="I40" s="49" t="inlineStr">
        <is>
          <t>Reject</t>
        </is>
      </c>
      <c r="J40" s="49" t="n"/>
      <c r="K40" s="49" t="n"/>
      <c r="L40" s="49" t="n"/>
      <c r="M40" s="49" t="n"/>
      <c r="N40" s="82" t="n"/>
      <c r="O40" s="82" t="n"/>
      <c r="P40" s="82" t="n"/>
      <c r="Q40" s="82" t="n"/>
      <c r="R40" s="82" t="n"/>
      <c r="S40" s="82" t="n"/>
      <c r="T40" s="82" t="n"/>
      <c r="U40" s="82" t="n"/>
      <c r="V40" s="82" t="n"/>
      <c r="W40" s="82" t="n"/>
      <c r="X40" s="82" t="n"/>
      <c r="Y40" s="82" t="n"/>
      <c r="Z40" s="82" t="n"/>
    </row>
    <row r="41" ht="15.75" customHeight="1" s="83">
      <c r="A41" s="49" t="inlineStr">
        <is>
          <t>Arohi</t>
        </is>
      </c>
      <c r="B41" s="48" t="n">
        <v>45672</v>
      </c>
      <c r="C41" s="49" t="inlineStr">
        <is>
          <t>January</t>
        </is>
      </c>
      <c r="D41" s="49" t="inlineStr">
        <is>
          <t>Thulasiram M</t>
        </is>
      </c>
      <c r="E41" s="49" t="n">
        <v>7708735444</v>
      </c>
      <c r="F41" s="49" t="inlineStr">
        <is>
          <t>Chennai</t>
        </is>
      </c>
      <c r="G41" s="49" t="inlineStr">
        <is>
          <t>Full Stack Developer</t>
        </is>
      </c>
      <c r="H41" s="49" t="inlineStr">
        <is>
          <t>Candidate Withdrawn</t>
        </is>
      </c>
      <c r="I41" s="49" t="inlineStr">
        <is>
          <t>Backed out</t>
        </is>
      </c>
      <c r="J41" s="49" t="inlineStr">
        <is>
          <t>3.8LPA</t>
        </is>
      </c>
      <c r="K41" s="49" t="inlineStr">
        <is>
          <t>7-8LPA</t>
        </is>
      </c>
      <c r="L41" s="49" t="inlineStr">
        <is>
          <t>1 month</t>
        </is>
      </c>
      <c r="M41" s="49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</row>
    <row r="42" ht="15.75" customHeight="1" s="83">
      <c r="A42" s="49" t="inlineStr">
        <is>
          <t>Arohi</t>
        </is>
      </c>
      <c r="B42" s="48" t="n">
        <v>45672</v>
      </c>
      <c r="C42" s="49" t="inlineStr">
        <is>
          <t>January</t>
        </is>
      </c>
      <c r="D42" s="49" t="inlineStr">
        <is>
          <t>Rengashree R</t>
        </is>
      </c>
      <c r="E42" s="49" t="n">
        <v>9342272661</v>
      </c>
      <c r="F42" s="49" t="inlineStr">
        <is>
          <t>Chennai</t>
        </is>
      </c>
      <c r="G42" s="49" t="inlineStr">
        <is>
          <t>Full Stack Developer</t>
        </is>
      </c>
      <c r="H42" s="49" t="inlineStr">
        <is>
          <t>Telephonic Screening</t>
        </is>
      </c>
      <c r="I42" s="49" t="inlineStr">
        <is>
          <t>Not intrested</t>
        </is>
      </c>
      <c r="J42" s="49" t="n"/>
      <c r="K42" s="49" t="n"/>
      <c r="L42" s="49" t="n"/>
      <c r="M42" s="49" t="n"/>
      <c r="N42" s="82" t="n"/>
      <c r="O42" s="82" t="n"/>
      <c r="P42" s="82" t="n"/>
      <c r="Q42" s="82" t="n"/>
      <c r="R42" s="82" t="n"/>
      <c r="S42" s="82" t="n"/>
      <c r="T42" s="82" t="n"/>
      <c r="U42" s="82" t="n"/>
      <c r="V42" s="82" t="n"/>
      <c r="W42" s="82" t="n"/>
      <c r="X42" s="82" t="n"/>
      <c r="Y42" s="82" t="n"/>
      <c r="Z42" s="82" t="n"/>
    </row>
    <row r="43" ht="15.75" customHeight="1" s="83">
      <c r="A43" s="49" t="inlineStr">
        <is>
          <t>Arohi</t>
        </is>
      </c>
      <c r="B43" s="48" t="n">
        <v>45672</v>
      </c>
      <c r="C43" s="49" t="inlineStr">
        <is>
          <t>January</t>
        </is>
      </c>
      <c r="D43" s="49" t="inlineStr">
        <is>
          <t>Santhiya Ravi</t>
        </is>
      </c>
      <c r="E43" s="49" t="n">
        <v>8015647157</v>
      </c>
      <c r="F43" s="49" t="inlineStr">
        <is>
          <t>Chennai</t>
        </is>
      </c>
      <c r="G43" s="49" t="inlineStr">
        <is>
          <t>Full Stack Developer</t>
        </is>
      </c>
      <c r="H43" s="49" t="inlineStr">
        <is>
          <t>ZN Submission</t>
        </is>
      </c>
      <c r="I43" s="49" t="inlineStr">
        <is>
          <t>Submitted for Review</t>
        </is>
      </c>
      <c r="J43" s="49" t="inlineStr">
        <is>
          <t>4.3LPA</t>
        </is>
      </c>
      <c r="K43" s="49" t="inlineStr">
        <is>
          <t>7.25LPA</t>
        </is>
      </c>
      <c r="L43" s="49" t="inlineStr">
        <is>
          <t>Can join after 15 days</t>
        </is>
      </c>
      <c r="M43" s="49" t="n"/>
      <c r="N43" s="82" t="n"/>
      <c r="O43" s="82" t="n"/>
      <c r="P43" s="82" t="n"/>
      <c r="Q43" s="82" t="n"/>
      <c r="R43" s="82" t="n"/>
      <c r="S43" s="82" t="n"/>
      <c r="T43" s="82" t="n"/>
      <c r="U43" s="82" t="n"/>
      <c r="V43" s="82" t="n"/>
      <c r="W43" s="82" t="n"/>
      <c r="X43" s="82" t="n"/>
      <c r="Y43" s="82" t="n"/>
      <c r="Z43" s="82" t="n"/>
    </row>
    <row r="44" ht="15.75" customHeight="1" s="83">
      <c r="A44" s="49" t="inlineStr">
        <is>
          <t>Arohi</t>
        </is>
      </c>
      <c r="B44" s="48" t="n">
        <v>45672</v>
      </c>
      <c r="C44" s="49" t="inlineStr">
        <is>
          <t>January</t>
        </is>
      </c>
      <c r="D44" s="74" t="inlineStr">
        <is>
          <t>Mohamed Irfan F</t>
        </is>
      </c>
      <c r="E44" s="49" t="n">
        <v>9566676562</v>
      </c>
      <c r="F44" s="49" t="inlineStr">
        <is>
          <t>Chennai</t>
        </is>
      </c>
      <c r="G44" s="49" t="inlineStr">
        <is>
          <t>Full Stack Developer</t>
        </is>
      </c>
      <c r="H44" s="49" t="inlineStr">
        <is>
          <t>Telephonic Screening</t>
        </is>
      </c>
      <c r="I44" s="49" t="inlineStr">
        <is>
          <t>Reject</t>
        </is>
      </c>
      <c r="J44" s="49" t="n"/>
      <c r="K44" s="49" t="n"/>
      <c r="L44" s="49" t="n"/>
      <c r="M44" s="49" t="n"/>
      <c r="N44" s="82" t="n"/>
      <c r="O44" s="82" t="n"/>
      <c r="P44" s="82" t="n"/>
      <c r="Q44" s="82" t="n"/>
      <c r="R44" s="82" t="n"/>
      <c r="S44" s="82" t="n"/>
      <c r="T44" s="82" t="n"/>
      <c r="U44" s="82" t="n"/>
      <c r="V44" s="82" t="n"/>
      <c r="W44" s="82" t="n"/>
      <c r="X44" s="82" t="n"/>
      <c r="Y44" s="82" t="n"/>
      <c r="Z44" s="82" t="n"/>
    </row>
    <row r="45" ht="15.75" customHeight="1" s="83">
      <c r="A45" s="49" t="inlineStr">
        <is>
          <t>Arohi</t>
        </is>
      </c>
      <c r="B45" s="48" t="n">
        <v>45672</v>
      </c>
      <c r="C45" s="49" t="inlineStr">
        <is>
          <t>January</t>
        </is>
      </c>
      <c r="D45" s="49" t="inlineStr">
        <is>
          <t>Arun R</t>
        </is>
      </c>
      <c r="E45" s="49" t="n">
        <v>9384594294</v>
      </c>
      <c r="F45" s="49" t="inlineStr">
        <is>
          <t>Chennai</t>
        </is>
      </c>
      <c r="G45" s="49" t="inlineStr">
        <is>
          <t>Full Stack Developer</t>
        </is>
      </c>
      <c r="H45" s="49" t="inlineStr">
        <is>
          <t>ZN Submission</t>
        </is>
      </c>
      <c r="I45" s="49" t="inlineStr">
        <is>
          <t>Submitted for Review</t>
        </is>
      </c>
      <c r="J45" s="49" t="inlineStr">
        <is>
          <t>5LPA</t>
        </is>
      </c>
      <c r="K45" s="49" t="inlineStr">
        <is>
          <t>8-9LPA</t>
        </is>
      </c>
      <c r="L45" s="49" t="inlineStr">
        <is>
          <t>1 month</t>
        </is>
      </c>
      <c r="M45" s="49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</row>
    <row r="46" ht="15.75" customHeight="1" s="83">
      <c r="A46" s="49" t="inlineStr">
        <is>
          <t>Arohi</t>
        </is>
      </c>
      <c r="B46" s="48" t="n">
        <v>45672</v>
      </c>
      <c r="C46" s="49" t="inlineStr">
        <is>
          <t>January</t>
        </is>
      </c>
      <c r="D46" s="69" t="inlineStr">
        <is>
          <t>Vengatesh V</t>
        </is>
      </c>
      <c r="E46" s="49" t="n">
        <v>9788874996</v>
      </c>
      <c r="F46" s="49" t="inlineStr">
        <is>
          <t>Chennai</t>
        </is>
      </c>
      <c r="G46" s="49" t="inlineStr">
        <is>
          <t>Full Stack Developer</t>
        </is>
      </c>
      <c r="H46" s="49" t="inlineStr">
        <is>
          <t>Candidate Withdrawn</t>
        </is>
      </c>
      <c r="I46" s="49" t="inlineStr">
        <is>
          <t>Backed out</t>
        </is>
      </c>
      <c r="J46" s="49" t="inlineStr">
        <is>
          <t>4.5LPA</t>
        </is>
      </c>
      <c r="K46" s="49" t="inlineStr">
        <is>
          <t>7-8LPA</t>
        </is>
      </c>
      <c r="L46" s="49" t="inlineStr">
        <is>
          <t>3 months</t>
        </is>
      </c>
      <c r="M46" s="49" t="n"/>
      <c r="N46" s="82" t="n"/>
      <c r="O46" s="82" t="n"/>
      <c r="P46" s="82" t="n"/>
      <c r="Q46" s="82" t="n"/>
      <c r="R46" s="82" t="n"/>
      <c r="S46" s="82" t="n"/>
      <c r="T46" s="82" t="n"/>
      <c r="U46" s="82" t="n"/>
      <c r="V46" s="82" t="n"/>
      <c r="W46" s="82" t="n"/>
      <c r="X46" s="82" t="n"/>
      <c r="Y46" s="82" t="n"/>
      <c r="Z46" s="82" t="n"/>
    </row>
    <row r="47" ht="15.75" customHeight="1" s="83">
      <c r="A47" s="49" t="inlineStr">
        <is>
          <t>Arohi</t>
        </is>
      </c>
      <c r="B47" s="48" t="n">
        <v>45672</v>
      </c>
      <c r="C47" s="49" t="inlineStr">
        <is>
          <t>January</t>
        </is>
      </c>
      <c r="D47" s="69" t="inlineStr">
        <is>
          <t>Prawin Krishna</t>
        </is>
      </c>
      <c r="E47" s="49" t="n">
        <v>9551741668</v>
      </c>
      <c r="F47" s="49" t="inlineStr">
        <is>
          <t>Chennai</t>
        </is>
      </c>
      <c r="G47" s="49" t="inlineStr">
        <is>
          <t>Full Stack Developer</t>
        </is>
      </c>
      <c r="H47" s="49" t="inlineStr">
        <is>
          <t>ZN Submission</t>
        </is>
      </c>
      <c r="I47" s="49" t="inlineStr">
        <is>
          <t>Submitted for Review</t>
        </is>
      </c>
      <c r="J47" s="49" t="inlineStr">
        <is>
          <t>4.5LPA</t>
        </is>
      </c>
      <c r="K47" s="49" t="inlineStr">
        <is>
          <t>8LPA</t>
        </is>
      </c>
      <c r="L47" s="49" t="inlineStr">
        <is>
          <t>45 days  nego to 30 Days</t>
        </is>
      </c>
      <c r="M47" s="49" t="n"/>
      <c r="N47" s="82" t="n"/>
      <c r="O47" s="82" t="n"/>
      <c r="P47" s="82" t="n"/>
      <c r="Q47" s="82" t="n"/>
      <c r="R47" s="82" t="n"/>
      <c r="S47" s="82" t="n"/>
      <c r="T47" s="82" t="n"/>
      <c r="U47" s="82" t="n"/>
      <c r="V47" s="82" t="n"/>
      <c r="W47" s="82" t="n"/>
      <c r="X47" s="82" t="n"/>
      <c r="Y47" s="82" t="n"/>
      <c r="Z47" s="82" t="n"/>
    </row>
    <row r="48" ht="15.75" customHeight="1" s="83">
      <c r="A48" s="49" t="inlineStr">
        <is>
          <t>Arohi</t>
        </is>
      </c>
      <c r="B48" s="48" t="n">
        <v>45672</v>
      </c>
      <c r="C48" s="49" t="inlineStr">
        <is>
          <t>January</t>
        </is>
      </c>
      <c r="D48" s="49" t="inlineStr">
        <is>
          <t>Manoj Kumar</t>
        </is>
      </c>
      <c r="E48" s="49" t="n">
        <v>8778178737</v>
      </c>
      <c r="F48" s="49" t="inlineStr">
        <is>
          <t>Chennai</t>
        </is>
      </c>
      <c r="G48" s="49" t="inlineStr">
        <is>
          <t>Full Stack Developer</t>
        </is>
      </c>
      <c r="H48" s="49" t="inlineStr">
        <is>
          <t>Telephonic Screening</t>
        </is>
      </c>
      <c r="I48" s="49" t="inlineStr">
        <is>
          <t>Reject</t>
        </is>
      </c>
      <c r="J48" s="49" t="inlineStr">
        <is>
          <t>11 LPA</t>
        </is>
      </c>
      <c r="K48" s="49" t="inlineStr">
        <is>
          <t>16 LPA</t>
        </is>
      </c>
      <c r="L48" s="49" t="inlineStr">
        <is>
          <t>Immediate joiner</t>
        </is>
      </c>
      <c r="M48" s="49" t="n"/>
      <c r="N48" s="82" t="n"/>
      <c r="O48" s="82" t="n"/>
      <c r="P48" s="82" t="n"/>
      <c r="Q48" s="82" t="n"/>
      <c r="R48" s="82" t="n"/>
      <c r="S48" s="82" t="n"/>
      <c r="T48" s="82" t="n"/>
      <c r="U48" s="82" t="n"/>
      <c r="V48" s="82" t="n"/>
      <c r="W48" s="82" t="n"/>
      <c r="X48" s="82" t="n"/>
      <c r="Y48" s="82" t="n"/>
      <c r="Z48" s="82" t="n"/>
    </row>
    <row r="49" ht="15.75" customHeight="1" s="83">
      <c r="A49" s="49" t="inlineStr">
        <is>
          <t>Arohi</t>
        </is>
      </c>
      <c r="B49" s="48" t="n">
        <v>45672</v>
      </c>
      <c r="C49" s="49" t="inlineStr">
        <is>
          <t>January</t>
        </is>
      </c>
      <c r="D49" s="49" t="inlineStr">
        <is>
          <t>Mohamed Rahmatullah</t>
        </is>
      </c>
      <c r="E49" s="49" t="n">
        <v>8939732284</v>
      </c>
      <c r="F49" s="49" t="inlineStr">
        <is>
          <t>Chennai</t>
        </is>
      </c>
      <c r="G49" s="49" t="inlineStr">
        <is>
          <t>Full Stack Developer</t>
        </is>
      </c>
      <c r="H49" s="49" t="inlineStr">
        <is>
          <t>Telephonic Screening</t>
        </is>
      </c>
      <c r="I49" s="49" t="inlineStr">
        <is>
          <t>Reject</t>
        </is>
      </c>
      <c r="J49" s="49" t="n"/>
      <c r="K49" s="49" t="n"/>
      <c r="L49" s="49" t="n"/>
      <c r="M49" s="49" t="n"/>
      <c r="N49" s="82" t="n"/>
      <c r="O49" s="82" t="n"/>
      <c r="P49" s="82" t="n"/>
      <c r="Q49" s="82" t="n"/>
      <c r="R49" s="82" t="n"/>
      <c r="S49" s="82" t="n"/>
      <c r="T49" s="82" t="n"/>
      <c r="U49" s="82" t="n"/>
      <c r="V49" s="82" t="n"/>
      <c r="W49" s="82" t="n"/>
      <c r="X49" s="82" t="n"/>
      <c r="Y49" s="82" t="n"/>
      <c r="Z49" s="82" t="n"/>
    </row>
    <row r="50" ht="15.75" customHeight="1" s="83">
      <c r="A50" s="49" t="inlineStr">
        <is>
          <t>Arohi</t>
        </is>
      </c>
      <c r="B50" s="48" t="n">
        <v>45673</v>
      </c>
      <c r="C50" s="49" t="inlineStr">
        <is>
          <t>January</t>
        </is>
      </c>
      <c r="D50" s="69" t="inlineStr">
        <is>
          <t>L Satheesh Kumar</t>
        </is>
      </c>
      <c r="E50" s="49" t="n">
        <v>95978876055</v>
      </c>
      <c r="F50" s="49" t="inlineStr">
        <is>
          <t>Chennai</t>
        </is>
      </c>
      <c r="G50" s="49" t="inlineStr">
        <is>
          <t>Full Stack Developer</t>
        </is>
      </c>
      <c r="H50" s="49" t="inlineStr">
        <is>
          <t>Telephonic Screening</t>
        </is>
      </c>
      <c r="I50" s="49" t="inlineStr">
        <is>
          <t>Reject</t>
        </is>
      </c>
      <c r="J50" s="49" t="n"/>
      <c r="K50" s="49" t="n"/>
      <c r="L50" s="49" t="n"/>
      <c r="M50" s="49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</row>
    <row r="51" ht="15.75" customHeight="1" s="83">
      <c r="A51" s="49" t="inlineStr">
        <is>
          <t>Sarath</t>
        </is>
      </c>
      <c r="B51" s="48" t="n">
        <v>45673</v>
      </c>
      <c r="C51" s="49" t="inlineStr">
        <is>
          <t>January</t>
        </is>
      </c>
      <c r="D51" s="49" t="inlineStr">
        <is>
          <t>Srinu Nagula</t>
        </is>
      </c>
      <c r="E51" s="51" t="n">
        <v>9701430042</v>
      </c>
      <c r="F51" s="49" t="inlineStr">
        <is>
          <t>Chennai</t>
        </is>
      </c>
      <c r="G51" s="49" t="inlineStr">
        <is>
          <t>DBA</t>
        </is>
      </c>
      <c r="H51" s="49" t="inlineStr">
        <is>
          <t>ZN Submission</t>
        </is>
      </c>
      <c r="I51" s="49" t="inlineStr">
        <is>
          <t>L1-TBRS</t>
        </is>
      </c>
      <c r="J51" s="49" t="inlineStr">
        <is>
          <t>4.30 LPA</t>
        </is>
      </c>
      <c r="K51" s="49" t="inlineStr">
        <is>
          <t>10 LPA</t>
        </is>
      </c>
      <c r="L51" s="49" t="inlineStr">
        <is>
          <t>10 Feb last working</t>
        </is>
      </c>
      <c r="M51" s="49" t="n"/>
      <c r="N51" s="82" t="n"/>
      <c r="O51" s="82" t="n"/>
      <c r="P51" s="82" t="n"/>
      <c r="Q51" s="82" t="n"/>
      <c r="R51" s="82" t="n"/>
      <c r="S51" s="82" t="n"/>
      <c r="T51" s="82" t="n"/>
      <c r="U51" s="82" t="n"/>
      <c r="V51" s="82" t="n"/>
      <c r="W51" s="82" t="n"/>
      <c r="X51" s="82" t="n"/>
      <c r="Y51" s="82" t="n"/>
      <c r="Z51" s="82" t="n"/>
    </row>
    <row r="52" ht="15.75" customHeight="1" s="83">
      <c r="A52" s="49" t="inlineStr">
        <is>
          <t>Sarath</t>
        </is>
      </c>
      <c r="B52" s="48" t="n">
        <v>45673</v>
      </c>
      <c r="C52" s="49" t="inlineStr">
        <is>
          <t>January</t>
        </is>
      </c>
      <c r="D52" s="49" t="inlineStr">
        <is>
          <t>Raja</t>
        </is>
      </c>
      <c r="E52" s="51" t="n">
        <v>9842628783</v>
      </c>
      <c r="F52" s="49" t="inlineStr">
        <is>
          <t>Chennai</t>
        </is>
      </c>
      <c r="G52" s="49" t="inlineStr">
        <is>
          <t>DBA</t>
        </is>
      </c>
      <c r="H52" s="49" t="inlineStr">
        <is>
          <t>ZN Submission</t>
        </is>
      </c>
      <c r="I52" s="49" t="inlineStr">
        <is>
          <t>Review</t>
        </is>
      </c>
      <c r="J52" s="49" t="inlineStr">
        <is>
          <t>18 LPA</t>
        </is>
      </c>
      <c r="K52" s="49" t="inlineStr">
        <is>
          <t>21 LPA</t>
        </is>
      </c>
      <c r="L52" s="49" t="inlineStr">
        <is>
          <t>Immediate</t>
        </is>
      </c>
      <c r="M52" s="49" t="n"/>
      <c r="N52" s="82" t="n"/>
      <c r="O52" s="82" t="n"/>
      <c r="P52" s="82" t="n"/>
      <c r="Q52" s="82" t="n"/>
      <c r="R52" s="82" t="n"/>
      <c r="S52" s="82" t="n"/>
      <c r="T52" s="82" t="n"/>
      <c r="U52" s="82" t="n"/>
      <c r="V52" s="82" t="n"/>
      <c r="W52" s="82" t="n"/>
      <c r="X52" s="82" t="n"/>
      <c r="Y52" s="82" t="n"/>
      <c r="Z52" s="82" t="n"/>
    </row>
    <row r="53" ht="15.75" customHeight="1" s="83">
      <c r="A53" s="49" t="inlineStr">
        <is>
          <t>Sarath</t>
        </is>
      </c>
      <c r="B53" s="48" t="n">
        <v>45673</v>
      </c>
      <c r="C53" s="49" t="inlineStr">
        <is>
          <t>January</t>
        </is>
      </c>
      <c r="D53" s="49" t="inlineStr">
        <is>
          <t>Bhuvaneswari Devi</t>
        </is>
      </c>
      <c r="E53" s="51" t="n">
        <v>9701244844</v>
      </c>
      <c r="F53" s="49" t="inlineStr">
        <is>
          <t>Chennai</t>
        </is>
      </c>
      <c r="G53" s="49" t="inlineStr">
        <is>
          <t>DBA</t>
        </is>
      </c>
      <c r="H53" s="49" t="inlineStr">
        <is>
          <t>Telephonic Screening</t>
        </is>
      </c>
      <c r="I53" s="49" t="inlineStr">
        <is>
          <t>Not intrested</t>
        </is>
      </c>
      <c r="J53" s="49" t="n"/>
      <c r="K53" s="49" t="n"/>
      <c r="L53" s="49" t="n"/>
      <c r="M53" s="49" t="n"/>
      <c r="N53" s="82" t="n"/>
      <c r="O53" s="82" t="n"/>
      <c r="P53" s="82" t="n"/>
      <c r="Q53" s="82" t="n"/>
      <c r="R53" s="82" t="n"/>
      <c r="S53" s="82" t="n"/>
      <c r="T53" s="82" t="n"/>
      <c r="U53" s="82" t="n"/>
      <c r="V53" s="82" t="n"/>
      <c r="W53" s="82" t="n"/>
      <c r="X53" s="82" t="n"/>
      <c r="Y53" s="82" t="n"/>
      <c r="Z53" s="82" t="n"/>
    </row>
    <row r="54" ht="15.75" customHeight="1" s="83">
      <c r="A54" s="49" t="inlineStr">
        <is>
          <t>Sarath</t>
        </is>
      </c>
      <c r="B54" s="48" t="n">
        <v>45673</v>
      </c>
      <c r="C54" s="49" t="inlineStr">
        <is>
          <t>January</t>
        </is>
      </c>
      <c r="D54" s="49" t="inlineStr">
        <is>
          <t>Gayathri Srinivasan</t>
        </is>
      </c>
      <c r="E54" s="51" t="n">
        <v>6382294895</v>
      </c>
      <c r="F54" s="49" t="inlineStr">
        <is>
          <t>Chennai</t>
        </is>
      </c>
      <c r="G54" s="49" t="inlineStr">
        <is>
          <t>DBA</t>
        </is>
      </c>
      <c r="H54" s="49" t="inlineStr">
        <is>
          <t>Telephonic Screening</t>
        </is>
      </c>
      <c r="I54" s="49" t="inlineStr">
        <is>
          <t>Not intrested</t>
        </is>
      </c>
      <c r="J54" s="49" t="n"/>
      <c r="K54" s="49" t="n"/>
      <c r="L54" s="49" t="n"/>
      <c r="M54" s="49" t="n"/>
      <c r="N54" s="82" t="n"/>
      <c r="O54" s="82" t="n"/>
      <c r="P54" s="82" t="n"/>
      <c r="Q54" s="82" t="n"/>
      <c r="R54" s="82" t="n"/>
      <c r="S54" s="82" t="n"/>
      <c r="T54" s="82" t="n"/>
      <c r="U54" s="82" t="n"/>
      <c r="V54" s="82" t="n"/>
      <c r="W54" s="82" t="n"/>
      <c r="X54" s="82" t="n"/>
      <c r="Y54" s="82" t="n"/>
      <c r="Z54" s="82" t="n"/>
    </row>
    <row r="55" ht="15.75" customHeight="1" s="83">
      <c r="A55" s="49" t="inlineStr">
        <is>
          <t>Sarath</t>
        </is>
      </c>
      <c r="B55" s="48" t="n">
        <v>45673</v>
      </c>
      <c r="C55" s="49" t="inlineStr">
        <is>
          <t>January</t>
        </is>
      </c>
      <c r="D55" s="49" t="inlineStr">
        <is>
          <t>Vinodh Kumar</t>
        </is>
      </c>
      <c r="E55" s="51" t="n">
        <v>8019144327</v>
      </c>
      <c r="F55" s="49" t="inlineStr">
        <is>
          <t>Chennai</t>
        </is>
      </c>
      <c r="G55" s="49" t="inlineStr">
        <is>
          <t>DBA</t>
        </is>
      </c>
      <c r="H55" s="49" t="inlineStr">
        <is>
          <t>ZN Submission</t>
        </is>
      </c>
      <c r="I55" s="49" t="inlineStr">
        <is>
          <t>Duplication - ZN already have resume</t>
        </is>
      </c>
      <c r="J55" s="49" t="n"/>
      <c r="K55" s="49" t="n"/>
      <c r="L55" s="49" t="n"/>
      <c r="M55" s="49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</row>
    <row r="56" ht="15.75" customHeight="1" s="83">
      <c r="A56" s="49" t="inlineStr">
        <is>
          <t>Sarath</t>
        </is>
      </c>
      <c r="B56" s="48" t="n">
        <v>45673</v>
      </c>
      <c r="C56" s="49" t="inlineStr">
        <is>
          <t>January</t>
        </is>
      </c>
      <c r="D56" s="49" t="inlineStr">
        <is>
          <t>Jagadeesh Korraee</t>
        </is>
      </c>
      <c r="E56" s="51" t="n">
        <v>9642497850</v>
      </c>
      <c r="F56" s="49" t="inlineStr">
        <is>
          <t>Chennai</t>
        </is>
      </c>
      <c r="G56" s="49" t="inlineStr">
        <is>
          <t>DBA</t>
        </is>
      </c>
      <c r="H56" s="49" t="inlineStr">
        <is>
          <t>Telephonic Screening</t>
        </is>
      </c>
      <c r="I56" s="49" t="inlineStr">
        <is>
          <t>Reject - 3 months NP</t>
        </is>
      </c>
      <c r="J56" s="49" t="n"/>
      <c r="K56" s="49" t="n"/>
      <c r="L56" s="49" t="n"/>
      <c r="M56" s="49" t="n"/>
      <c r="N56" s="82" t="n"/>
      <c r="O56" s="82" t="n"/>
      <c r="P56" s="82" t="n"/>
      <c r="Q56" s="82" t="n"/>
      <c r="R56" s="82" t="n"/>
      <c r="S56" s="82" t="n"/>
      <c r="T56" s="82" t="n"/>
      <c r="U56" s="82" t="n"/>
      <c r="V56" s="82" t="n"/>
      <c r="W56" s="82" t="n"/>
      <c r="X56" s="82" t="n"/>
      <c r="Y56" s="82" t="n"/>
      <c r="Z56" s="82" t="n"/>
    </row>
    <row r="57" ht="15.75" customHeight="1" s="83">
      <c r="A57" s="49" t="inlineStr">
        <is>
          <t>Sarath</t>
        </is>
      </c>
      <c r="B57" s="48" t="n">
        <v>45673</v>
      </c>
      <c r="C57" s="49" t="inlineStr">
        <is>
          <t>January</t>
        </is>
      </c>
      <c r="D57" s="69" t="inlineStr">
        <is>
          <t>Raman Seshadri</t>
        </is>
      </c>
      <c r="E57" s="49" t="n">
        <v>9499955041</v>
      </c>
      <c r="F57" s="49" t="inlineStr">
        <is>
          <t>Chennai</t>
        </is>
      </c>
      <c r="G57" s="49" t="inlineStr">
        <is>
          <t>DBA</t>
        </is>
      </c>
      <c r="H57" s="49" t="inlineStr">
        <is>
          <t>Telephonic Screening</t>
        </is>
      </c>
      <c r="I57" s="49" t="inlineStr">
        <is>
          <t>He has 90days notice period</t>
        </is>
      </c>
      <c r="J57" s="49" t="inlineStr">
        <is>
          <t>4.5 LPA</t>
        </is>
      </c>
      <c r="K57" s="49" t="inlineStr">
        <is>
          <t>9 LPA</t>
        </is>
      </c>
      <c r="L57" s="49" t="inlineStr">
        <is>
          <t>90Days</t>
        </is>
      </c>
      <c r="M57" s="49" t="n"/>
      <c r="N57" s="82" t="n"/>
      <c r="O57" s="82" t="n"/>
      <c r="P57" s="82" t="n"/>
      <c r="Q57" s="82" t="n"/>
      <c r="R57" s="82" t="n"/>
      <c r="S57" s="82" t="n"/>
      <c r="T57" s="82" t="n"/>
      <c r="U57" s="82" t="n"/>
      <c r="V57" s="82" t="n"/>
      <c r="W57" s="82" t="n"/>
      <c r="X57" s="82" t="n"/>
      <c r="Y57" s="82" t="n"/>
      <c r="Z57" s="82" t="n"/>
    </row>
    <row r="58" ht="15.75" customHeight="1" s="83">
      <c r="A58" s="49" t="inlineStr">
        <is>
          <t>Sarath</t>
        </is>
      </c>
      <c r="B58" s="48" t="n">
        <v>45677</v>
      </c>
      <c r="C58" s="49" t="inlineStr">
        <is>
          <t>January</t>
        </is>
      </c>
      <c r="D58" s="49" t="inlineStr">
        <is>
          <t>Arun Athithyan</t>
        </is>
      </c>
      <c r="E58" s="51" t="n">
        <v>9788242496</v>
      </c>
      <c r="F58" s="49" t="inlineStr">
        <is>
          <t>Chennai</t>
        </is>
      </c>
      <c r="G58" s="49" t="inlineStr">
        <is>
          <t>DBA</t>
        </is>
      </c>
      <c r="H58" s="49" t="inlineStr">
        <is>
          <t>ZN Submission</t>
        </is>
      </c>
      <c r="I58" s="49" t="inlineStr">
        <is>
          <t>Reject - 3 months NP</t>
        </is>
      </c>
      <c r="J58" s="49" t="inlineStr">
        <is>
          <t>12 LPA</t>
        </is>
      </c>
      <c r="K58" s="49" t="inlineStr">
        <is>
          <t>16 LPA</t>
        </is>
      </c>
      <c r="L58" s="49" t="inlineStr">
        <is>
          <t>90 days</t>
        </is>
      </c>
      <c r="M58" s="49" t="n"/>
      <c r="N58" s="82" t="n"/>
      <c r="O58" s="82" t="n"/>
      <c r="P58" s="82" t="n"/>
      <c r="Q58" s="82" t="n"/>
      <c r="R58" s="82" t="n"/>
      <c r="S58" s="82" t="n"/>
      <c r="T58" s="82" t="n"/>
      <c r="U58" s="82" t="n"/>
      <c r="V58" s="82" t="n"/>
      <c r="W58" s="82" t="n"/>
      <c r="X58" s="82" t="n"/>
      <c r="Y58" s="82" t="n"/>
      <c r="Z58" s="82" t="n"/>
    </row>
    <row r="59" ht="15.75" customHeight="1" s="83">
      <c r="A59" s="49" t="inlineStr">
        <is>
          <t>Sarath</t>
        </is>
      </c>
      <c r="B59" s="48" t="n">
        <v>45677</v>
      </c>
      <c r="C59" s="49" t="inlineStr">
        <is>
          <t>January</t>
        </is>
      </c>
      <c r="D59" s="49" t="inlineStr">
        <is>
          <t>Mahammed Abdul</t>
        </is>
      </c>
      <c r="E59" s="75" t="n">
        <v>9150396516</v>
      </c>
      <c r="F59" s="49" t="inlineStr">
        <is>
          <t>Chennai</t>
        </is>
      </c>
      <c r="G59" s="49" t="inlineStr">
        <is>
          <t>DBA</t>
        </is>
      </c>
      <c r="H59" s="49" t="inlineStr">
        <is>
          <t>ZN Submission</t>
        </is>
      </c>
      <c r="I59" s="32" t="inlineStr">
        <is>
          <t>Review</t>
        </is>
      </c>
      <c r="J59" s="49" t="inlineStr">
        <is>
          <t>8 LPA</t>
        </is>
      </c>
      <c r="K59" s="49" t="inlineStr">
        <is>
          <t>40% Hike</t>
        </is>
      </c>
      <c r="L59" s="49" t="inlineStr">
        <is>
          <t>Immediate</t>
        </is>
      </c>
      <c r="M59" s="49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</row>
    <row r="60" ht="15.75" customHeight="1" s="83">
      <c r="A60" s="49" t="inlineStr">
        <is>
          <t>Sarath</t>
        </is>
      </c>
      <c r="B60" s="48" t="n">
        <v>45677</v>
      </c>
      <c r="C60" s="49" t="inlineStr">
        <is>
          <t>January</t>
        </is>
      </c>
      <c r="D60" s="49" t="inlineStr">
        <is>
          <t>Shivam Chauhan</t>
        </is>
      </c>
      <c r="E60" s="51" t="n">
        <v>7017000093</v>
      </c>
      <c r="F60" s="49" t="inlineStr">
        <is>
          <t>Noida</t>
        </is>
      </c>
      <c r="G60" s="49" t="inlineStr">
        <is>
          <t>DBA</t>
        </is>
      </c>
      <c r="H60" s="49" t="inlineStr">
        <is>
          <t>Telephonic Screening</t>
        </is>
      </c>
      <c r="I60" s="49" t="inlineStr">
        <is>
          <t>Reject</t>
        </is>
      </c>
      <c r="J60" s="49" t="n"/>
      <c r="K60" s="49" t="n"/>
      <c r="L60" s="49" t="n"/>
      <c r="M60" s="49" t="n"/>
      <c r="N60" s="82" t="n"/>
      <c r="O60" s="82" t="n"/>
      <c r="P60" s="82" t="n"/>
      <c r="Q60" s="82" t="n"/>
      <c r="R60" s="82" t="n"/>
      <c r="S60" s="82" t="n"/>
      <c r="T60" s="82" t="n"/>
      <c r="U60" s="82" t="n"/>
      <c r="V60" s="82" t="n"/>
      <c r="W60" s="82" t="n"/>
      <c r="X60" s="82" t="n"/>
      <c r="Y60" s="82" t="n"/>
      <c r="Z60" s="82" t="n"/>
    </row>
    <row r="61" ht="15.75" customHeight="1" s="83">
      <c r="A61" s="49" t="inlineStr">
        <is>
          <t>Sarath</t>
        </is>
      </c>
      <c r="B61" s="48" t="n">
        <v>45677</v>
      </c>
      <c r="C61" s="49" t="inlineStr">
        <is>
          <t>January</t>
        </is>
      </c>
      <c r="D61" s="49" t="inlineStr">
        <is>
          <t>Ibrahim A</t>
        </is>
      </c>
      <c r="E61" s="76" t="n">
        <v>7871157867</v>
      </c>
      <c r="F61" s="49" t="inlineStr">
        <is>
          <t>Chennai</t>
        </is>
      </c>
      <c r="G61" s="49" t="inlineStr">
        <is>
          <t>DBA</t>
        </is>
      </c>
      <c r="H61" s="49" t="inlineStr">
        <is>
          <t>Telephonic Screening</t>
        </is>
      </c>
      <c r="I61" s="49" t="inlineStr">
        <is>
          <t>Reject</t>
        </is>
      </c>
      <c r="J61" s="49" t="n"/>
      <c r="K61" s="49" t="n"/>
      <c r="L61" s="49" t="n"/>
      <c r="M61" s="49" t="n"/>
      <c r="N61" s="82" t="n"/>
      <c r="O61" s="82" t="n"/>
      <c r="P61" s="82" t="n"/>
      <c r="Q61" s="82" t="n"/>
      <c r="R61" s="82" t="n"/>
      <c r="S61" s="82" t="n"/>
      <c r="T61" s="82" t="n"/>
      <c r="U61" s="82" t="n"/>
      <c r="V61" s="82" t="n"/>
      <c r="W61" s="82" t="n"/>
      <c r="X61" s="82" t="n"/>
      <c r="Y61" s="82" t="n"/>
      <c r="Z61" s="82" t="n"/>
    </row>
    <row r="62" ht="15.75" customHeight="1" s="83">
      <c r="A62" s="49" t="inlineStr">
        <is>
          <t>Sarath</t>
        </is>
      </c>
      <c r="B62" s="48" t="n">
        <v>45677</v>
      </c>
      <c r="C62" s="49" t="inlineStr">
        <is>
          <t>January</t>
        </is>
      </c>
      <c r="D62" s="49" t="inlineStr">
        <is>
          <t>Meenakshi Kumar</t>
        </is>
      </c>
      <c r="E62" s="51" t="n">
        <v>7092382985</v>
      </c>
      <c r="F62" s="49" t="inlineStr">
        <is>
          <t>Chennai</t>
        </is>
      </c>
      <c r="G62" s="49" t="inlineStr">
        <is>
          <t>DBA</t>
        </is>
      </c>
      <c r="H62" s="49" t="inlineStr">
        <is>
          <t>Telephonic Screening</t>
        </is>
      </c>
      <c r="I62" s="49" t="inlineStr">
        <is>
          <t>Not intrested</t>
        </is>
      </c>
      <c r="J62" s="49" t="n"/>
      <c r="K62" s="49" t="n"/>
      <c r="L62" s="49" t="n"/>
      <c r="M62" s="49" t="n"/>
      <c r="N62" s="82" t="n"/>
      <c r="O62" s="82" t="n"/>
      <c r="P62" s="82" t="n"/>
      <c r="Q62" s="82" t="n"/>
      <c r="R62" s="82" t="n"/>
      <c r="S62" s="82" t="n"/>
      <c r="T62" s="82" t="n"/>
      <c r="U62" s="82" t="n"/>
      <c r="V62" s="82" t="n"/>
      <c r="W62" s="82" t="n"/>
      <c r="X62" s="82" t="n"/>
      <c r="Y62" s="82" t="n"/>
      <c r="Z62" s="82" t="n"/>
    </row>
    <row r="63" ht="15.75" customHeight="1" s="83">
      <c r="A63" s="49" t="inlineStr">
        <is>
          <t>Sarath</t>
        </is>
      </c>
      <c r="B63" s="48" t="n">
        <v>45677</v>
      </c>
      <c r="C63" s="49" t="inlineStr">
        <is>
          <t>January</t>
        </is>
      </c>
      <c r="D63" s="49" t="inlineStr">
        <is>
          <t>Ramya Maheswari</t>
        </is>
      </c>
      <c r="E63" s="51" t="n">
        <v>8939703368</v>
      </c>
      <c r="F63" s="49" t="inlineStr">
        <is>
          <t>Chennai</t>
        </is>
      </c>
      <c r="G63" s="49" t="inlineStr">
        <is>
          <t>DBA</t>
        </is>
      </c>
      <c r="H63" s="49" t="inlineStr">
        <is>
          <t>Telephonic Screening</t>
        </is>
      </c>
      <c r="I63" s="49" t="inlineStr">
        <is>
          <t>Reject</t>
        </is>
      </c>
      <c r="J63" s="49" t="n"/>
      <c r="K63" s="49" t="n"/>
      <c r="L63" s="49" t="n"/>
      <c r="M63" s="49" t="n"/>
      <c r="N63" s="82" t="n"/>
      <c r="O63" s="82" t="n"/>
      <c r="P63" s="82" t="n"/>
      <c r="Q63" s="82" t="n"/>
      <c r="R63" s="82" t="n"/>
      <c r="S63" s="82" t="n"/>
      <c r="T63" s="82" t="n"/>
      <c r="U63" s="82" t="n"/>
      <c r="V63" s="82" t="n"/>
      <c r="W63" s="82" t="n"/>
      <c r="X63" s="82" t="n"/>
      <c r="Y63" s="82" t="n"/>
      <c r="Z63" s="82" t="n"/>
    </row>
    <row r="64" ht="15.75" customHeight="1" s="83">
      <c r="A64" s="49" t="inlineStr">
        <is>
          <t>Sarath</t>
        </is>
      </c>
      <c r="B64" s="48" t="n">
        <v>45677</v>
      </c>
      <c r="C64" s="49" t="inlineStr">
        <is>
          <t>January</t>
        </is>
      </c>
      <c r="D64" s="69" t="inlineStr">
        <is>
          <t>Kokila P</t>
        </is>
      </c>
      <c r="E64" s="77" t="n">
        <v>8072128911</v>
      </c>
      <c r="F64" s="49" t="inlineStr">
        <is>
          <t>Chennai</t>
        </is>
      </c>
      <c r="G64" s="49" t="inlineStr">
        <is>
          <t>DBA</t>
        </is>
      </c>
      <c r="H64" s="49" t="inlineStr">
        <is>
          <t>Telephonic Screening</t>
        </is>
      </c>
      <c r="I64" s="49" t="inlineStr">
        <is>
          <t>Not intrested</t>
        </is>
      </c>
      <c r="J64" s="49" t="n"/>
      <c r="K64" s="49" t="n"/>
      <c r="L64" s="49" t="n"/>
      <c r="M64" s="49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</row>
    <row r="65" ht="15.75" customHeight="1" s="83">
      <c r="A65" s="49" t="inlineStr">
        <is>
          <t>Sarath</t>
        </is>
      </c>
      <c r="B65" s="48" t="n">
        <v>45686</v>
      </c>
      <c r="C65" s="49" t="inlineStr">
        <is>
          <t>January</t>
        </is>
      </c>
      <c r="D65" s="69" t="inlineStr">
        <is>
          <t>Amsath Ali</t>
        </is>
      </c>
      <c r="E65" s="51" t="n">
        <v>9886045732</v>
      </c>
      <c r="F65" s="49" t="inlineStr">
        <is>
          <t>Chennai</t>
        </is>
      </c>
      <c r="G65" s="49" t="inlineStr">
        <is>
          <t>DBA</t>
        </is>
      </c>
      <c r="H65" s="49" t="inlineStr">
        <is>
          <t>ZN Submission</t>
        </is>
      </c>
      <c r="I65" s="49" t="n"/>
      <c r="J65" s="49" t="inlineStr">
        <is>
          <t>20 LPA</t>
        </is>
      </c>
      <c r="K65" s="49" t="inlineStr">
        <is>
          <t>23 LPA</t>
        </is>
      </c>
      <c r="L65" s="49" t="inlineStr">
        <is>
          <t>Immediate</t>
        </is>
      </c>
      <c r="M65" s="49" t="n"/>
      <c r="N65" s="82" t="n"/>
      <c r="O65" s="82" t="n"/>
      <c r="P65" s="82" t="n"/>
      <c r="Q65" s="82" t="n"/>
      <c r="R65" s="82" t="n"/>
      <c r="S65" s="82" t="n"/>
      <c r="T65" s="82" t="n"/>
      <c r="U65" s="82" t="n"/>
      <c r="V65" s="82" t="n"/>
      <c r="W65" s="82" t="n"/>
      <c r="X65" s="82" t="n"/>
      <c r="Y65" s="82" t="n"/>
      <c r="Z65" s="82" t="n"/>
    </row>
    <row r="66" ht="15.75" customHeight="1" s="83">
      <c r="A66" s="49" t="inlineStr">
        <is>
          <t>Sarath</t>
        </is>
      </c>
      <c r="B66" s="48" t="n">
        <v>45686</v>
      </c>
      <c r="C66" s="49" t="inlineStr">
        <is>
          <t>January</t>
        </is>
      </c>
      <c r="D66" s="69" t="inlineStr">
        <is>
          <t>Saurav Kumar</t>
        </is>
      </c>
      <c r="E66" s="49" t="n">
        <v>9078799175</v>
      </c>
      <c r="F66" s="49" t="inlineStr">
        <is>
          <t>Bangalore</t>
        </is>
      </c>
      <c r="G66" s="49" t="inlineStr">
        <is>
          <t>DBA</t>
        </is>
      </c>
      <c r="H66" s="49" t="inlineStr">
        <is>
          <t>Telephonic Screening</t>
        </is>
      </c>
      <c r="I66" s="49" t="n"/>
      <c r="J66" s="49" t="inlineStr">
        <is>
          <t>4.8 LPA</t>
        </is>
      </c>
      <c r="K66" s="49" t="inlineStr">
        <is>
          <t>8 LPA</t>
        </is>
      </c>
      <c r="L66" s="49" t="inlineStr">
        <is>
          <t>30 Days</t>
        </is>
      </c>
      <c r="M66" s="49" t="n"/>
      <c r="N66" s="82" t="n"/>
      <c r="O66" s="82" t="n"/>
      <c r="P66" s="82" t="n"/>
      <c r="Q66" s="82" t="n"/>
      <c r="R66" s="82" t="n"/>
      <c r="S66" s="82" t="n"/>
      <c r="T66" s="82" t="n"/>
      <c r="U66" s="82" t="n"/>
      <c r="V66" s="82" t="n"/>
      <c r="W66" s="82" t="n"/>
      <c r="X66" s="82" t="n"/>
      <c r="Y66" s="82" t="n"/>
      <c r="Z66" s="82" t="n"/>
    </row>
    <row r="67" ht="15.75" customHeight="1" s="83">
      <c r="A67" s="49" t="inlineStr">
        <is>
          <t>Sarath</t>
        </is>
      </c>
      <c r="B67" s="48" t="n">
        <v>45686</v>
      </c>
      <c r="C67" s="49" t="inlineStr">
        <is>
          <t>January</t>
        </is>
      </c>
      <c r="D67" s="69" t="inlineStr">
        <is>
          <t>Sasi Kumar</t>
        </is>
      </c>
      <c r="E67" s="55" t="n">
        <v>6303786560</v>
      </c>
      <c r="F67" s="49" t="inlineStr">
        <is>
          <t>Chennai</t>
        </is>
      </c>
      <c r="G67" s="49" t="inlineStr">
        <is>
          <t>DBA</t>
        </is>
      </c>
      <c r="H67" s="49" t="inlineStr">
        <is>
          <t>Telephonic Screening</t>
        </is>
      </c>
      <c r="I67" s="49" t="inlineStr">
        <is>
          <t>Put on hold(due to budget/NP)</t>
        </is>
      </c>
      <c r="J67" s="49" t="inlineStr">
        <is>
          <t>14.70 LPA</t>
        </is>
      </c>
      <c r="K67" s="49" t="inlineStr">
        <is>
          <t>18 LPA</t>
        </is>
      </c>
      <c r="L67" s="49" t="inlineStr">
        <is>
          <t>90 Days</t>
        </is>
      </c>
      <c r="M67" s="49" t="n"/>
      <c r="N67" s="82" t="n"/>
      <c r="O67" s="82" t="n"/>
      <c r="P67" s="82" t="n"/>
      <c r="Q67" s="82" t="n"/>
      <c r="R67" s="82" t="n"/>
      <c r="S67" s="82" t="n"/>
      <c r="T67" s="82" t="n"/>
      <c r="U67" s="82" t="n"/>
      <c r="V67" s="82" t="n"/>
      <c r="W67" s="82" t="n"/>
      <c r="X67" s="82" t="n"/>
      <c r="Y67" s="82" t="n"/>
      <c r="Z67" s="82" t="n"/>
    </row>
    <row r="68" ht="15.75" customHeight="1" s="83">
      <c r="A68" s="49" t="inlineStr">
        <is>
          <t>Sarath</t>
        </is>
      </c>
      <c r="B68" s="48" t="n">
        <v>45687</v>
      </c>
      <c r="C68" s="49" t="inlineStr">
        <is>
          <t>January</t>
        </is>
      </c>
      <c r="D68" s="69" t="inlineStr">
        <is>
          <t>Varshini M</t>
        </is>
      </c>
      <c r="E68" s="51" t="n">
        <v>9585302629</v>
      </c>
      <c r="F68" s="49" t="inlineStr">
        <is>
          <t>Chennai</t>
        </is>
      </c>
      <c r="G68" s="49" t="inlineStr">
        <is>
          <t>Full Stack Developer</t>
        </is>
      </c>
      <c r="H68" s="49" t="inlineStr">
        <is>
          <t>Telephonic Screening</t>
        </is>
      </c>
      <c r="I68" s="49" t="inlineStr">
        <is>
          <t>Bugdet constrain</t>
        </is>
      </c>
      <c r="J68" s="49" t="inlineStr">
        <is>
          <t>13 LPA</t>
        </is>
      </c>
      <c r="K68" s="49" t="inlineStr">
        <is>
          <t>19 LPA</t>
        </is>
      </c>
      <c r="L68" s="49" t="inlineStr">
        <is>
          <t>60 Days</t>
        </is>
      </c>
      <c r="M68" s="49" t="n"/>
      <c r="N68" s="82" t="n"/>
      <c r="O68" s="82" t="n"/>
      <c r="P68" s="82" t="n"/>
      <c r="Q68" s="82" t="n"/>
      <c r="R68" s="82" t="n"/>
      <c r="S68" s="82" t="n"/>
      <c r="T68" s="82" t="n"/>
      <c r="U68" s="82" t="n"/>
      <c r="V68" s="82" t="n"/>
      <c r="W68" s="82" t="n"/>
      <c r="X68" s="82" t="n"/>
      <c r="Y68" s="82" t="n"/>
      <c r="Z68" s="82" t="n"/>
    </row>
    <row r="69" ht="15.75" customHeight="1" s="83">
      <c r="A69" s="49" t="inlineStr">
        <is>
          <t>Sarath</t>
        </is>
      </c>
      <c r="B69" s="48" t="n">
        <v>45688</v>
      </c>
      <c r="C69" s="49" t="inlineStr">
        <is>
          <t>January</t>
        </is>
      </c>
      <c r="D69" s="69" t="inlineStr">
        <is>
          <t>Priyadarshini Murugan</t>
        </is>
      </c>
      <c r="E69" s="49" t="n">
        <v>9788952997</v>
      </c>
      <c r="F69" s="49" t="inlineStr">
        <is>
          <t>Chennai</t>
        </is>
      </c>
      <c r="G69" s="49" t="inlineStr">
        <is>
          <t>Full Stack Developer</t>
        </is>
      </c>
      <c r="H69" s="49" t="inlineStr">
        <is>
          <t>Telephonic Screening</t>
        </is>
      </c>
      <c r="I69" s="49" t="inlineStr">
        <is>
          <t>Reject-looking for remote only</t>
        </is>
      </c>
      <c r="J69" s="49" t="n"/>
      <c r="K69" s="49" t="n"/>
      <c r="L69" s="49" t="n"/>
      <c r="M69" s="49" t="n"/>
      <c r="N69" s="82" t="n"/>
      <c r="O69" s="82" t="n"/>
      <c r="P69" s="82" t="n"/>
      <c r="Q69" s="82" t="n"/>
      <c r="R69" s="82" t="n"/>
      <c r="S69" s="82" t="n"/>
      <c r="T69" s="82" t="n"/>
      <c r="U69" s="82" t="n"/>
      <c r="V69" s="82" t="n"/>
      <c r="W69" s="82" t="n"/>
      <c r="X69" s="82" t="n"/>
      <c r="Y69" s="82" t="n"/>
      <c r="Z69" s="82" t="n"/>
    </row>
    <row r="70" ht="15.75" customHeight="1" s="83">
      <c r="A70" s="49" t="inlineStr">
        <is>
          <t>Sarath</t>
        </is>
      </c>
      <c r="B70" s="48" t="n">
        <v>45699</v>
      </c>
      <c r="C70" s="49" t="inlineStr">
        <is>
          <t>February</t>
        </is>
      </c>
      <c r="D70" s="19" t="inlineStr">
        <is>
          <t>Prakash S</t>
        </is>
      </c>
      <c r="E70" s="78" t="n">
        <v>9944551807</v>
      </c>
      <c r="F70" s="49" t="inlineStr">
        <is>
          <t>Chennai</t>
        </is>
      </c>
      <c r="G70" s="49" t="inlineStr">
        <is>
          <t>Full Stack Developer</t>
        </is>
      </c>
      <c r="H70" s="49" t="inlineStr">
        <is>
          <t>ZN Submission</t>
        </is>
      </c>
      <c r="I70" s="49" t="inlineStr">
        <is>
          <t>Review</t>
        </is>
      </c>
      <c r="J70" s="19" t="inlineStr">
        <is>
          <t>12 LPA</t>
        </is>
      </c>
      <c r="K70" s="19" t="inlineStr">
        <is>
          <t>18-20 LPA</t>
        </is>
      </c>
      <c r="L70" s="19" t="inlineStr">
        <is>
          <t>20 Days</t>
        </is>
      </c>
      <c r="M70" s="49" t="n"/>
      <c r="N70" s="82" t="n"/>
      <c r="O70" s="82" t="n"/>
      <c r="P70" s="82" t="n"/>
      <c r="Q70" s="82" t="n"/>
      <c r="R70" s="82" t="n"/>
      <c r="S70" s="82" t="n"/>
      <c r="T70" s="82" t="n"/>
      <c r="U70" s="82" t="n"/>
      <c r="V70" s="82" t="n"/>
      <c r="W70" s="82" t="n"/>
      <c r="X70" s="82" t="n"/>
      <c r="Y70" s="82" t="n"/>
      <c r="Z70" s="82" t="n"/>
    </row>
    <row r="71" ht="15.75" customHeight="1" s="83">
      <c r="A71" s="49" t="inlineStr">
        <is>
          <t>Sarath</t>
        </is>
      </c>
      <c r="B71" s="48" t="n">
        <v>45699</v>
      </c>
      <c r="C71" s="49" t="inlineStr">
        <is>
          <t>February</t>
        </is>
      </c>
      <c r="D71" s="19" t="inlineStr">
        <is>
          <t>Prabakar Raja</t>
        </is>
      </c>
      <c r="E71" s="78" t="n">
        <v>9500664216</v>
      </c>
      <c r="F71" s="49" t="inlineStr">
        <is>
          <t>Chennai</t>
        </is>
      </c>
      <c r="G71" s="49" t="inlineStr">
        <is>
          <t>Full Stack Developer</t>
        </is>
      </c>
      <c r="H71" s="49" t="inlineStr">
        <is>
          <t>ZN Submission</t>
        </is>
      </c>
      <c r="I71" s="49" t="inlineStr">
        <is>
          <t>Review</t>
        </is>
      </c>
      <c r="J71" s="19" t="inlineStr">
        <is>
          <t>12 LPA</t>
        </is>
      </c>
      <c r="K71" s="19" t="inlineStr">
        <is>
          <t>18 LPA</t>
        </is>
      </c>
      <c r="L71" s="19" t="inlineStr">
        <is>
          <t>60 Days(Negotioable to 45days)</t>
        </is>
      </c>
      <c r="M71" s="49" t="n"/>
      <c r="N71" s="82" t="n"/>
      <c r="O71" s="82" t="n"/>
      <c r="P71" s="82" t="n"/>
      <c r="Q71" s="82" t="n"/>
      <c r="R71" s="82" t="n"/>
      <c r="S71" s="82" t="n"/>
      <c r="T71" s="82" t="n"/>
      <c r="U71" s="82" t="n"/>
      <c r="V71" s="82" t="n"/>
      <c r="W71" s="82" t="n"/>
      <c r="X71" s="82" t="n"/>
      <c r="Y71" s="82" t="n"/>
      <c r="Z71" s="82" t="n"/>
    </row>
    <row r="72" ht="15.75" customHeight="1" s="83">
      <c r="A72" s="49" t="inlineStr">
        <is>
          <t>Sarath</t>
        </is>
      </c>
      <c r="B72" s="48" t="n">
        <v>45699</v>
      </c>
      <c r="C72" s="49" t="inlineStr">
        <is>
          <t>February</t>
        </is>
      </c>
      <c r="D72" s="19" t="inlineStr">
        <is>
          <t>Muthu Karuppasamy</t>
        </is>
      </c>
      <c r="E72" s="78" t="n">
        <v>9080024928</v>
      </c>
      <c r="F72" s="49" t="inlineStr">
        <is>
          <t>Chennai</t>
        </is>
      </c>
      <c r="G72" s="49" t="inlineStr">
        <is>
          <t>Full Stack Developer</t>
        </is>
      </c>
      <c r="H72" s="49" t="inlineStr">
        <is>
          <t>ZN Submission</t>
        </is>
      </c>
      <c r="I72" s="49" t="inlineStr">
        <is>
          <t>Review</t>
        </is>
      </c>
      <c r="J72" s="19" t="inlineStr">
        <is>
          <t>9.8 LPA</t>
        </is>
      </c>
      <c r="K72" s="19" t="inlineStr">
        <is>
          <t>15 LPA</t>
        </is>
      </c>
      <c r="L72" s="19" t="inlineStr">
        <is>
          <t>1 Month(March15th last working)</t>
        </is>
      </c>
      <c r="M72" s="49" t="n"/>
      <c r="N72" s="82" t="n"/>
      <c r="O72" s="82" t="n"/>
      <c r="P72" s="82" t="n"/>
      <c r="Q72" s="82" t="n"/>
      <c r="R72" s="82" t="n"/>
      <c r="S72" s="82" t="n"/>
      <c r="T72" s="82" t="n"/>
      <c r="U72" s="82" t="n"/>
      <c r="V72" s="82" t="n"/>
      <c r="W72" s="82" t="n"/>
      <c r="X72" s="82" t="n"/>
      <c r="Y72" s="82" t="n"/>
      <c r="Z72" s="82" t="n"/>
    </row>
    <row r="73" ht="15.75" customHeight="1" s="83">
      <c r="A73" s="49" t="inlineStr">
        <is>
          <t>Sarath</t>
        </is>
      </c>
      <c r="B73" s="48" t="n">
        <v>45699</v>
      </c>
      <c r="C73" s="49" t="inlineStr">
        <is>
          <t>February</t>
        </is>
      </c>
      <c r="D73" s="19" t="inlineStr">
        <is>
          <t>Dhanavandhan K</t>
        </is>
      </c>
      <c r="E73" s="78" t="n">
        <v>6374053802</v>
      </c>
      <c r="F73" s="49" t="inlineStr">
        <is>
          <t>Chennai</t>
        </is>
      </c>
      <c r="G73" s="49" t="inlineStr">
        <is>
          <t>Full Stack Developer</t>
        </is>
      </c>
      <c r="H73" s="49" t="inlineStr">
        <is>
          <t>Candidate Withdrawn</t>
        </is>
      </c>
      <c r="I73" s="49" t="inlineStr">
        <is>
          <t>Review</t>
        </is>
      </c>
      <c r="J73" s="19" t="inlineStr">
        <is>
          <t>5.5 LPA</t>
        </is>
      </c>
      <c r="K73" s="19" t="inlineStr">
        <is>
          <t>As per the company standard</t>
        </is>
      </c>
      <c r="L73" s="19" t="inlineStr">
        <is>
          <t>Immediate</t>
        </is>
      </c>
      <c r="M73" s="49" t="n"/>
      <c r="N73" s="82" t="n"/>
      <c r="O73" s="82" t="n"/>
      <c r="P73" s="82" t="n"/>
      <c r="Q73" s="82" t="n"/>
      <c r="R73" s="82" t="n"/>
      <c r="S73" s="82" t="n"/>
      <c r="T73" s="82" t="n"/>
      <c r="U73" s="82" t="n"/>
      <c r="V73" s="82" t="n"/>
      <c r="W73" s="82" t="n"/>
      <c r="X73" s="82" t="n"/>
      <c r="Y73" s="82" t="n"/>
      <c r="Z73" s="82" t="n"/>
    </row>
    <row r="74" ht="15.75" customHeight="1" s="83">
      <c r="A74" s="49" t="inlineStr">
        <is>
          <t>Sarath</t>
        </is>
      </c>
      <c r="B74" s="48" t="n">
        <v>45713</v>
      </c>
      <c r="C74" s="49" t="inlineStr">
        <is>
          <t>February</t>
        </is>
      </c>
      <c r="D74" s="49" t="inlineStr">
        <is>
          <t>Lavanya</t>
        </is>
      </c>
      <c r="E74" s="51" t="n">
        <v>9962628126</v>
      </c>
      <c r="F74" s="49" t="inlineStr">
        <is>
          <t>Chennai</t>
        </is>
      </c>
      <c r="G74" s="49" t="inlineStr">
        <is>
          <t>Full Stack Developer</t>
        </is>
      </c>
      <c r="H74" s="49" t="inlineStr">
        <is>
          <t>Telephonic Screening</t>
        </is>
      </c>
      <c r="I74" s="49" t="n"/>
      <c r="J74" s="49" t="n"/>
      <c r="K74" s="49" t="n"/>
      <c r="L74" s="49" t="n"/>
      <c r="M74" s="49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</row>
    <row r="75" ht="15.75" customHeight="1" s="83">
      <c r="A75" s="49" t="inlineStr">
        <is>
          <t>Sarath</t>
        </is>
      </c>
      <c r="B75" s="48" t="n">
        <v>45713</v>
      </c>
      <c r="C75" s="49" t="inlineStr">
        <is>
          <t>February</t>
        </is>
      </c>
      <c r="D75" s="49" t="inlineStr">
        <is>
          <t>Kanimozli</t>
        </is>
      </c>
      <c r="E75" s="51" t="n">
        <v>9148582928</v>
      </c>
      <c r="F75" s="49" t="inlineStr">
        <is>
          <t>Chennai</t>
        </is>
      </c>
      <c r="G75" s="49" t="inlineStr">
        <is>
          <t>Full Stack Developer</t>
        </is>
      </c>
      <c r="H75" s="49" t="inlineStr">
        <is>
          <t>Telephonic Screening</t>
        </is>
      </c>
      <c r="I75" s="49" t="inlineStr">
        <is>
          <t>High expectation</t>
        </is>
      </c>
      <c r="J75" s="49" t="inlineStr">
        <is>
          <t>14 LPA</t>
        </is>
      </c>
      <c r="K75" s="49" t="inlineStr">
        <is>
          <t>26 LPA</t>
        </is>
      </c>
      <c r="L75" s="49" t="inlineStr">
        <is>
          <t>Alreay holding 2offers</t>
        </is>
      </c>
      <c r="M75" s="49" t="n"/>
      <c r="N75" s="82" t="n"/>
      <c r="O75" s="82" t="n"/>
      <c r="P75" s="82" t="n"/>
      <c r="Q75" s="82" t="n"/>
      <c r="R75" s="82" t="n"/>
      <c r="S75" s="82" t="n"/>
      <c r="T75" s="82" t="n"/>
      <c r="U75" s="82" t="n"/>
      <c r="V75" s="82" t="n"/>
      <c r="W75" s="82" t="n"/>
      <c r="X75" s="82" t="n"/>
      <c r="Y75" s="82" t="n"/>
      <c r="Z75" s="82" t="n"/>
    </row>
    <row r="76" ht="15.75" customHeight="1" s="83">
      <c r="A76" s="49" t="inlineStr">
        <is>
          <t>Sarath</t>
        </is>
      </c>
      <c r="B76" s="48" t="n">
        <v>45713</v>
      </c>
      <c r="C76" s="49" t="inlineStr">
        <is>
          <t>February</t>
        </is>
      </c>
      <c r="D76" s="49" t="inlineStr">
        <is>
          <t>Sudhakar</t>
        </is>
      </c>
      <c r="E76" s="79" t="n">
        <v>9840319606</v>
      </c>
      <c r="F76" s="49" t="inlineStr">
        <is>
          <t>Chennai</t>
        </is>
      </c>
      <c r="G76" s="49" t="inlineStr">
        <is>
          <t>Full Stack Developer</t>
        </is>
      </c>
      <c r="H76" s="49" t="inlineStr">
        <is>
          <t>Telephonic Screening</t>
        </is>
      </c>
      <c r="I76" s="49" t="n"/>
      <c r="J76" s="49" t="inlineStr">
        <is>
          <t>16 LPA</t>
        </is>
      </c>
      <c r="K76" s="49" t="inlineStr">
        <is>
          <t>22 LPA</t>
        </is>
      </c>
      <c r="L76" s="49" t="inlineStr">
        <is>
          <t>90 Days(60 NE)</t>
        </is>
      </c>
      <c r="M76" s="49" t="n"/>
      <c r="N76" s="82" t="n"/>
      <c r="O76" s="82" t="n"/>
      <c r="P76" s="82" t="n"/>
      <c r="Q76" s="82" t="n"/>
      <c r="R76" s="82" t="n"/>
      <c r="S76" s="82" t="n"/>
      <c r="T76" s="82" t="n"/>
      <c r="U76" s="82" t="n"/>
      <c r="V76" s="82" t="n"/>
      <c r="W76" s="82" t="n"/>
      <c r="X76" s="82" t="n"/>
      <c r="Y76" s="82" t="n"/>
      <c r="Z76" s="82" t="n"/>
    </row>
    <row r="77" ht="15.75" customHeight="1" s="83">
      <c r="A77" s="49" t="inlineStr">
        <is>
          <t>Sarath</t>
        </is>
      </c>
      <c r="B77" s="48" t="n">
        <v>45713</v>
      </c>
      <c r="C77" s="49" t="inlineStr">
        <is>
          <t>February</t>
        </is>
      </c>
      <c r="D77" s="49" t="inlineStr">
        <is>
          <t>Nagalaskmi</t>
        </is>
      </c>
      <c r="E77" s="51" t="n">
        <v>9566984949</v>
      </c>
      <c r="F77" s="49" t="inlineStr">
        <is>
          <t>Chennai</t>
        </is>
      </c>
      <c r="G77" s="49" t="inlineStr">
        <is>
          <t>Full Stack Developer</t>
        </is>
      </c>
      <c r="H77" s="49" t="inlineStr">
        <is>
          <t>Telephonic Screening</t>
        </is>
      </c>
      <c r="I77" s="49" t="n"/>
      <c r="J77" s="49" t="n"/>
      <c r="K77" s="49" t="n"/>
      <c r="L77" s="49" t="n"/>
      <c r="M77" s="49" t="n"/>
      <c r="N77" s="82" t="n"/>
      <c r="O77" s="82" t="n"/>
      <c r="P77" s="82" t="n"/>
      <c r="Q77" s="82" t="n"/>
      <c r="R77" s="82" t="n"/>
      <c r="S77" s="82" t="n"/>
      <c r="T77" s="82" t="n"/>
      <c r="U77" s="82" t="n"/>
      <c r="V77" s="82" t="n"/>
      <c r="W77" s="82" t="n"/>
      <c r="X77" s="82" t="n"/>
      <c r="Y77" s="82" t="n"/>
      <c r="Z77" s="82" t="n"/>
    </row>
    <row r="78" ht="15.75" customHeight="1" s="83">
      <c r="A78" s="49" t="inlineStr">
        <is>
          <t>Sarath</t>
        </is>
      </c>
      <c r="B78" s="48" t="n">
        <v>45713</v>
      </c>
      <c r="C78" s="49" t="inlineStr">
        <is>
          <t>February</t>
        </is>
      </c>
      <c r="D78" s="49" t="inlineStr">
        <is>
          <t>Harikrishnan R</t>
        </is>
      </c>
      <c r="E78" s="51" t="n">
        <v>9061002008</v>
      </c>
      <c r="F78" s="49" t="inlineStr">
        <is>
          <t>Chennai</t>
        </is>
      </c>
      <c r="G78" s="49" t="inlineStr">
        <is>
          <t>Full Stack Developer</t>
        </is>
      </c>
      <c r="H78" s="49" t="inlineStr">
        <is>
          <t>Telephonic Screening</t>
        </is>
      </c>
      <c r="I78" s="49" t="n"/>
      <c r="J78" s="49" t="n"/>
      <c r="K78" s="49" t="n"/>
      <c r="L78" s="49" t="n"/>
      <c r="M78" s="49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</row>
    <row r="79" ht="15.75" customHeight="1" s="83">
      <c r="A79" s="49" t="inlineStr">
        <is>
          <t>Sarath</t>
        </is>
      </c>
      <c r="B79" s="48" t="n">
        <v>45713</v>
      </c>
      <c r="C79" s="49" t="inlineStr">
        <is>
          <t>February</t>
        </is>
      </c>
      <c r="D79" s="49" t="inlineStr">
        <is>
          <t>Thirugnasambandhar</t>
        </is>
      </c>
      <c r="E79" s="51" t="n">
        <v>9994356559</v>
      </c>
      <c r="F79" s="49" t="inlineStr">
        <is>
          <t>Chennai</t>
        </is>
      </c>
      <c r="G79" s="49" t="inlineStr">
        <is>
          <t>Full Stack Developer</t>
        </is>
      </c>
      <c r="H79" s="49" t="inlineStr">
        <is>
          <t>Telephonic Screening</t>
        </is>
      </c>
      <c r="I79" s="49" t="n"/>
      <c r="J79" s="49" t="inlineStr">
        <is>
          <t>19 LPA</t>
        </is>
      </c>
      <c r="K79" s="49" t="inlineStr">
        <is>
          <t>22 LPA</t>
        </is>
      </c>
      <c r="L79" s="49" t="inlineStr">
        <is>
          <t>Immediate</t>
        </is>
      </c>
      <c r="M79" s="49" t="n"/>
      <c r="N79" s="82" t="n"/>
      <c r="O79" s="82" t="n"/>
      <c r="P79" s="82" t="n"/>
      <c r="Q79" s="82" t="n"/>
      <c r="R79" s="82" t="n"/>
      <c r="S79" s="82" t="n"/>
      <c r="T79" s="82" t="n"/>
      <c r="U79" s="82" t="n"/>
      <c r="V79" s="82" t="n"/>
      <c r="W79" s="82" t="n"/>
      <c r="X79" s="82" t="n"/>
      <c r="Y79" s="82" t="n"/>
      <c r="Z79" s="82" t="n"/>
    </row>
    <row r="80" ht="15.75" customHeight="1" s="83">
      <c r="A80" s="82" t="n"/>
      <c r="B80" s="82" t="n"/>
      <c r="C80" s="82" t="n"/>
      <c r="D80" s="82" t="n"/>
      <c r="E80" s="81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</row>
    <row r="81" ht="15.75" customHeight="1" s="83">
      <c r="A81" s="82" t="n"/>
      <c r="B81" s="82" t="n"/>
      <c r="C81" s="82" t="n"/>
      <c r="D81" s="82" t="n"/>
      <c r="E81" s="81" t="n"/>
      <c r="F81" s="82" t="n"/>
      <c r="G81" s="82" t="n"/>
      <c r="H81" s="82" t="n"/>
      <c r="I81" s="82" t="n"/>
      <c r="J81" s="82" t="n"/>
      <c r="K81" s="82" t="n"/>
      <c r="L81" s="82" t="n"/>
      <c r="M81" s="82" t="n"/>
      <c r="N81" s="82" t="n"/>
      <c r="O81" s="82" t="n"/>
      <c r="P81" s="82" t="n"/>
      <c r="Q81" s="82" t="n"/>
      <c r="R81" s="82" t="n"/>
      <c r="S81" s="82" t="n"/>
      <c r="T81" s="82" t="n"/>
      <c r="U81" s="82" t="n"/>
      <c r="V81" s="82" t="n"/>
      <c r="W81" s="82" t="n"/>
      <c r="X81" s="82" t="n"/>
      <c r="Y81" s="82" t="n"/>
      <c r="Z81" s="82" t="n"/>
    </row>
    <row r="82" ht="15.75" customHeight="1" s="83">
      <c r="A82" s="82" t="n"/>
      <c r="B82" s="82" t="n"/>
      <c r="C82" s="82" t="n"/>
      <c r="D82" s="82" t="n"/>
      <c r="E82" s="81" t="n"/>
      <c r="F82" s="82" t="n"/>
      <c r="G82" s="82" t="n"/>
      <c r="H82" s="82" t="n"/>
      <c r="I82" s="82" t="n"/>
      <c r="J82" s="82" t="n"/>
      <c r="K82" s="82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82" t="n"/>
      <c r="V82" s="82" t="n"/>
      <c r="W82" s="82" t="n"/>
      <c r="X82" s="82" t="n"/>
      <c r="Y82" s="82" t="n"/>
      <c r="Z82" s="82" t="n"/>
    </row>
    <row r="83" ht="15.75" customHeight="1" s="83">
      <c r="A83" s="82" t="n"/>
      <c r="B83" s="82" t="n"/>
      <c r="C83" s="82" t="n"/>
      <c r="D83" s="82" t="n"/>
      <c r="E83" s="81" t="n"/>
      <c r="F83" s="82" t="n"/>
      <c r="G83" s="82" t="n"/>
      <c r="H83" s="82" t="n"/>
      <c r="I83" s="82" t="n"/>
      <c r="J83" s="82" t="n"/>
      <c r="K83" s="82" t="n"/>
      <c r="L83" s="82" t="n"/>
      <c r="M83" s="82" t="n"/>
      <c r="N83" s="82" t="n"/>
      <c r="O83" s="82" t="n"/>
      <c r="P83" s="82" t="n"/>
      <c r="Q83" s="82" t="n"/>
      <c r="R83" s="82" t="n"/>
      <c r="S83" s="82" t="n"/>
      <c r="T83" s="82" t="n"/>
      <c r="U83" s="82" t="n"/>
      <c r="V83" s="82" t="n"/>
      <c r="W83" s="82" t="n"/>
      <c r="X83" s="82" t="n"/>
      <c r="Y83" s="82" t="n"/>
      <c r="Z83" s="82" t="n"/>
    </row>
    <row r="84" ht="15.75" customHeight="1" s="83">
      <c r="A84" s="82" t="n"/>
      <c r="B84" s="82" t="n"/>
      <c r="C84" s="82" t="n"/>
      <c r="D84" s="82" t="n"/>
      <c r="E84" s="81" t="n"/>
      <c r="F84" s="82" t="n"/>
      <c r="G84" s="82" t="n"/>
      <c r="H84" s="82" t="n"/>
      <c r="I84" s="82" t="n"/>
      <c r="J84" s="82" t="n"/>
      <c r="K84" s="82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82" t="n"/>
      <c r="V84" s="82" t="n"/>
      <c r="W84" s="82" t="n"/>
      <c r="X84" s="82" t="n"/>
      <c r="Y84" s="82" t="n"/>
      <c r="Z84" s="82" t="n"/>
    </row>
    <row r="85" ht="15.75" customHeight="1" s="83">
      <c r="A85" s="82" t="n"/>
      <c r="B85" s="82" t="n"/>
      <c r="C85" s="82" t="n"/>
      <c r="D85" s="82" t="n"/>
      <c r="E85" s="81" t="n"/>
      <c r="F85" s="82" t="n"/>
      <c r="G85" s="82" t="n"/>
      <c r="H85" s="82" t="n"/>
      <c r="I85" s="82" t="n"/>
      <c r="J85" s="82" t="n"/>
      <c r="K85" s="82" t="n"/>
      <c r="L85" s="82" t="n"/>
      <c r="M85" s="82" t="n"/>
      <c r="N85" s="82" t="n"/>
      <c r="O85" s="82" t="n"/>
      <c r="P85" s="82" t="n"/>
      <c r="Q85" s="82" t="n"/>
      <c r="R85" s="82" t="n"/>
      <c r="S85" s="82" t="n"/>
      <c r="T85" s="82" t="n"/>
      <c r="U85" s="82" t="n"/>
      <c r="V85" s="82" t="n"/>
      <c r="W85" s="82" t="n"/>
      <c r="X85" s="82" t="n"/>
      <c r="Y85" s="82" t="n"/>
      <c r="Z85" s="82" t="n"/>
    </row>
    <row r="86" ht="15.75" customHeight="1" s="83">
      <c r="A86" s="82" t="n"/>
      <c r="B86" s="82" t="n"/>
      <c r="C86" s="82" t="n"/>
      <c r="D86" s="82" t="n"/>
      <c r="E86" s="81" t="n"/>
      <c r="F86" s="82" t="n"/>
      <c r="G86" s="82" t="n"/>
      <c r="H86" s="82" t="n"/>
      <c r="I86" s="82" t="n"/>
      <c r="J86" s="82" t="n"/>
      <c r="K86" s="82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82" t="n"/>
      <c r="V86" s="82" t="n"/>
      <c r="W86" s="82" t="n"/>
      <c r="X86" s="82" t="n"/>
      <c r="Y86" s="82" t="n"/>
      <c r="Z86" s="82" t="n"/>
    </row>
    <row r="87" ht="15.75" customHeight="1" s="83">
      <c r="A87" s="82" t="n"/>
      <c r="B87" s="82" t="n"/>
      <c r="C87" s="82" t="n"/>
      <c r="D87" s="82" t="n"/>
      <c r="E87" s="81" t="n"/>
      <c r="F87" s="82" t="n"/>
      <c r="G87" s="82" t="n"/>
      <c r="H87" s="82" t="n"/>
      <c r="I87" s="82" t="n"/>
      <c r="J87" s="82" t="n"/>
      <c r="K87" s="82" t="n"/>
      <c r="L87" s="82" t="n"/>
      <c r="M87" s="82" t="n"/>
      <c r="N87" s="82" t="n"/>
      <c r="O87" s="82" t="n"/>
      <c r="P87" s="82" t="n"/>
      <c r="Q87" s="82" t="n"/>
      <c r="R87" s="82" t="n"/>
      <c r="S87" s="82" t="n"/>
      <c r="T87" s="82" t="n"/>
      <c r="U87" s="82" t="n"/>
      <c r="V87" s="82" t="n"/>
      <c r="W87" s="82" t="n"/>
      <c r="X87" s="82" t="n"/>
      <c r="Y87" s="82" t="n"/>
      <c r="Z87" s="82" t="n"/>
    </row>
    <row r="88" ht="15.75" customHeight="1" s="83">
      <c r="A88" s="82" t="n"/>
      <c r="B88" s="82" t="n"/>
      <c r="C88" s="82" t="n"/>
      <c r="D88" s="82" t="n"/>
      <c r="E88" s="81" t="n"/>
      <c r="F88" s="82" t="n"/>
      <c r="G88" s="82" t="n"/>
      <c r="H88" s="82" t="n"/>
      <c r="I88" s="82" t="n"/>
      <c r="J88" s="82" t="n"/>
      <c r="K88" s="82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82" t="n"/>
      <c r="V88" s="82" t="n"/>
      <c r="W88" s="82" t="n"/>
      <c r="X88" s="82" t="n"/>
      <c r="Y88" s="82" t="n"/>
      <c r="Z88" s="82" t="n"/>
    </row>
    <row r="89" ht="15.75" customHeight="1" s="83">
      <c r="A89" s="82" t="n"/>
      <c r="B89" s="82" t="n"/>
      <c r="C89" s="82" t="n"/>
      <c r="D89" s="82" t="n"/>
      <c r="E89" s="81" t="n"/>
      <c r="F89" s="82" t="n"/>
      <c r="G89" s="82" t="n"/>
      <c r="H89" s="82" t="n"/>
      <c r="I89" s="82" t="n"/>
      <c r="J89" s="82" t="n"/>
      <c r="K89" s="82" t="n"/>
      <c r="L89" s="82" t="n"/>
      <c r="M89" s="82" t="n"/>
      <c r="N89" s="82" t="n"/>
      <c r="O89" s="82" t="n"/>
      <c r="P89" s="82" t="n"/>
      <c r="Q89" s="82" t="n"/>
      <c r="R89" s="82" t="n"/>
      <c r="S89" s="82" t="n"/>
      <c r="T89" s="82" t="n"/>
      <c r="U89" s="82" t="n"/>
      <c r="V89" s="82" t="n"/>
      <c r="W89" s="82" t="n"/>
      <c r="X89" s="82" t="n"/>
      <c r="Y89" s="82" t="n"/>
      <c r="Z89" s="82" t="n"/>
    </row>
    <row r="90" ht="15.75" customHeight="1" s="83">
      <c r="A90" s="82" t="n"/>
      <c r="B90" s="82" t="n"/>
      <c r="C90" s="82" t="n"/>
      <c r="D90" s="82" t="n"/>
      <c r="E90" s="81" t="n"/>
      <c r="F90" s="82" t="n"/>
      <c r="G90" s="82" t="n"/>
      <c r="H90" s="82" t="n"/>
      <c r="I90" s="82" t="n"/>
      <c r="J90" s="82" t="n"/>
      <c r="K90" s="82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82" t="n"/>
      <c r="V90" s="82" t="n"/>
      <c r="W90" s="82" t="n"/>
      <c r="X90" s="82" t="n"/>
      <c r="Y90" s="82" t="n"/>
      <c r="Z90" s="82" t="n"/>
    </row>
    <row r="91" ht="15.75" customHeight="1" s="83">
      <c r="A91" s="82" t="n"/>
      <c r="B91" s="82" t="n"/>
      <c r="C91" s="82" t="n"/>
      <c r="D91" s="82" t="n"/>
      <c r="E91" s="81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  <c r="P91" s="82" t="n"/>
      <c r="Q91" s="82" t="n"/>
      <c r="R91" s="82" t="n"/>
      <c r="S91" s="82" t="n"/>
      <c r="T91" s="82" t="n"/>
      <c r="U91" s="82" t="n"/>
      <c r="V91" s="82" t="n"/>
      <c r="W91" s="82" t="n"/>
      <c r="X91" s="82" t="n"/>
      <c r="Y91" s="82" t="n"/>
      <c r="Z91" s="82" t="n"/>
    </row>
    <row r="92" ht="15.75" customHeight="1" s="83">
      <c r="A92" s="82" t="n"/>
      <c r="B92" s="82" t="n"/>
      <c r="C92" s="82" t="n"/>
      <c r="D92" s="82" t="n"/>
      <c r="E92" s="81" t="n"/>
      <c r="F92" s="82" t="n"/>
      <c r="G92" s="82" t="n"/>
      <c r="H92" s="82" t="n"/>
      <c r="I92" s="82" t="n"/>
      <c r="J92" s="82" t="n"/>
      <c r="K92" s="82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82" t="n"/>
      <c r="V92" s="82" t="n"/>
      <c r="W92" s="82" t="n"/>
      <c r="X92" s="82" t="n"/>
      <c r="Y92" s="82" t="n"/>
      <c r="Z92" s="82" t="n"/>
    </row>
    <row r="93" ht="15.75" customHeight="1" s="83">
      <c r="A93" s="82" t="n"/>
      <c r="B93" s="82" t="n"/>
      <c r="C93" s="82" t="n"/>
      <c r="D93" s="82" t="n"/>
      <c r="E93" s="81" t="n"/>
      <c r="F93" s="82" t="n"/>
      <c r="G93" s="82" t="n"/>
      <c r="H93" s="82" t="n"/>
      <c r="I93" s="82" t="n"/>
      <c r="J93" s="82" t="n"/>
      <c r="K93" s="82" t="n"/>
      <c r="L93" s="82" t="n"/>
      <c r="M93" s="82" t="n"/>
      <c r="N93" s="82" t="n"/>
      <c r="O93" s="82" t="n"/>
      <c r="P93" s="82" t="n"/>
      <c r="Q93" s="82" t="n"/>
      <c r="R93" s="82" t="n"/>
      <c r="S93" s="82" t="n"/>
      <c r="T93" s="82" t="n"/>
      <c r="U93" s="82" t="n"/>
      <c r="V93" s="82" t="n"/>
      <c r="W93" s="82" t="n"/>
      <c r="X93" s="82" t="n"/>
      <c r="Y93" s="82" t="n"/>
      <c r="Z93" s="82" t="n"/>
    </row>
    <row r="94" ht="15.75" customHeight="1" s="83">
      <c r="A94" s="82" t="n"/>
      <c r="B94" s="82" t="n"/>
      <c r="C94" s="82" t="n"/>
      <c r="D94" s="82" t="n"/>
      <c r="E94" s="81" t="n"/>
      <c r="F94" s="82" t="n"/>
      <c r="G94" s="82" t="n"/>
      <c r="H94" s="82" t="n"/>
      <c r="I94" s="82" t="n"/>
      <c r="J94" s="82" t="n"/>
      <c r="K94" s="82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82" t="n"/>
      <c r="V94" s="82" t="n"/>
      <c r="W94" s="82" t="n"/>
      <c r="X94" s="82" t="n"/>
      <c r="Y94" s="82" t="n"/>
      <c r="Z94" s="82" t="n"/>
    </row>
    <row r="95" ht="15.75" customHeight="1" s="83">
      <c r="A95" s="82" t="n"/>
      <c r="B95" s="82" t="n"/>
      <c r="C95" s="82" t="n"/>
      <c r="D95" s="82" t="n"/>
      <c r="E95" s="81" t="n"/>
      <c r="F95" s="82" t="n"/>
      <c r="G95" s="82" t="n"/>
      <c r="H95" s="82" t="n"/>
      <c r="I95" s="82" t="n"/>
      <c r="J95" s="82" t="n"/>
      <c r="K95" s="82" t="n"/>
      <c r="L95" s="82" t="n"/>
      <c r="M95" s="82" t="n"/>
      <c r="N95" s="82" t="n"/>
      <c r="O95" s="82" t="n"/>
      <c r="P95" s="82" t="n"/>
      <c r="Q95" s="82" t="n"/>
      <c r="R95" s="82" t="n"/>
      <c r="S95" s="82" t="n"/>
      <c r="T95" s="82" t="n"/>
      <c r="U95" s="82" t="n"/>
      <c r="V95" s="82" t="n"/>
      <c r="W95" s="82" t="n"/>
      <c r="X95" s="82" t="n"/>
      <c r="Y95" s="82" t="n"/>
      <c r="Z95" s="82" t="n"/>
    </row>
    <row r="96" ht="15.75" customHeight="1" s="83">
      <c r="A96" s="82" t="n"/>
      <c r="B96" s="82" t="n"/>
      <c r="C96" s="82" t="n"/>
      <c r="D96" s="82" t="n"/>
      <c r="E96" s="81" t="n"/>
      <c r="F96" s="82" t="n"/>
      <c r="G96" s="82" t="n"/>
      <c r="H96" s="82" t="n"/>
      <c r="I96" s="82" t="n"/>
      <c r="J96" s="82" t="n"/>
      <c r="K96" s="82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82" t="n"/>
      <c r="V96" s="82" t="n"/>
      <c r="W96" s="82" t="n"/>
      <c r="X96" s="82" t="n"/>
      <c r="Y96" s="82" t="n"/>
      <c r="Z96" s="82" t="n"/>
    </row>
    <row r="97" ht="15.75" customHeight="1" s="83">
      <c r="A97" s="82" t="n"/>
      <c r="B97" s="82" t="n"/>
      <c r="C97" s="82" t="n"/>
      <c r="D97" s="82" t="n"/>
      <c r="E97" s="81" t="n"/>
      <c r="F97" s="82" t="n"/>
      <c r="G97" s="82" t="n"/>
      <c r="H97" s="82" t="n"/>
      <c r="I97" s="82" t="n"/>
      <c r="J97" s="82" t="n"/>
      <c r="K97" s="82" t="n"/>
      <c r="L97" s="82" t="n"/>
      <c r="M97" s="82" t="n"/>
      <c r="N97" s="82" t="n"/>
      <c r="O97" s="82" t="n"/>
      <c r="P97" s="82" t="n"/>
      <c r="Q97" s="82" t="n"/>
      <c r="R97" s="82" t="n"/>
      <c r="S97" s="82" t="n"/>
      <c r="T97" s="82" t="n"/>
      <c r="U97" s="82" t="n"/>
      <c r="V97" s="82" t="n"/>
      <c r="W97" s="82" t="n"/>
      <c r="X97" s="82" t="n"/>
      <c r="Y97" s="82" t="n"/>
      <c r="Z97" s="82" t="n"/>
    </row>
    <row r="98" ht="15.75" customHeight="1" s="83">
      <c r="A98" s="82" t="n"/>
      <c r="B98" s="82" t="n"/>
      <c r="C98" s="82" t="n"/>
      <c r="D98" s="82" t="n"/>
      <c r="E98" s="81" t="n"/>
      <c r="F98" s="82" t="n"/>
      <c r="G98" s="82" t="n"/>
      <c r="H98" s="82" t="n"/>
      <c r="I98" s="82" t="n"/>
      <c r="J98" s="82" t="n"/>
      <c r="K98" s="82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82" t="n"/>
      <c r="V98" s="82" t="n"/>
      <c r="W98" s="82" t="n"/>
      <c r="X98" s="82" t="n"/>
      <c r="Y98" s="82" t="n"/>
      <c r="Z98" s="82" t="n"/>
    </row>
    <row r="99" ht="15.75" customHeight="1" s="83">
      <c r="A99" s="82" t="n"/>
      <c r="B99" s="82" t="n"/>
      <c r="C99" s="82" t="n"/>
      <c r="D99" s="82" t="n"/>
      <c r="E99" s="81" t="n"/>
      <c r="F99" s="82" t="n"/>
      <c r="G99" s="82" t="n"/>
      <c r="H99" s="82" t="n"/>
      <c r="I99" s="82" t="n"/>
      <c r="J99" s="82" t="n"/>
      <c r="K99" s="82" t="n"/>
      <c r="L99" s="82" t="n"/>
      <c r="M99" s="82" t="n"/>
      <c r="N99" s="82" t="n"/>
      <c r="O99" s="82" t="n"/>
      <c r="P99" s="82" t="n"/>
      <c r="Q99" s="82" t="n"/>
      <c r="R99" s="82" t="n"/>
      <c r="S99" s="82" t="n"/>
      <c r="T99" s="82" t="n"/>
      <c r="U99" s="82" t="n"/>
      <c r="V99" s="82" t="n"/>
      <c r="W99" s="82" t="n"/>
      <c r="X99" s="82" t="n"/>
      <c r="Y99" s="82" t="n"/>
      <c r="Z99" s="82" t="n"/>
    </row>
    <row r="100" ht="15.75" customHeight="1" s="83">
      <c r="A100" s="82" t="n"/>
      <c r="B100" s="82" t="n"/>
      <c r="C100" s="82" t="n"/>
      <c r="D100" s="82" t="n"/>
      <c r="E100" s="81" t="n"/>
      <c r="F100" s="82" t="n"/>
      <c r="G100" s="82" t="n"/>
      <c r="H100" s="82" t="n"/>
      <c r="I100" s="82" t="n"/>
      <c r="J100" s="82" t="n"/>
      <c r="K100" s="82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82" t="n"/>
      <c r="V100" s="82" t="n"/>
      <c r="W100" s="82" t="n"/>
      <c r="X100" s="82" t="n"/>
      <c r="Y100" s="82" t="n"/>
      <c r="Z100" s="82" t="n"/>
    </row>
    <row r="101" ht="15.75" customHeight="1" s="83">
      <c r="A101" s="82" t="n"/>
      <c r="B101" s="82" t="n"/>
      <c r="C101" s="82" t="n"/>
      <c r="D101" s="82" t="n"/>
      <c r="E101" s="81" t="n"/>
      <c r="F101" s="82" t="n"/>
      <c r="G101" s="82" t="n"/>
      <c r="H101" s="82" t="n"/>
      <c r="I101" s="82" t="n"/>
      <c r="J101" s="82" t="n"/>
      <c r="K101" s="82" t="n"/>
      <c r="L101" s="82" t="n"/>
      <c r="M101" s="82" t="n"/>
      <c r="N101" s="82" t="n"/>
      <c r="O101" s="82" t="n"/>
      <c r="P101" s="82" t="n"/>
      <c r="Q101" s="82" t="n"/>
      <c r="R101" s="82" t="n"/>
      <c r="S101" s="82" t="n"/>
      <c r="T101" s="82" t="n"/>
      <c r="U101" s="82" t="n"/>
      <c r="V101" s="82" t="n"/>
      <c r="W101" s="82" t="n"/>
      <c r="X101" s="82" t="n"/>
      <c r="Y101" s="82" t="n"/>
      <c r="Z101" s="82" t="n"/>
    </row>
    <row r="102" ht="15.75" customHeight="1" s="83">
      <c r="A102" s="82" t="n"/>
      <c r="B102" s="82" t="n"/>
      <c r="C102" s="82" t="n"/>
      <c r="D102" s="82" t="n"/>
      <c r="E102" s="81" t="n"/>
      <c r="F102" s="82" t="n"/>
      <c r="G102" s="82" t="n"/>
      <c r="H102" s="82" t="n"/>
      <c r="I102" s="82" t="n"/>
      <c r="J102" s="82" t="n"/>
      <c r="K102" s="82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82" t="n"/>
      <c r="V102" s="82" t="n"/>
      <c r="W102" s="82" t="n"/>
      <c r="X102" s="82" t="n"/>
      <c r="Y102" s="82" t="n"/>
      <c r="Z102" s="82" t="n"/>
    </row>
    <row r="103" ht="15.75" customHeight="1" s="83">
      <c r="A103" s="82" t="n"/>
      <c r="B103" s="82" t="n"/>
      <c r="C103" s="82" t="n"/>
      <c r="D103" s="82" t="n"/>
      <c r="E103" s="81" t="n"/>
      <c r="F103" s="82" t="n"/>
      <c r="G103" s="82" t="n"/>
      <c r="H103" s="82" t="n"/>
      <c r="I103" s="82" t="n"/>
      <c r="J103" s="82" t="n"/>
      <c r="K103" s="82" t="n"/>
      <c r="L103" s="82" t="n"/>
      <c r="M103" s="82" t="n"/>
      <c r="N103" s="82" t="n"/>
      <c r="O103" s="82" t="n"/>
      <c r="P103" s="82" t="n"/>
      <c r="Q103" s="82" t="n"/>
      <c r="R103" s="82" t="n"/>
      <c r="S103" s="82" t="n"/>
      <c r="T103" s="82" t="n"/>
      <c r="U103" s="82" t="n"/>
      <c r="V103" s="82" t="n"/>
      <c r="W103" s="82" t="n"/>
      <c r="X103" s="82" t="n"/>
      <c r="Y103" s="82" t="n"/>
      <c r="Z103" s="82" t="n"/>
    </row>
    <row r="104" ht="15.75" customHeight="1" s="83">
      <c r="A104" s="82" t="n"/>
      <c r="B104" s="82" t="n"/>
      <c r="C104" s="82" t="n"/>
      <c r="D104" s="82" t="n"/>
      <c r="E104" s="81" t="n"/>
      <c r="F104" s="82" t="n"/>
      <c r="G104" s="82" t="n"/>
      <c r="H104" s="82" t="n"/>
      <c r="I104" s="82" t="n"/>
      <c r="J104" s="82" t="n"/>
      <c r="K104" s="82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82" t="n"/>
      <c r="V104" s="82" t="n"/>
      <c r="W104" s="82" t="n"/>
      <c r="X104" s="82" t="n"/>
      <c r="Y104" s="82" t="n"/>
      <c r="Z104" s="82" t="n"/>
    </row>
    <row r="105" ht="15.75" customHeight="1" s="83">
      <c r="A105" s="82" t="n"/>
      <c r="B105" s="82" t="n"/>
      <c r="C105" s="82" t="n"/>
      <c r="D105" s="82" t="n"/>
      <c r="E105" s="81" t="n"/>
      <c r="F105" s="82" t="n"/>
      <c r="G105" s="82" t="n"/>
      <c r="H105" s="82" t="n"/>
      <c r="I105" s="82" t="n"/>
      <c r="J105" s="82" t="n"/>
      <c r="K105" s="82" t="n"/>
      <c r="L105" s="82" t="n"/>
      <c r="M105" s="82" t="n"/>
      <c r="N105" s="82" t="n"/>
      <c r="O105" s="82" t="n"/>
      <c r="P105" s="82" t="n"/>
      <c r="Q105" s="82" t="n"/>
      <c r="R105" s="82" t="n"/>
      <c r="S105" s="82" t="n"/>
      <c r="T105" s="82" t="n"/>
      <c r="U105" s="82" t="n"/>
      <c r="V105" s="82" t="n"/>
      <c r="W105" s="82" t="n"/>
      <c r="X105" s="82" t="n"/>
      <c r="Y105" s="82" t="n"/>
      <c r="Z105" s="82" t="n"/>
    </row>
    <row r="106" ht="15.75" customHeight="1" s="83">
      <c r="A106" s="82" t="n"/>
      <c r="B106" s="82" t="n"/>
      <c r="C106" s="82" t="n"/>
      <c r="D106" s="82" t="n"/>
      <c r="E106" s="81" t="n"/>
      <c r="F106" s="82" t="n"/>
      <c r="G106" s="82" t="n"/>
      <c r="H106" s="82" t="n"/>
      <c r="I106" s="82" t="n"/>
      <c r="J106" s="82" t="n"/>
      <c r="K106" s="82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82" t="n"/>
      <c r="V106" s="82" t="n"/>
      <c r="W106" s="82" t="n"/>
      <c r="X106" s="82" t="n"/>
      <c r="Y106" s="82" t="n"/>
      <c r="Z106" s="82" t="n"/>
    </row>
    <row r="107" ht="15.75" customHeight="1" s="83">
      <c r="A107" s="82" t="n"/>
      <c r="B107" s="82" t="n"/>
      <c r="C107" s="82" t="n"/>
      <c r="D107" s="82" t="n"/>
      <c r="E107" s="81" t="n"/>
      <c r="F107" s="82" t="n"/>
      <c r="G107" s="82" t="n"/>
      <c r="H107" s="82" t="n"/>
      <c r="I107" s="82" t="n"/>
      <c r="J107" s="82" t="n"/>
      <c r="K107" s="82" t="n"/>
      <c r="L107" s="82" t="n"/>
      <c r="M107" s="82" t="n"/>
      <c r="N107" s="82" t="n"/>
      <c r="O107" s="82" t="n"/>
      <c r="P107" s="82" t="n"/>
      <c r="Q107" s="82" t="n"/>
      <c r="R107" s="82" t="n"/>
      <c r="S107" s="82" t="n"/>
      <c r="T107" s="82" t="n"/>
      <c r="U107" s="82" t="n"/>
      <c r="V107" s="82" t="n"/>
      <c r="W107" s="82" t="n"/>
      <c r="X107" s="82" t="n"/>
      <c r="Y107" s="82" t="n"/>
      <c r="Z107" s="82" t="n"/>
    </row>
    <row r="108" ht="15.75" customHeight="1" s="83">
      <c r="A108" s="82" t="n"/>
      <c r="B108" s="82" t="n"/>
      <c r="C108" s="82" t="n"/>
      <c r="D108" s="82" t="n"/>
      <c r="E108" s="81" t="n"/>
      <c r="F108" s="82" t="n"/>
      <c r="G108" s="82" t="n"/>
      <c r="H108" s="82" t="n"/>
      <c r="I108" s="82" t="n"/>
      <c r="J108" s="82" t="n"/>
      <c r="K108" s="82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2" t="n"/>
      <c r="W108" s="82" t="n"/>
      <c r="X108" s="82" t="n"/>
      <c r="Y108" s="82" t="n"/>
      <c r="Z108" s="82" t="n"/>
    </row>
    <row r="109" ht="15.75" customHeight="1" s="83">
      <c r="A109" s="82" t="n"/>
      <c r="B109" s="82" t="n"/>
      <c r="C109" s="82" t="n"/>
      <c r="D109" s="82" t="n"/>
      <c r="E109" s="81" t="n"/>
      <c r="F109" s="82" t="n"/>
      <c r="G109" s="82" t="n"/>
      <c r="H109" s="82" t="n"/>
      <c r="I109" s="82" t="n"/>
      <c r="J109" s="82" t="n"/>
      <c r="K109" s="82" t="n"/>
      <c r="L109" s="82" t="n"/>
      <c r="M109" s="82" t="n"/>
      <c r="N109" s="82" t="n"/>
      <c r="O109" s="82" t="n"/>
      <c r="P109" s="82" t="n"/>
      <c r="Q109" s="82" t="n"/>
      <c r="R109" s="82" t="n"/>
      <c r="S109" s="82" t="n"/>
      <c r="T109" s="82" t="n"/>
      <c r="U109" s="82" t="n"/>
      <c r="V109" s="82" t="n"/>
      <c r="W109" s="82" t="n"/>
      <c r="X109" s="82" t="n"/>
      <c r="Y109" s="82" t="n"/>
      <c r="Z109" s="82" t="n"/>
    </row>
    <row r="110" ht="15.75" customHeight="1" s="83">
      <c r="A110" s="82" t="n"/>
      <c r="B110" s="82" t="n"/>
      <c r="C110" s="82" t="n"/>
      <c r="D110" s="82" t="n"/>
      <c r="E110" s="81" t="n"/>
      <c r="F110" s="82" t="n"/>
      <c r="G110" s="82" t="n"/>
      <c r="H110" s="82" t="n"/>
      <c r="I110" s="82" t="n"/>
      <c r="J110" s="82" t="n"/>
      <c r="K110" s="82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82" t="n"/>
      <c r="V110" s="82" t="n"/>
      <c r="W110" s="82" t="n"/>
      <c r="X110" s="82" t="n"/>
      <c r="Y110" s="82" t="n"/>
      <c r="Z110" s="82" t="n"/>
    </row>
    <row r="111" ht="15.75" customHeight="1" s="83">
      <c r="A111" s="82" t="n"/>
      <c r="B111" s="82" t="n"/>
      <c r="C111" s="82" t="n"/>
      <c r="D111" s="82" t="n"/>
      <c r="E111" s="81" t="n"/>
      <c r="F111" s="82" t="n"/>
      <c r="G111" s="82" t="n"/>
      <c r="H111" s="82" t="n"/>
      <c r="I111" s="82" t="n"/>
      <c r="J111" s="82" t="n"/>
      <c r="K111" s="82" t="n"/>
      <c r="L111" s="82" t="n"/>
      <c r="M111" s="82" t="n"/>
      <c r="N111" s="82" t="n"/>
      <c r="O111" s="82" t="n"/>
      <c r="P111" s="82" t="n"/>
      <c r="Q111" s="82" t="n"/>
      <c r="R111" s="82" t="n"/>
      <c r="S111" s="82" t="n"/>
      <c r="T111" s="82" t="n"/>
      <c r="U111" s="82" t="n"/>
      <c r="V111" s="82" t="n"/>
      <c r="W111" s="82" t="n"/>
      <c r="X111" s="82" t="n"/>
      <c r="Y111" s="82" t="n"/>
      <c r="Z111" s="82" t="n"/>
    </row>
    <row r="112" ht="15.75" customHeight="1" s="83">
      <c r="A112" s="82" t="n"/>
      <c r="B112" s="82" t="n"/>
      <c r="C112" s="82" t="n"/>
      <c r="D112" s="82" t="n"/>
      <c r="E112" s="81" t="n"/>
      <c r="F112" s="82" t="n"/>
      <c r="G112" s="82" t="n"/>
      <c r="H112" s="82" t="n"/>
      <c r="I112" s="82" t="n"/>
      <c r="J112" s="82" t="n"/>
      <c r="K112" s="82" t="n"/>
      <c r="L112" s="82" t="n"/>
      <c r="M112" s="82" t="n"/>
      <c r="N112" s="82" t="n"/>
      <c r="O112" s="82" t="n"/>
      <c r="P112" s="82" t="n"/>
      <c r="Q112" s="82" t="n"/>
      <c r="R112" s="82" t="n"/>
      <c r="S112" s="82" t="n"/>
      <c r="T112" s="82" t="n"/>
      <c r="U112" s="82" t="n"/>
      <c r="V112" s="82" t="n"/>
      <c r="W112" s="82" t="n"/>
      <c r="X112" s="82" t="n"/>
      <c r="Y112" s="82" t="n"/>
      <c r="Z112" s="82" t="n"/>
    </row>
    <row r="113" ht="15.75" customHeight="1" s="83">
      <c r="A113" s="82" t="n"/>
      <c r="B113" s="82" t="n"/>
      <c r="C113" s="82" t="n"/>
      <c r="D113" s="82" t="n"/>
      <c r="E113" s="81" t="n"/>
      <c r="F113" s="82" t="n"/>
      <c r="G113" s="82" t="n"/>
      <c r="H113" s="82" t="n"/>
      <c r="I113" s="82" t="n"/>
      <c r="J113" s="82" t="n"/>
      <c r="K113" s="82" t="n"/>
      <c r="L113" s="82" t="n"/>
      <c r="M113" s="82" t="n"/>
      <c r="N113" s="82" t="n"/>
      <c r="O113" s="82" t="n"/>
      <c r="P113" s="82" t="n"/>
      <c r="Q113" s="82" t="n"/>
      <c r="R113" s="82" t="n"/>
      <c r="S113" s="82" t="n"/>
      <c r="T113" s="82" t="n"/>
      <c r="U113" s="82" t="n"/>
      <c r="V113" s="82" t="n"/>
      <c r="W113" s="82" t="n"/>
      <c r="X113" s="82" t="n"/>
      <c r="Y113" s="82" t="n"/>
      <c r="Z113" s="82" t="n"/>
    </row>
    <row r="114" ht="15.75" customHeight="1" s="83">
      <c r="A114" s="82" t="n"/>
      <c r="B114" s="82" t="n"/>
      <c r="C114" s="82" t="n"/>
      <c r="D114" s="82" t="n"/>
      <c r="E114" s="81" t="n"/>
      <c r="F114" s="82" t="n"/>
      <c r="G114" s="82" t="n"/>
      <c r="H114" s="82" t="n"/>
      <c r="I114" s="82" t="n"/>
      <c r="J114" s="82" t="n"/>
      <c r="K114" s="82" t="n"/>
      <c r="L114" s="82" t="n"/>
      <c r="M114" s="82" t="n"/>
      <c r="N114" s="82" t="n"/>
      <c r="O114" s="82" t="n"/>
      <c r="P114" s="82" t="n"/>
      <c r="Q114" s="82" t="n"/>
      <c r="R114" s="82" t="n"/>
      <c r="S114" s="82" t="n"/>
      <c r="T114" s="82" t="n"/>
      <c r="U114" s="82" t="n"/>
      <c r="V114" s="82" t="n"/>
      <c r="W114" s="82" t="n"/>
      <c r="X114" s="82" t="n"/>
      <c r="Y114" s="82" t="n"/>
      <c r="Z114" s="82" t="n"/>
    </row>
    <row r="115" ht="15.75" customHeight="1" s="83">
      <c r="A115" s="82" t="n"/>
      <c r="B115" s="82" t="n"/>
      <c r="C115" s="82" t="n"/>
      <c r="D115" s="82" t="n"/>
      <c r="E115" s="81" t="n"/>
      <c r="F115" s="82" t="n"/>
      <c r="G115" s="82" t="n"/>
      <c r="H115" s="82" t="n"/>
      <c r="I115" s="82" t="n"/>
      <c r="J115" s="82" t="n"/>
      <c r="K115" s="82" t="n"/>
      <c r="L115" s="82" t="n"/>
      <c r="M115" s="82" t="n"/>
      <c r="N115" s="82" t="n"/>
      <c r="O115" s="82" t="n"/>
      <c r="P115" s="82" t="n"/>
      <c r="Q115" s="82" t="n"/>
      <c r="R115" s="82" t="n"/>
      <c r="S115" s="82" t="n"/>
      <c r="T115" s="82" t="n"/>
      <c r="U115" s="82" t="n"/>
      <c r="V115" s="82" t="n"/>
      <c r="W115" s="82" t="n"/>
      <c r="X115" s="82" t="n"/>
      <c r="Y115" s="82" t="n"/>
      <c r="Z115" s="82" t="n"/>
    </row>
    <row r="116" ht="15.75" customHeight="1" s="83">
      <c r="A116" s="82" t="n"/>
      <c r="B116" s="82" t="n"/>
      <c r="C116" s="82" t="n"/>
      <c r="D116" s="82" t="n"/>
      <c r="E116" s="81" t="n"/>
      <c r="F116" s="82" t="n"/>
      <c r="G116" s="82" t="n"/>
      <c r="H116" s="82" t="n"/>
      <c r="I116" s="82" t="n"/>
      <c r="J116" s="82" t="n"/>
      <c r="K116" s="82" t="n"/>
      <c r="L116" s="82" t="n"/>
      <c r="M116" s="82" t="n"/>
      <c r="N116" s="82" t="n"/>
      <c r="O116" s="82" t="n"/>
      <c r="P116" s="82" t="n"/>
      <c r="Q116" s="82" t="n"/>
      <c r="R116" s="82" t="n"/>
      <c r="S116" s="82" t="n"/>
      <c r="T116" s="82" t="n"/>
      <c r="U116" s="82" t="n"/>
      <c r="V116" s="82" t="n"/>
      <c r="W116" s="82" t="n"/>
      <c r="X116" s="82" t="n"/>
      <c r="Y116" s="82" t="n"/>
      <c r="Z116" s="82" t="n"/>
    </row>
    <row r="117" ht="15.75" customHeight="1" s="83">
      <c r="A117" s="82" t="n"/>
      <c r="B117" s="82" t="n"/>
      <c r="C117" s="82" t="n"/>
      <c r="D117" s="82" t="n"/>
      <c r="E117" s="81" t="n"/>
      <c r="F117" s="82" t="n"/>
      <c r="G117" s="82" t="n"/>
      <c r="H117" s="82" t="n"/>
      <c r="I117" s="82" t="n"/>
      <c r="J117" s="82" t="n"/>
      <c r="K117" s="82" t="n"/>
      <c r="L117" s="82" t="n"/>
      <c r="M117" s="82" t="n"/>
      <c r="N117" s="82" t="n"/>
      <c r="O117" s="82" t="n"/>
      <c r="P117" s="82" t="n"/>
      <c r="Q117" s="82" t="n"/>
      <c r="R117" s="82" t="n"/>
      <c r="S117" s="82" t="n"/>
      <c r="T117" s="82" t="n"/>
      <c r="U117" s="82" t="n"/>
      <c r="V117" s="82" t="n"/>
      <c r="W117" s="82" t="n"/>
      <c r="X117" s="82" t="n"/>
      <c r="Y117" s="82" t="n"/>
      <c r="Z117" s="82" t="n"/>
    </row>
    <row r="118" ht="15.75" customHeight="1" s="83">
      <c r="A118" s="82" t="n"/>
      <c r="B118" s="82" t="n"/>
      <c r="C118" s="82" t="n"/>
      <c r="D118" s="82" t="n"/>
      <c r="E118" s="81" t="n"/>
      <c r="F118" s="82" t="n"/>
      <c r="G118" s="82" t="n"/>
      <c r="H118" s="82" t="n"/>
      <c r="I118" s="82" t="n"/>
      <c r="J118" s="82" t="n"/>
      <c r="K118" s="82" t="n"/>
      <c r="L118" s="82" t="n"/>
      <c r="M118" s="82" t="n"/>
      <c r="N118" s="82" t="n"/>
      <c r="O118" s="82" t="n"/>
      <c r="P118" s="82" t="n"/>
      <c r="Q118" s="82" t="n"/>
      <c r="R118" s="82" t="n"/>
      <c r="S118" s="82" t="n"/>
      <c r="T118" s="82" t="n"/>
      <c r="U118" s="82" t="n"/>
      <c r="V118" s="82" t="n"/>
      <c r="W118" s="82" t="n"/>
      <c r="X118" s="82" t="n"/>
      <c r="Y118" s="82" t="n"/>
      <c r="Z118" s="82" t="n"/>
    </row>
    <row r="119" ht="15.75" customHeight="1" s="83">
      <c r="A119" s="82" t="n"/>
      <c r="B119" s="82" t="n"/>
      <c r="C119" s="82" t="n"/>
      <c r="D119" s="82" t="n"/>
      <c r="E119" s="81" t="n"/>
      <c r="F119" s="82" t="n"/>
      <c r="G119" s="82" t="n"/>
      <c r="H119" s="82" t="n"/>
      <c r="I119" s="82" t="n"/>
      <c r="J119" s="82" t="n"/>
      <c r="K119" s="82" t="n"/>
      <c r="L119" s="82" t="n"/>
      <c r="M119" s="82" t="n"/>
      <c r="N119" s="82" t="n"/>
      <c r="O119" s="82" t="n"/>
      <c r="P119" s="82" t="n"/>
      <c r="Q119" s="82" t="n"/>
      <c r="R119" s="82" t="n"/>
      <c r="S119" s="82" t="n"/>
      <c r="T119" s="82" t="n"/>
      <c r="U119" s="82" t="n"/>
      <c r="V119" s="82" t="n"/>
      <c r="W119" s="82" t="n"/>
      <c r="X119" s="82" t="n"/>
      <c r="Y119" s="82" t="n"/>
      <c r="Z119" s="82" t="n"/>
    </row>
    <row r="120" ht="15.75" customHeight="1" s="83">
      <c r="A120" s="82" t="n"/>
      <c r="B120" s="82" t="n"/>
      <c r="C120" s="82" t="n"/>
      <c r="D120" s="82" t="n"/>
      <c r="E120" s="81" t="n"/>
      <c r="F120" s="82" t="n"/>
      <c r="G120" s="82" t="n"/>
      <c r="H120" s="82" t="n"/>
      <c r="I120" s="82" t="n"/>
      <c r="J120" s="82" t="n"/>
      <c r="K120" s="82" t="n"/>
      <c r="L120" s="82" t="n"/>
      <c r="M120" s="82" t="n"/>
      <c r="N120" s="82" t="n"/>
      <c r="O120" s="82" t="n"/>
      <c r="P120" s="82" t="n"/>
      <c r="Q120" s="82" t="n"/>
      <c r="R120" s="82" t="n"/>
      <c r="S120" s="82" t="n"/>
      <c r="T120" s="82" t="n"/>
      <c r="U120" s="82" t="n"/>
      <c r="V120" s="82" t="n"/>
      <c r="W120" s="82" t="n"/>
      <c r="X120" s="82" t="n"/>
      <c r="Y120" s="82" t="n"/>
      <c r="Z120" s="82" t="n"/>
    </row>
    <row r="121" ht="15.75" customHeight="1" s="83">
      <c r="A121" s="82" t="n"/>
      <c r="B121" s="82" t="n"/>
      <c r="C121" s="82" t="n"/>
      <c r="D121" s="82" t="n"/>
      <c r="E121" s="81" t="n"/>
      <c r="F121" s="82" t="n"/>
      <c r="G121" s="82" t="n"/>
      <c r="H121" s="82" t="n"/>
      <c r="I121" s="82" t="n"/>
      <c r="J121" s="82" t="n"/>
      <c r="K121" s="82" t="n"/>
      <c r="L121" s="82" t="n"/>
      <c r="M121" s="82" t="n"/>
      <c r="N121" s="82" t="n"/>
      <c r="O121" s="82" t="n"/>
      <c r="P121" s="82" t="n"/>
      <c r="Q121" s="82" t="n"/>
      <c r="R121" s="82" t="n"/>
      <c r="S121" s="82" t="n"/>
      <c r="T121" s="82" t="n"/>
      <c r="U121" s="82" t="n"/>
      <c r="V121" s="82" t="n"/>
      <c r="W121" s="82" t="n"/>
      <c r="X121" s="82" t="n"/>
      <c r="Y121" s="82" t="n"/>
      <c r="Z121" s="82" t="n"/>
    </row>
    <row r="122" ht="15.75" customHeight="1" s="83">
      <c r="A122" s="82" t="n"/>
      <c r="B122" s="82" t="n"/>
      <c r="C122" s="82" t="n"/>
      <c r="D122" s="82" t="n"/>
      <c r="E122" s="81" t="n"/>
      <c r="F122" s="82" t="n"/>
      <c r="G122" s="82" t="n"/>
      <c r="H122" s="82" t="n"/>
      <c r="I122" s="82" t="n"/>
      <c r="J122" s="82" t="n"/>
      <c r="K122" s="82" t="n"/>
      <c r="L122" s="82" t="n"/>
      <c r="M122" s="82" t="n"/>
      <c r="N122" s="82" t="n"/>
      <c r="O122" s="82" t="n"/>
      <c r="P122" s="82" t="n"/>
      <c r="Q122" s="82" t="n"/>
      <c r="R122" s="82" t="n"/>
      <c r="S122" s="82" t="n"/>
      <c r="T122" s="82" t="n"/>
      <c r="U122" s="82" t="n"/>
      <c r="V122" s="82" t="n"/>
      <c r="W122" s="82" t="n"/>
      <c r="X122" s="82" t="n"/>
      <c r="Y122" s="82" t="n"/>
      <c r="Z122" s="82" t="n"/>
    </row>
    <row r="123" ht="15.75" customHeight="1" s="83">
      <c r="A123" s="82" t="n"/>
      <c r="B123" s="82" t="n"/>
      <c r="C123" s="82" t="n"/>
      <c r="D123" s="82" t="n"/>
      <c r="E123" s="81" t="n"/>
      <c r="F123" s="82" t="n"/>
      <c r="G123" s="82" t="n"/>
      <c r="H123" s="82" t="n"/>
      <c r="I123" s="82" t="n"/>
      <c r="J123" s="82" t="n"/>
      <c r="K123" s="82" t="n"/>
      <c r="L123" s="82" t="n"/>
      <c r="M123" s="82" t="n"/>
      <c r="N123" s="82" t="n"/>
      <c r="O123" s="82" t="n"/>
      <c r="P123" s="82" t="n"/>
      <c r="Q123" s="82" t="n"/>
      <c r="R123" s="82" t="n"/>
      <c r="S123" s="82" t="n"/>
      <c r="T123" s="82" t="n"/>
      <c r="U123" s="82" t="n"/>
      <c r="V123" s="82" t="n"/>
      <c r="W123" s="82" t="n"/>
      <c r="X123" s="82" t="n"/>
      <c r="Y123" s="82" t="n"/>
      <c r="Z123" s="82" t="n"/>
    </row>
    <row r="124" ht="15.75" customHeight="1" s="83">
      <c r="A124" s="82" t="n"/>
      <c r="B124" s="82" t="n"/>
      <c r="C124" s="82" t="n"/>
      <c r="D124" s="82" t="n"/>
      <c r="E124" s="81" t="n"/>
      <c r="F124" s="82" t="n"/>
      <c r="G124" s="82" t="n"/>
      <c r="H124" s="82" t="n"/>
      <c r="I124" s="82" t="n"/>
      <c r="J124" s="82" t="n"/>
      <c r="K124" s="82" t="n"/>
      <c r="L124" s="82" t="n"/>
      <c r="M124" s="82" t="n"/>
      <c r="N124" s="82" t="n"/>
      <c r="O124" s="82" t="n"/>
      <c r="P124" s="82" t="n"/>
      <c r="Q124" s="82" t="n"/>
      <c r="R124" s="82" t="n"/>
      <c r="S124" s="82" t="n"/>
      <c r="T124" s="82" t="n"/>
      <c r="U124" s="82" t="n"/>
      <c r="V124" s="82" t="n"/>
      <c r="W124" s="82" t="n"/>
      <c r="X124" s="82" t="n"/>
      <c r="Y124" s="82" t="n"/>
      <c r="Z124" s="82" t="n"/>
    </row>
    <row r="125" ht="15.75" customHeight="1" s="83">
      <c r="A125" s="82" t="n"/>
      <c r="B125" s="82" t="n"/>
      <c r="C125" s="82" t="n"/>
      <c r="D125" s="82" t="n"/>
      <c r="E125" s="81" t="n"/>
      <c r="F125" s="82" t="n"/>
      <c r="G125" s="82" t="n"/>
      <c r="H125" s="82" t="n"/>
      <c r="I125" s="82" t="n"/>
      <c r="J125" s="82" t="n"/>
      <c r="K125" s="82" t="n"/>
      <c r="L125" s="82" t="n"/>
      <c r="M125" s="82" t="n"/>
      <c r="N125" s="82" t="n"/>
      <c r="O125" s="82" t="n"/>
      <c r="P125" s="82" t="n"/>
      <c r="Q125" s="82" t="n"/>
      <c r="R125" s="82" t="n"/>
      <c r="S125" s="82" t="n"/>
      <c r="T125" s="82" t="n"/>
      <c r="U125" s="82" t="n"/>
      <c r="V125" s="82" t="n"/>
      <c r="W125" s="82" t="n"/>
      <c r="X125" s="82" t="n"/>
      <c r="Y125" s="82" t="n"/>
      <c r="Z125" s="82" t="n"/>
    </row>
    <row r="126" ht="15.75" customHeight="1" s="83">
      <c r="A126" s="82" t="n"/>
      <c r="B126" s="82" t="n"/>
      <c r="C126" s="82" t="n"/>
      <c r="D126" s="82" t="n"/>
      <c r="E126" s="81" t="n"/>
      <c r="F126" s="82" t="n"/>
      <c r="G126" s="82" t="n"/>
      <c r="H126" s="82" t="n"/>
      <c r="I126" s="82" t="n"/>
      <c r="J126" s="82" t="n"/>
      <c r="K126" s="82" t="n"/>
      <c r="L126" s="82" t="n"/>
      <c r="M126" s="82" t="n"/>
      <c r="N126" s="82" t="n"/>
      <c r="O126" s="82" t="n"/>
      <c r="P126" s="82" t="n"/>
      <c r="Q126" s="82" t="n"/>
      <c r="R126" s="82" t="n"/>
      <c r="S126" s="82" t="n"/>
      <c r="T126" s="82" t="n"/>
      <c r="U126" s="82" t="n"/>
      <c r="V126" s="82" t="n"/>
      <c r="W126" s="82" t="n"/>
      <c r="X126" s="82" t="n"/>
      <c r="Y126" s="82" t="n"/>
      <c r="Z126" s="82" t="n"/>
    </row>
    <row r="127" ht="15.75" customHeight="1" s="83">
      <c r="A127" s="82" t="n"/>
      <c r="B127" s="82" t="n"/>
      <c r="C127" s="82" t="n"/>
      <c r="D127" s="82" t="n"/>
      <c r="E127" s="81" t="n"/>
      <c r="F127" s="82" t="n"/>
      <c r="G127" s="82" t="n"/>
      <c r="H127" s="82" t="n"/>
      <c r="I127" s="82" t="n"/>
      <c r="J127" s="82" t="n"/>
      <c r="K127" s="82" t="n"/>
      <c r="L127" s="82" t="n"/>
      <c r="M127" s="82" t="n"/>
      <c r="N127" s="82" t="n"/>
      <c r="O127" s="82" t="n"/>
      <c r="P127" s="82" t="n"/>
      <c r="Q127" s="82" t="n"/>
      <c r="R127" s="82" t="n"/>
      <c r="S127" s="82" t="n"/>
      <c r="T127" s="82" t="n"/>
      <c r="U127" s="82" t="n"/>
      <c r="V127" s="82" t="n"/>
      <c r="W127" s="82" t="n"/>
      <c r="X127" s="82" t="n"/>
      <c r="Y127" s="82" t="n"/>
      <c r="Z127" s="82" t="n"/>
    </row>
    <row r="128" ht="15.75" customHeight="1" s="83">
      <c r="A128" s="82" t="n"/>
      <c r="B128" s="82" t="n"/>
      <c r="C128" s="82" t="n"/>
      <c r="D128" s="82" t="n"/>
      <c r="E128" s="81" t="n"/>
      <c r="F128" s="82" t="n"/>
      <c r="G128" s="82" t="n"/>
      <c r="H128" s="82" t="n"/>
      <c r="I128" s="82" t="n"/>
      <c r="J128" s="82" t="n"/>
      <c r="K128" s="82" t="n"/>
      <c r="L128" s="82" t="n"/>
      <c r="M128" s="82" t="n"/>
      <c r="N128" s="82" t="n"/>
      <c r="O128" s="82" t="n"/>
      <c r="P128" s="82" t="n"/>
      <c r="Q128" s="82" t="n"/>
      <c r="R128" s="82" t="n"/>
      <c r="S128" s="82" t="n"/>
      <c r="T128" s="82" t="n"/>
      <c r="U128" s="82" t="n"/>
      <c r="V128" s="82" t="n"/>
      <c r="W128" s="82" t="n"/>
      <c r="X128" s="82" t="n"/>
      <c r="Y128" s="82" t="n"/>
      <c r="Z128" s="82" t="n"/>
    </row>
    <row r="129" ht="15.75" customHeight="1" s="83">
      <c r="A129" s="82" t="n"/>
      <c r="B129" s="82" t="n"/>
      <c r="C129" s="82" t="n"/>
      <c r="D129" s="82" t="n"/>
      <c r="E129" s="81" t="n"/>
      <c r="F129" s="82" t="n"/>
      <c r="G129" s="82" t="n"/>
      <c r="H129" s="82" t="n"/>
      <c r="I129" s="82" t="n"/>
      <c r="J129" s="82" t="n"/>
      <c r="K129" s="82" t="n"/>
      <c r="L129" s="82" t="n"/>
      <c r="M129" s="82" t="n"/>
      <c r="N129" s="82" t="n"/>
      <c r="O129" s="82" t="n"/>
      <c r="P129" s="82" t="n"/>
      <c r="Q129" s="82" t="n"/>
      <c r="R129" s="82" t="n"/>
      <c r="S129" s="82" t="n"/>
      <c r="T129" s="82" t="n"/>
      <c r="U129" s="82" t="n"/>
      <c r="V129" s="82" t="n"/>
      <c r="W129" s="82" t="n"/>
      <c r="X129" s="82" t="n"/>
      <c r="Y129" s="82" t="n"/>
      <c r="Z129" s="82" t="n"/>
    </row>
    <row r="130" ht="15.75" customHeight="1" s="83">
      <c r="A130" s="82" t="n"/>
      <c r="B130" s="82" t="n"/>
      <c r="C130" s="82" t="n"/>
      <c r="D130" s="82" t="n"/>
      <c r="E130" s="81" t="n"/>
      <c r="F130" s="82" t="n"/>
      <c r="G130" s="82" t="n"/>
      <c r="H130" s="82" t="n"/>
      <c r="I130" s="82" t="n"/>
      <c r="J130" s="82" t="n"/>
      <c r="K130" s="82" t="n"/>
      <c r="L130" s="82" t="n"/>
      <c r="M130" s="82" t="n"/>
      <c r="N130" s="82" t="n"/>
      <c r="O130" s="82" t="n"/>
      <c r="P130" s="82" t="n"/>
      <c r="Q130" s="82" t="n"/>
      <c r="R130" s="82" t="n"/>
      <c r="S130" s="82" t="n"/>
      <c r="T130" s="82" t="n"/>
      <c r="U130" s="82" t="n"/>
      <c r="V130" s="82" t="n"/>
      <c r="W130" s="82" t="n"/>
      <c r="X130" s="82" t="n"/>
      <c r="Y130" s="82" t="n"/>
      <c r="Z130" s="82" t="n"/>
    </row>
    <row r="131" ht="15.75" customHeight="1" s="83">
      <c r="A131" s="82" t="n"/>
      <c r="B131" s="82" t="n"/>
      <c r="C131" s="82" t="n"/>
      <c r="D131" s="82" t="n"/>
      <c r="E131" s="81" t="n"/>
      <c r="F131" s="82" t="n"/>
      <c r="G131" s="82" t="n"/>
      <c r="H131" s="82" t="n"/>
      <c r="I131" s="82" t="n"/>
      <c r="J131" s="82" t="n"/>
      <c r="K131" s="82" t="n"/>
      <c r="L131" s="82" t="n"/>
      <c r="M131" s="82" t="n"/>
      <c r="N131" s="82" t="n"/>
      <c r="O131" s="82" t="n"/>
      <c r="P131" s="82" t="n"/>
      <c r="Q131" s="82" t="n"/>
      <c r="R131" s="82" t="n"/>
      <c r="S131" s="82" t="n"/>
      <c r="T131" s="82" t="n"/>
      <c r="U131" s="82" t="n"/>
      <c r="V131" s="82" t="n"/>
      <c r="W131" s="82" t="n"/>
      <c r="X131" s="82" t="n"/>
      <c r="Y131" s="82" t="n"/>
      <c r="Z131" s="82" t="n"/>
    </row>
    <row r="132" ht="15.75" customHeight="1" s="83">
      <c r="A132" s="82" t="n"/>
      <c r="B132" s="82" t="n"/>
      <c r="C132" s="82" t="n"/>
      <c r="D132" s="82" t="n"/>
      <c r="E132" s="81" t="n"/>
      <c r="F132" s="82" t="n"/>
      <c r="G132" s="82" t="n"/>
      <c r="H132" s="82" t="n"/>
      <c r="I132" s="82" t="n"/>
      <c r="J132" s="82" t="n"/>
      <c r="K132" s="82" t="n"/>
      <c r="L132" s="82" t="n"/>
      <c r="M132" s="82" t="n"/>
      <c r="N132" s="82" t="n"/>
      <c r="O132" s="82" t="n"/>
      <c r="P132" s="82" t="n"/>
      <c r="Q132" s="82" t="n"/>
      <c r="R132" s="82" t="n"/>
      <c r="S132" s="82" t="n"/>
      <c r="T132" s="82" t="n"/>
      <c r="U132" s="82" t="n"/>
      <c r="V132" s="82" t="n"/>
      <c r="W132" s="82" t="n"/>
      <c r="X132" s="82" t="n"/>
      <c r="Y132" s="82" t="n"/>
      <c r="Z132" s="82" t="n"/>
    </row>
    <row r="133" ht="15.75" customHeight="1" s="83">
      <c r="A133" s="82" t="n"/>
      <c r="B133" s="82" t="n"/>
      <c r="C133" s="82" t="n"/>
      <c r="D133" s="82" t="n"/>
      <c r="E133" s="81" t="n"/>
      <c r="F133" s="82" t="n"/>
      <c r="G133" s="82" t="n"/>
      <c r="H133" s="82" t="n"/>
      <c r="I133" s="82" t="n"/>
      <c r="J133" s="82" t="n"/>
      <c r="K133" s="82" t="n"/>
      <c r="L133" s="82" t="n"/>
      <c r="M133" s="82" t="n"/>
      <c r="N133" s="82" t="n"/>
      <c r="O133" s="82" t="n"/>
      <c r="P133" s="82" t="n"/>
      <c r="Q133" s="82" t="n"/>
      <c r="R133" s="82" t="n"/>
      <c r="S133" s="82" t="n"/>
      <c r="T133" s="82" t="n"/>
      <c r="U133" s="82" t="n"/>
      <c r="V133" s="82" t="n"/>
      <c r="W133" s="82" t="n"/>
      <c r="X133" s="82" t="n"/>
      <c r="Y133" s="82" t="n"/>
      <c r="Z133" s="82" t="n"/>
    </row>
    <row r="134" ht="15.75" customHeight="1" s="83">
      <c r="A134" s="82" t="n"/>
      <c r="B134" s="82" t="n"/>
      <c r="C134" s="82" t="n"/>
      <c r="D134" s="82" t="n"/>
      <c r="E134" s="81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2" t="n"/>
      <c r="W134" s="82" t="n"/>
      <c r="X134" s="82" t="n"/>
      <c r="Y134" s="82" t="n"/>
      <c r="Z134" s="82" t="n"/>
    </row>
    <row r="135" ht="15.75" customHeight="1" s="83">
      <c r="A135" s="82" t="n"/>
      <c r="B135" s="82" t="n"/>
      <c r="C135" s="82" t="n"/>
      <c r="D135" s="82" t="n"/>
      <c r="E135" s="81" t="n"/>
      <c r="F135" s="82" t="n"/>
      <c r="G135" s="82" t="n"/>
      <c r="H135" s="82" t="n"/>
      <c r="I135" s="82" t="n"/>
      <c r="J135" s="82" t="n"/>
      <c r="K135" s="82" t="n"/>
      <c r="L135" s="82" t="n"/>
      <c r="M135" s="82" t="n"/>
      <c r="N135" s="82" t="n"/>
      <c r="O135" s="82" t="n"/>
      <c r="P135" s="82" t="n"/>
      <c r="Q135" s="82" t="n"/>
      <c r="R135" s="82" t="n"/>
      <c r="S135" s="82" t="n"/>
      <c r="T135" s="82" t="n"/>
      <c r="U135" s="82" t="n"/>
      <c r="V135" s="82" t="n"/>
      <c r="W135" s="82" t="n"/>
      <c r="X135" s="82" t="n"/>
      <c r="Y135" s="82" t="n"/>
      <c r="Z135" s="82" t="n"/>
    </row>
    <row r="136" ht="15.75" customHeight="1" s="83">
      <c r="A136" s="82" t="n"/>
      <c r="B136" s="82" t="n"/>
      <c r="C136" s="82" t="n"/>
      <c r="D136" s="82" t="n"/>
      <c r="E136" s="81" t="n"/>
      <c r="F136" s="82" t="n"/>
      <c r="G136" s="82" t="n"/>
      <c r="H136" s="82" t="n"/>
      <c r="I136" s="82" t="n"/>
      <c r="J136" s="82" t="n"/>
      <c r="K136" s="82" t="n"/>
      <c r="L136" s="82" t="n"/>
      <c r="M136" s="82" t="n"/>
      <c r="N136" s="82" t="n"/>
      <c r="O136" s="82" t="n"/>
      <c r="P136" s="82" t="n"/>
      <c r="Q136" s="82" t="n"/>
      <c r="R136" s="82" t="n"/>
      <c r="S136" s="82" t="n"/>
      <c r="T136" s="82" t="n"/>
      <c r="U136" s="82" t="n"/>
      <c r="V136" s="82" t="n"/>
      <c r="W136" s="82" t="n"/>
      <c r="X136" s="82" t="n"/>
      <c r="Y136" s="82" t="n"/>
      <c r="Z136" s="82" t="n"/>
    </row>
    <row r="137" ht="15.75" customHeight="1" s="83">
      <c r="A137" s="82" t="n"/>
      <c r="B137" s="82" t="n"/>
      <c r="C137" s="82" t="n"/>
      <c r="D137" s="82" t="n"/>
      <c r="E137" s="81" t="n"/>
      <c r="F137" s="82" t="n"/>
      <c r="G137" s="82" t="n"/>
      <c r="H137" s="82" t="n"/>
      <c r="I137" s="82" t="n"/>
      <c r="J137" s="82" t="n"/>
      <c r="K137" s="82" t="n"/>
      <c r="L137" s="82" t="n"/>
      <c r="M137" s="82" t="n"/>
      <c r="N137" s="82" t="n"/>
      <c r="O137" s="82" t="n"/>
      <c r="P137" s="82" t="n"/>
      <c r="Q137" s="82" t="n"/>
      <c r="R137" s="82" t="n"/>
      <c r="S137" s="82" t="n"/>
      <c r="T137" s="82" t="n"/>
      <c r="U137" s="82" t="n"/>
      <c r="V137" s="82" t="n"/>
      <c r="W137" s="82" t="n"/>
      <c r="X137" s="82" t="n"/>
      <c r="Y137" s="82" t="n"/>
      <c r="Z137" s="82" t="n"/>
    </row>
    <row r="138" ht="15.75" customHeight="1" s="83">
      <c r="A138" s="82" t="n"/>
      <c r="B138" s="82" t="n"/>
      <c r="C138" s="82" t="n"/>
      <c r="D138" s="82" t="n"/>
      <c r="E138" s="81" t="n"/>
      <c r="F138" s="82" t="n"/>
      <c r="G138" s="82" t="n"/>
      <c r="H138" s="82" t="n"/>
      <c r="I138" s="82" t="n"/>
      <c r="J138" s="82" t="n"/>
      <c r="K138" s="82" t="n"/>
      <c r="L138" s="82" t="n"/>
      <c r="M138" s="82" t="n"/>
      <c r="N138" s="82" t="n"/>
      <c r="O138" s="82" t="n"/>
      <c r="P138" s="82" t="n"/>
      <c r="Q138" s="82" t="n"/>
      <c r="R138" s="82" t="n"/>
      <c r="S138" s="82" t="n"/>
      <c r="T138" s="82" t="n"/>
      <c r="U138" s="82" t="n"/>
      <c r="V138" s="82" t="n"/>
      <c r="W138" s="82" t="n"/>
      <c r="X138" s="82" t="n"/>
      <c r="Y138" s="82" t="n"/>
      <c r="Z138" s="82" t="n"/>
    </row>
    <row r="139" ht="15.75" customHeight="1" s="83">
      <c r="A139" s="82" t="n"/>
      <c r="B139" s="82" t="n"/>
      <c r="C139" s="82" t="n"/>
      <c r="D139" s="82" t="n"/>
      <c r="E139" s="81" t="n"/>
      <c r="F139" s="82" t="n"/>
      <c r="G139" s="82" t="n"/>
      <c r="H139" s="82" t="n"/>
      <c r="I139" s="82" t="n"/>
      <c r="J139" s="82" t="n"/>
      <c r="K139" s="82" t="n"/>
      <c r="L139" s="82" t="n"/>
      <c r="M139" s="82" t="n"/>
      <c r="N139" s="82" t="n"/>
      <c r="O139" s="82" t="n"/>
      <c r="P139" s="82" t="n"/>
      <c r="Q139" s="82" t="n"/>
      <c r="R139" s="82" t="n"/>
      <c r="S139" s="82" t="n"/>
      <c r="T139" s="82" t="n"/>
      <c r="U139" s="82" t="n"/>
      <c r="V139" s="82" t="n"/>
      <c r="W139" s="82" t="n"/>
      <c r="X139" s="82" t="n"/>
      <c r="Y139" s="82" t="n"/>
      <c r="Z139" s="82" t="n"/>
    </row>
    <row r="140" ht="15.75" customHeight="1" s="83">
      <c r="A140" s="82" t="n"/>
      <c r="B140" s="82" t="n"/>
      <c r="C140" s="82" t="n"/>
      <c r="D140" s="82" t="n"/>
      <c r="E140" s="81" t="n"/>
      <c r="F140" s="82" t="n"/>
      <c r="G140" s="82" t="n"/>
      <c r="H140" s="82" t="n"/>
      <c r="I140" s="82" t="n"/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  <c r="V140" s="82" t="n"/>
      <c r="W140" s="82" t="n"/>
      <c r="X140" s="82" t="n"/>
      <c r="Y140" s="82" t="n"/>
      <c r="Z140" s="82" t="n"/>
    </row>
    <row r="141" ht="15.75" customHeight="1" s="83">
      <c r="A141" s="82" t="n"/>
      <c r="B141" s="82" t="n"/>
      <c r="C141" s="82" t="n"/>
      <c r="D141" s="82" t="n"/>
      <c r="E141" s="81" t="n"/>
      <c r="F141" s="82" t="n"/>
      <c r="G141" s="82" t="n"/>
      <c r="H141" s="82" t="n"/>
      <c r="I141" s="82" t="n"/>
      <c r="J141" s="82" t="n"/>
      <c r="K141" s="82" t="n"/>
      <c r="L141" s="82" t="n"/>
      <c r="M141" s="82" t="n"/>
      <c r="N141" s="82" t="n"/>
      <c r="O141" s="82" t="n"/>
      <c r="P141" s="82" t="n"/>
      <c r="Q141" s="82" t="n"/>
      <c r="R141" s="82" t="n"/>
      <c r="S141" s="82" t="n"/>
      <c r="T141" s="82" t="n"/>
      <c r="U141" s="82" t="n"/>
      <c r="V141" s="82" t="n"/>
      <c r="W141" s="82" t="n"/>
      <c r="X141" s="82" t="n"/>
      <c r="Y141" s="82" t="n"/>
      <c r="Z141" s="82" t="n"/>
    </row>
    <row r="142" ht="15.75" customHeight="1" s="83">
      <c r="A142" s="82" t="n"/>
      <c r="B142" s="82" t="n"/>
      <c r="C142" s="82" t="n"/>
      <c r="D142" s="82" t="n"/>
      <c r="E142" s="81" t="n"/>
      <c r="F142" s="82" t="n"/>
      <c r="G142" s="82" t="n"/>
      <c r="H142" s="82" t="n"/>
      <c r="I142" s="82" t="n"/>
      <c r="J142" s="82" t="n"/>
      <c r="K142" s="82" t="n"/>
      <c r="L142" s="82" t="n"/>
      <c r="M142" s="82" t="n"/>
      <c r="N142" s="82" t="n"/>
      <c r="O142" s="82" t="n"/>
      <c r="P142" s="82" t="n"/>
      <c r="Q142" s="82" t="n"/>
      <c r="R142" s="82" t="n"/>
      <c r="S142" s="82" t="n"/>
      <c r="T142" s="82" t="n"/>
      <c r="U142" s="82" t="n"/>
      <c r="V142" s="82" t="n"/>
      <c r="W142" s="82" t="n"/>
      <c r="X142" s="82" t="n"/>
      <c r="Y142" s="82" t="n"/>
      <c r="Z142" s="82" t="n"/>
    </row>
    <row r="143" ht="15.75" customHeight="1" s="83">
      <c r="A143" s="82" t="n"/>
      <c r="B143" s="82" t="n"/>
      <c r="C143" s="82" t="n"/>
      <c r="D143" s="82" t="n"/>
      <c r="E143" s="81" t="n"/>
      <c r="F143" s="82" t="n"/>
      <c r="G143" s="82" t="n"/>
      <c r="H143" s="82" t="n"/>
      <c r="I143" s="82" t="n"/>
      <c r="J143" s="82" t="n"/>
      <c r="K143" s="82" t="n"/>
      <c r="L143" s="82" t="n"/>
      <c r="M143" s="82" t="n"/>
      <c r="N143" s="82" t="n"/>
      <c r="O143" s="82" t="n"/>
      <c r="P143" s="82" t="n"/>
      <c r="Q143" s="82" t="n"/>
      <c r="R143" s="82" t="n"/>
      <c r="S143" s="82" t="n"/>
      <c r="T143" s="82" t="n"/>
      <c r="U143" s="82" t="n"/>
      <c r="V143" s="82" t="n"/>
      <c r="W143" s="82" t="n"/>
      <c r="X143" s="82" t="n"/>
      <c r="Y143" s="82" t="n"/>
      <c r="Z143" s="82" t="n"/>
    </row>
    <row r="144" ht="15.75" customHeight="1" s="83">
      <c r="A144" s="82" t="n"/>
      <c r="B144" s="82" t="n"/>
      <c r="C144" s="82" t="n"/>
      <c r="D144" s="82" t="n"/>
      <c r="E144" s="81" t="n"/>
      <c r="F144" s="82" t="n"/>
      <c r="G144" s="82" t="n"/>
      <c r="H144" s="82" t="n"/>
      <c r="I144" s="82" t="n"/>
      <c r="J144" s="82" t="n"/>
      <c r="K144" s="82" t="n"/>
      <c r="L144" s="82" t="n"/>
      <c r="M144" s="82" t="n"/>
      <c r="N144" s="82" t="n"/>
      <c r="O144" s="82" t="n"/>
      <c r="P144" s="82" t="n"/>
      <c r="Q144" s="82" t="n"/>
      <c r="R144" s="82" t="n"/>
      <c r="S144" s="82" t="n"/>
      <c r="T144" s="82" t="n"/>
      <c r="U144" s="82" t="n"/>
      <c r="V144" s="82" t="n"/>
      <c r="W144" s="82" t="n"/>
      <c r="X144" s="82" t="n"/>
      <c r="Y144" s="82" t="n"/>
      <c r="Z144" s="82" t="n"/>
    </row>
    <row r="145" ht="15.75" customHeight="1" s="83">
      <c r="A145" s="82" t="n"/>
      <c r="B145" s="82" t="n"/>
      <c r="C145" s="82" t="n"/>
      <c r="D145" s="82" t="n"/>
      <c r="E145" s="81" t="n"/>
      <c r="F145" s="82" t="n"/>
      <c r="G145" s="82" t="n"/>
      <c r="H145" s="82" t="n"/>
      <c r="I145" s="82" t="n"/>
      <c r="J145" s="82" t="n"/>
      <c r="K145" s="82" t="n"/>
      <c r="L145" s="82" t="n"/>
      <c r="M145" s="82" t="n"/>
      <c r="N145" s="82" t="n"/>
      <c r="O145" s="82" t="n"/>
      <c r="P145" s="82" t="n"/>
      <c r="Q145" s="82" t="n"/>
      <c r="R145" s="82" t="n"/>
      <c r="S145" s="82" t="n"/>
      <c r="T145" s="82" t="n"/>
      <c r="U145" s="82" t="n"/>
      <c r="V145" s="82" t="n"/>
      <c r="W145" s="82" t="n"/>
      <c r="X145" s="82" t="n"/>
      <c r="Y145" s="82" t="n"/>
      <c r="Z145" s="82" t="n"/>
    </row>
    <row r="146" ht="15.75" customHeight="1" s="83">
      <c r="A146" s="82" t="n"/>
      <c r="B146" s="82" t="n"/>
      <c r="C146" s="82" t="n"/>
      <c r="D146" s="82" t="n"/>
      <c r="E146" s="81" t="n"/>
      <c r="F146" s="82" t="n"/>
      <c r="G146" s="82" t="n"/>
      <c r="H146" s="82" t="n"/>
      <c r="I146" s="82" t="n"/>
      <c r="J146" s="82" t="n"/>
      <c r="K146" s="82" t="n"/>
      <c r="L146" s="82" t="n"/>
      <c r="M146" s="82" t="n"/>
      <c r="N146" s="82" t="n"/>
      <c r="O146" s="82" t="n"/>
      <c r="P146" s="82" t="n"/>
      <c r="Q146" s="82" t="n"/>
      <c r="R146" s="82" t="n"/>
      <c r="S146" s="82" t="n"/>
      <c r="T146" s="82" t="n"/>
      <c r="U146" s="82" t="n"/>
      <c r="V146" s="82" t="n"/>
      <c r="W146" s="82" t="n"/>
      <c r="X146" s="82" t="n"/>
      <c r="Y146" s="82" t="n"/>
      <c r="Z146" s="82" t="n"/>
    </row>
    <row r="147" ht="15.75" customHeight="1" s="83">
      <c r="A147" s="82" t="n"/>
      <c r="B147" s="82" t="n"/>
      <c r="C147" s="82" t="n"/>
      <c r="D147" s="82" t="n"/>
      <c r="E147" s="81" t="n"/>
      <c r="F147" s="82" t="n"/>
      <c r="G147" s="82" t="n"/>
      <c r="H147" s="82" t="n"/>
      <c r="I147" s="82" t="n"/>
      <c r="J147" s="82" t="n"/>
      <c r="K147" s="82" t="n"/>
      <c r="L147" s="82" t="n"/>
      <c r="M147" s="82" t="n"/>
      <c r="N147" s="82" t="n"/>
      <c r="O147" s="82" t="n"/>
      <c r="P147" s="82" t="n"/>
      <c r="Q147" s="82" t="n"/>
      <c r="R147" s="82" t="n"/>
      <c r="S147" s="82" t="n"/>
      <c r="T147" s="82" t="n"/>
      <c r="U147" s="82" t="n"/>
      <c r="V147" s="82" t="n"/>
      <c r="W147" s="82" t="n"/>
      <c r="X147" s="82" t="n"/>
      <c r="Y147" s="82" t="n"/>
      <c r="Z147" s="82" t="n"/>
    </row>
    <row r="148" ht="15.75" customHeight="1" s="83">
      <c r="A148" s="82" t="n"/>
      <c r="B148" s="82" t="n"/>
      <c r="C148" s="82" t="n"/>
      <c r="D148" s="82" t="n"/>
      <c r="E148" s="81" t="n"/>
      <c r="F148" s="82" t="n"/>
      <c r="G148" s="82" t="n"/>
      <c r="H148" s="82" t="n"/>
      <c r="I148" s="82" t="n"/>
      <c r="J148" s="82" t="n"/>
      <c r="K148" s="82" t="n"/>
      <c r="L148" s="82" t="n"/>
      <c r="M148" s="82" t="n"/>
      <c r="N148" s="82" t="n"/>
      <c r="O148" s="82" t="n"/>
      <c r="P148" s="82" t="n"/>
      <c r="Q148" s="82" t="n"/>
      <c r="R148" s="82" t="n"/>
      <c r="S148" s="82" t="n"/>
      <c r="T148" s="82" t="n"/>
      <c r="U148" s="82" t="n"/>
      <c r="V148" s="82" t="n"/>
      <c r="W148" s="82" t="n"/>
      <c r="X148" s="82" t="n"/>
      <c r="Y148" s="82" t="n"/>
      <c r="Z148" s="82" t="n"/>
    </row>
    <row r="149" ht="15.75" customHeight="1" s="83">
      <c r="A149" s="82" t="n"/>
      <c r="B149" s="82" t="n"/>
      <c r="C149" s="82" t="n"/>
      <c r="D149" s="82" t="n"/>
      <c r="E149" s="81" t="n"/>
      <c r="F149" s="82" t="n"/>
      <c r="G149" s="82" t="n"/>
      <c r="H149" s="82" t="n"/>
      <c r="I149" s="82" t="n"/>
      <c r="J149" s="82" t="n"/>
      <c r="K149" s="82" t="n"/>
      <c r="L149" s="82" t="n"/>
      <c r="M149" s="82" t="n"/>
      <c r="N149" s="82" t="n"/>
      <c r="O149" s="82" t="n"/>
      <c r="P149" s="82" t="n"/>
      <c r="Q149" s="82" t="n"/>
      <c r="R149" s="82" t="n"/>
      <c r="S149" s="82" t="n"/>
      <c r="T149" s="82" t="n"/>
      <c r="U149" s="82" t="n"/>
      <c r="V149" s="82" t="n"/>
      <c r="W149" s="82" t="n"/>
      <c r="X149" s="82" t="n"/>
      <c r="Y149" s="82" t="n"/>
      <c r="Z149" s="82" t="n"/>
    </row>
    <row r="150" ht="15.75" customHeight="1" s="83">
      <c r="A150" s="82" t="n"/>
      <c r="B150" s="82" t="n"/>
      <c r="C150" s="82" t="n"/>
      <c r="D150" s="82" t="n"/>
      <c r="E150" s="81" t="n"/>
      <c r="F150" s="82" t="n"/>
      <c r="G150" s="82" t="n"/>
      <c r="H150" s="82" t="n"/>
      <c r="I150" s="82" t="n"/>
      <c r="J150" s="82" t="n"/>
      <c r="K150" s="82" t="n"/>
      <c r="L150" s="82" t="n"/>
      <c r="M150" s="82" t="n"/>
      <c r="N150" s="82" t="n"/>
      <c r="O150" s="82" t="n"/>
      <c r="P150" s="82" t="n"/>
      <c r="Q150" s="82" t="n"/>
      <c r="R150" s="82" t="n"/>
      <c r="S150" s="82" t="n"/>
      <c r="T150" s="82" t="n"/>
      <c r="U150" s="82" t="n"/>
      <c r="V150" s="82" t="n"/>
      <c r="W150" s="82" t="n"/>
      <c r="X150" s="82" t="n"/>
      <c r="Y150" s="82" t="n"/>
      <c r="Z150" s="82" t="n"/>
    </row>
    <row r="151" ht="15.75" customHeight="1" s="83">
      <c r="A151" s="82" t="n"/>
      <c r="B151" s="82" t="n"/>
      <c r="C151" s="82" t="n"/>
      <c r="D151" s="82" t="n"/>
      <c r="E151" s="81" t="n"/>
      <c r="F151" s="82" t="n"/>
      <c r="G151" s="82" t="n"/>
      <c r="H151" s="82" t="n"/>
      <c r="I151" s="82" t="n"/>
      <c r="J151" s="82" t="n"/>
      <c r="K151" s="82" t="n"/>
      <c r="L151" s="82" t="n"/>
      <c r="M151" s="82" t="n"/>
      <c r="N151" s="82" t="n"/>
      <c r="O151" s="82" t="n"/>
      <c r="P151" s="82" t="n"/>
      <c r="Q151" s="82" t="n"/>
      <c r="R151" s="82" t="n"/>
      <c r="S151" s="82" t="n"/>
      <c r="T151" s="82" t="n"/>
      <c r="U151" s="82" t="n"/>
      <c r="V151" s="82" t="n"/>
      <c r="W151" s="82" t="n"/>
      <c r="X151" s="82" t="n"/>
      <c r="Y151" s="82" t="n"/>
      <c r="Z151" s="82" t="n"/>
    </row>
    <row r="152" ht="15.75" customHeight="1" s="83">
      <c r="A152" s="82" t="n"/>
      <c r="B152" s="82" t="n"/>
      <c r="C152" s="82" t="n"/>
      <c r="D152" s="82" t="n"/>
      <c r="E152" s="81" t="n"/>
      <c r="F152" s="82" t="n"/>
      <c r="G152" s="82" t="n"/>
      <c r="H152" s="82" t="n"/>
      <c r="I152" s="82" t="n"/>
      <c r="J152" s="82" t="n"/>
      <c r="K152" s="82" t="n"/>
      <c r="L152" s="82" t="n"/>
      <c r="M152" s="82" t="n"/>
      <c r="N152" s="82" t="n"/>
      <c r="O152" s="82" t="n"/>
      <c r="P152" s="82" t="n"/>
      <c r="Q152" s="82" t="n"/>
      <c r="R152" s="82" t="n"/>
      <c r="S152" s="82" t="n"/>
      <c r="T152" s="82" t="n"/>
      <c r="U152" s="82" t="n"/>
      <c r="V152" s="82" t="n"/>
      <c r="W152" s="82" t="n"/>
      <c r="X152" s="82" t="n"/>
      <c r="Y152" s="82" t="n"/>
      <c r="Z152" s="82" t="n"/>
    </row>
    <row r="153" ht="15.75" customHeight="1" s="83">
      <c r="A153" s="82" t="n"/>
      <c r="B153" s="82" t="n"/>
      <c r="C153" s="82" t="n"/>
      <c r="D153" s="82" t="n"/>
      <c r="E153" s="81" t="n"/>
      <c r="F153" s="82" t="n"/>
      <c r="G153" s="82" t="n"/>
      <c r="H153" s="82" t="n"/>
      <c r="I153" s="82" t="n"/>
      <c r="J153" s="82" t="n"/>
      <c r="K153" s="82" t="n"/>
      <c r="L153" s="82" t="n"/>
      <c r="M153" s="82" t="n"/>
      <c r="N153" s="82" t="n"/>
      <c r="O153" s="82" t="n"/>
      <c r="P153" s="82" t="n"/>
      <c r="Q153" s="82" t="n"/>
      <c r="R153" s="82" t="n"/>
      <c r="S153" s="82" t="n"/>
      <c r="T153" s="82" t="n"/>
      <c r="U153" s="82" t="n"/>
      <c r="V153" s="82" t="n"/>
      <c r="W153" s="82" t="n"/>
      <c r="X153" s="82" t="n"/>
      <c r="Y153" s="82" t="n"/>
      <c r="Z153" s="82" t="n"/>
    </row>
    <row r="154" ht="15.75" customHeight="1" s="83">
      <c r="A154" s="82" t="n"/>
      <c r="B154" s="82" t="n"/>
      <c r="C154" s="82" t="n"/>
      <c r="D154" s="82" t="n"/>
      <c r="E154" s="81" t="n"/>
      <c r="F154" s="82" t="n"/>
      <c r="G154" s="82" t="n"/>
      <c r="H154" s="82" t="n"/>
      <c r="I154" s="82" t="n"/>
      <c r="J154" s="82" t="n"/>
      <c r="K154" s="82" t="n"/>
      <c r="L154" s="82" t="n"/>
      <c r="M154" s="82" t="n"/>
      <c r="N154" s="82" t="n"/>
      <c r="O154" s="82" t="n"/>
      <c r="P154" s="82" t="n"/>
      <c r="Q154" s="82" t="n"/>
      <c r="R154" s="82" t="n"/>
      <c r="S154" s="82" t="n"/>
      <c r="T154" s="82" t="n"/>
      <c r="U154" s="82" t="n"/>
      <c r="V154" s="82" t="n"/>
      <c r="W154" s="82" t="n"/>
      <c r="X154" s="82" t="n"/>
      <c r="Y154" s="82" t="n"/>
      <c r="Z154" s="82" t="n"/>
    </row>
    <row r="155" ht="15.75" customHeight="1" s="83">
      <c r="A155" s="82" t="n"/>
      <c r="B155" s="82" t="n"/>
      <c r="C155" s="82" t="n"/>
      <c r="D155" s="82" t="n"/>
      <c r="E155" s="81" t="n"/>
      <c r="F155" s="82" t="n"/>
      <c r="G155" s="82" t="n"/>
      <c r="H155" s="82" t="n"/>
      <c r="I155" s="82" t="n"/>
      <c r="J155" s="82" t="n"/>
      <c r="K155" s="82" t="n"/>
      <c r="L155" s="82" t="n"/>
      <c r="M155" s="82" t="n"/>
      <c r="N155" s="82" t="n"/>
      <c r="O155" s="82" t="n"/>
      <c r="P155" s="82" t="n"/>
      <c r="Q155" s="82" t="n"/>
      <c r="R155" s="82" t="n"/>
      <c r="S155" s="82" t="n"/>
      <c r="T155" s="82" t="n"/>
      <c r="U155" s="82" t="n"/>
      <c r="V155" s="82" t="n"/>
      <c r="W155" s="82" t="n"/>
      <c r="X155" s="82" t="n"/>
      <c r="Y155" s="82" t="n"/>
      <c r="Z155" s="82" t="n"/>
    </row>
    <row r="156" ht="15.75" customHeight="1" s="83">
      <c r="A156" s="82" t="n"/>
      <c r="B156" s="82" t="n"/>
      <c r="C156" s="82" t="n"/>
      <c r="D156" s="82" t="n"/>
      <c r="E156" s="81" t="n"/>
      <c r="F156" s="82" t="n"/>
      <c r="G156" s="82" t="n"/>
      <c r="H156" s="82" t="n"/>
      <c r="I156" s="82" t="n"/>
      <c r="J156" s="82" t="n"/>
      <c r="K156" s="82" t="n"/>
      <c r="L156" s="82" t="n"/>
      <c r="M156" s="82" t="n"/>
      <c r="N156" s="82" t="n"/>
      <c r="O156" s="82" t="n"/>
      <c r="P156" s="82" t="n"/>
      <c r="Q156" s="82" t="n"/>
      <c r="R156" s="82" t="n"/>
      <c r="S156" s="82" t="n"/>
      <c r="T156" s="82" t="n"/>
      <c r="U156" s="82" t="n"/>
      <c r="V156" s="82" t="n"/>
      <c r="W156" s="82" t="n"/>
      <c r="X156" s="82" t="n"/>
      <c r="Y156" s="82" t="n"/>
      <c r="Z156" s="82" t="n"/>
    </row>
    <row r="157" ht="15.75" customHeight="1" s="83">
      <c r="A157" s="82" t="n"/>
      <c r="B157" s="82" t="n"/>
      <c r="C157" s="82" t="n"/>
      <c r="D157" s="82" t="n"/>
      <c r="E157" s="81" t="n"/>
      <c r="F157" s="82" t="n"/>
      <c r="G157" s="82" t="n"/>
      <c r="H157" s="82" t="n"/>
      <c r="I157" s="82" t="n"/>
      <c r="J157" s="82" t="n"/>
      <c r="K157" s="82" t="n"/>
      <c r="L157" s="82" t="n"/>
      <c r="M157" s="82" t="n"/>
      <c r="N157" s="82" t="n"/>
      <c r="O157" s="82" t="n"/>
      <c r="P157" s="82" t="n"/>
      <c r="Q157" s="82" t="n"/>
      <c r="R157" s="82" t="n"/>
      <c r="S157" s="82" t="n"/>
      <c r="T157" s="82" t="n"/>
      <c r="U157" s="82" t="n"/>
      <c r="V157" s="82" t="n"/>
      <c r="W157" s="82" t="n"/>
      <c r="X157" s="82" t="n"/>
      <c r="Y157" s="82" t="n"/>
      <c r="Z157" s="82" t="n"/>
    </row>
    <row r="158" ht="15.75" customHeight="1" s="83">
      <c r="A158" s="82" t="n"/>
      <c r="B158" s="82" t="n"/>
      <c r="C158" s="82" t="n"/>
      <c r="D158" s="82" t="n"/>
      <c r="E158" s="81" t="n"/>
      <c r="F158" s="82" t="n"/>
      <c r="G158" s="82" t="n"/>
      <c r="H158" s="82" t="n"/>
      <c r="I158" s="82" t="n"/>
      <c r="J158" s="82" t="n"/>
      <c r="K158" s="82" t="n"/>
      <c r="L158" s="82" t="n"/>
      <c r="M158" s="82" t="n"/>
      <c r="N158" s="82" t="n"/>
      <c r="O158" s="82" t="n"/>
      <c r="P158" s="82" t="n"/>
      <c r="Q158" s="82" t="n"/>
      <c r="R158" s="82" t="n"/>
      <c r="S158" s="82" t="n"/>
      <c r="T158" s="82" t="n"/>
      <c r="U158" s="82" t="n"/>
      <c r="V158" s="82" t="n"/>
      <c r="W158" s="82" t="n"/>
      <c r="X158" s="82" t="n"/>
      <c r="Y158" s="82" t="n"/>
      <c r="Z158" s="82" t="n"/>
    </row>
    <row r="159" ht="15.75" customHeight="1" s="83">
      <c r="A159" s="82" t="n"/>
      <c r="B159" s="82" t="n"/>
      <c r="C159" s="82" t="n"/>
      <c r="D159" s="82" t="n"/>
      <c r="E159" s="81" t="n"/>
      <c r="F159" s="82" t="n"/>
      <c r="G159" s="82" t="n"/>
      <c r="H159" s="82" t="n"/>
      <c r="I159" s="82" t="n"/>
      <c r="J159" s="82" t="n"/>
      <c r="K159" s="82" t="n"/>
      <c r="L159" s="82" t="n"/>
      <c r="M159" s="82" t="n"/>
      <c r="N159" s="82" t="n"/>
      <c r="O159" s="82" t="n"/>
      <c r="P159" s="82" t="n"/>
      <c r="Q159" s="82" t="n"/>
      <c r="R159" s="82" t="n"/>
      <c r="S159" s="82" t="n"/>
      <c r="T159" s="82" t="n"/>
      <c r="U159" s="82" t="n"/>
      <c r="V159" s="82" t="n"/>
      <c r="W159" s="82" t="n"/>
      <c r="X159" s="82" t="n"/>
      <c r="Y159" s="82" t="n"/>
      <c r="Z159" s="82" t="n"/>
    </row>
    <row r="160" ht="15.75" customHeight="1" s="83">
      <c r="A160" s="82" t="n"/>
      <c r="B160" s="82" t="n"/>
      <c r="C160" s="82" t="n"/>
      <c r="D160" s="82" t="n"/>
      <c r="E160" s="81" t="n"/>
      <c r="F160" s="82" t="n"/>
      <c r="G160" s="82" t="n"/>
      <c r="H160" s="82" t="n"/>
      <c r="I160" s="82" t="n"/>
      <c r="J160" s="82" t="n"/>
      <c r="K160" s="82" t="n"/>
      <c r="L160" s="82" t="n"/>
      <c r="M160" s="82" t="n"/>
      <c r="N160" s="82" t="n"/>
      <c r="O160" s="82" t="n"/>
      <c r="P160" s="82" t="n"/>
      <c r="Q160" s="82" t="n"/>
      <c r="R160" s="82" t="n"/>
      <c r="S160" s="82" t="n"/>
      <c r="T160" s="82" t="n"/>
      <c r="U160" s="82" t="n"/>
      <c r="V160" s="82" t="n"/>
      <c r="W160" s="82" t="n"/>
      <c r="X160" s="82" t="n"/>
      <c r="Y160" s="82" t="n"/>
      <c r="Z160" s="82" t="n"/>
    </row>
    <row r="161" ht="15.75" customHeight="1" s="83">
      <c r="A161" s="82" t="n"/>
      <c r="B161" s="82" t="n"/>
      <c r="C161" s="82" t="n"/>
      <c r="D161" s="82" t="n"/>
      <c r="E161" s="81" t="n"/>
      <c r="F161" s="82" t="n"/>
      <c r="G161" s="82" t="n"/>
      <c r="H161" s="82" t="n"/>
      <c r="I161" s="82" t="n"/>
      <c r="J161" s="82" t="n"/>
      <c r="K161" s="82" t="n"/>
      <c r="L161" s="82" t="n"/>
      <c r="M161" s="82" t="n"/>
      <c r="N161" s="82" t="n"/>
      <c r="O161" s="82" t="n"/>
      <c r="P161" s="82" t="n"/>
      <c r="Q161" s="82" t="n"/>
      <c r="R161" s="82" t="n"/>
      <c r="S161" s="82" t="n"/>
      <c r="T161" s="82" t="n"/>
      <c r="U161" s="82" t="n"/>
      <c r="V161" s="82" t="n"/>
      <c r="W161" s="82" t="n"/>
      <c r="X161" s="82" t="n"/>
      <c r="Y161" s="82" t="n"/>
      <c r="Z161" s="82" t="n"/>
    </row>
    <row r="162" ht="15.75" customHeight="1" s="83">
      <c r="A162" s="82" t="n"/>
      <c r="B162" s="82" t="n"/>
      <c r="C162" s="82" t="n"/>
      <c r="D162" s="82" t="n"/>
      <c r="E162" s="81" t="n"/>
      <c r="F162" s="82" t="n"/>
      <c r="G162" s="82" t="n"/>
      <c r="H162" s="82" t="n"/>
      <c r="I162" s="82" t="n"/>
      <c r="J162" s="82" t="n"/>
      <c r="K162" s="82" t="n"/>
      <c r="L162" s="82" t="n"/>
      <c r="M162" s="82" t="n"/>
      <c r="N162" s="82" t="n"/>
      <c r="O162" s="82" t="n"/>
      <c r="P162" s="82" t="n"/>
      <c r="Q162" s="82" t="n"/>
      <c r="R162" s="82" t="n"/>
      <c r="S162" s="82" t="n"/>
      <c r="T162" s="82" t="n"/>
      <c r="U162" s="82" t="n"/>
      <c r="V162" s="82" t="n"/>
      <c r="W162" s="82" t="n"/>
      <c r="X162" s="82" t="n"/>
      <c r="Y162" s="82" t="n"/>
      <c r="Z162" s="82" t="n"/>
    </row>
    <row r="163" ht="15.75" customHeight="1" s="83">
      <c r="A163" s="82" t="n"/>
      <c r="B163" s="82" t="n"/>
      <c r="C163" s="82" t="n"/>
      <c r="D163" s="82" t="n"/>
      <c r="E163" s="81" t="n"/>
      <c r="F163" s="82" t="n"/>
      <c r="G163" s="82" t="n"/>
      <c r="H163" s="82" t="n"/>
      <c r="I163" s="82" t="n"/>
      <c r="J163" s="82" t="n"/>
      <c r="K163" s="82" t="n"/>
      <c r="L163" s="82" t="n"/>
      <c r="M163" s="82" t="n"/>
      <c r="N163" s="82" t="n"/>
      <c r="O163" s="82" t="n"/>
      <c r="P163" s="82" t="n"/>
      <c r="Q163" s="82" t="n"/>
      <c r="R163" s="82" t="n"/>
      <c r="S163" s="82" t="n"/>
      <c r="T163" s="82" t="n"/>
      <c r="U163" s="82" t="n"/>
      <c r="V163" s="82" t="n"/>
      <c r="W163" s="82" t="n"/>
      <c r="X163" s="82" t="n"/>
      <c r="Y163" s="82" t="n"/>
      <c r="Z163" s="82" t="n"/>
    </row>
    <row r="164" ht="15.75" customHeight="1" s="83">
      <c r="A164" s="82" t="n"/>
      <c r="B164" s="82" t="n"/>
      <c r="C164" s="82" t="n"/>
      <c r="D164" s="82" t="n"/>
      <c r="E164" s="81" t="n"/>
      <c r="F164" s="82" t="n"/>
      <c r="G164" s="82" t="n"/>
      <c r="H164" s="82" t="n"/>
      <c r="I164" s="82" t="n"/>
      <c r="J164" s="82" t="n"/>
      <c r="K164" s="82" t="n"/>
      <c r="L164" s="82" t="n"/>
      <c r="M164" s="82" t="n"/>
      <c r="N164" s="82" t="n"/>
      <c r="O164" s="82" t="n"/>
      <c r="P164" s="82" t="n"/>
      <c r="Q164" s="82" t="n"/>
      <c r="R164" s="82" t="n"/>
      <c r="S164" s="82" t="n"/>
      <c r="T164" s="82" t="n"/>
      <c r="U164" s="82" t="n"/>
      <c r="V164" s="82" t="n"/>
      <c r="W164" s="82" t="n"/>
      <c r="X164" s="82" t="n"/>
      <c r="Y164" s="82" t="n"/>
      <c r="Z164" s="82" t="n"/>
    </row>
    <row r="165" ht="15.75" customHeight="1" s="83">
      <c r="A165" s="82" t="n"/>
      <c r="B165" s="82" t="n"/>
      <c r="C165" s="82" t="n"/>
      <c r="D165" s="82" t="n"/>
      <c r="E165" s="81" t="n"/>
      <c r="F165" s="82" t="n"/>
      <c r="G165" s="82" t="n"/>
      <c r="H165" s="82" t="n"/>
      <c r="I165" s="82" t="n"/>
      <c r="J165" s="82" t="n"/>
      <c r="K165" s="82" t="n"/>
      <c r="L165" s="82" t="n"/>
      <c r="M165" s="82" t="n"/>
      <c r="N165" s="82" t="n"/>
      <c r="O165" s="82" t="n"/>
      <c r="P165" s="82" t="n"/>
      <c r="Q165" s="82" t="n"/>
      <c r="R165" s="82" t="n"/>
      <c r="S165" s="82" t="n"/>
      <c r="T165" s="82" t="n"/>
      <c r="U165" s="82" t="n"/>
      <c r="V165" s="82" t="n"/>
      <c r="W165" s="82" t="n"/>
      <c r="X165" s="82" t="n"/>
      <c r="Y165" s="82" t="n"/>
      <c r="Z165" s="82" t="n"/>
    </row>
    <row r="166" ht="15.75" customHeight="1" s="83">
      <c r="A166" s="82" t="n"/>
      <c r="B166" s="82" t="n"/>
      <c r="C166" s="82" t="n"/>
      <c r="D166" s="82" t="n"/>
      <c r="E166" s="81" t="n"/>
      <c r="F166" s="82" t="n"/>
      <c r="G166" s="82" t="n"/>
      <c r="H166" s="82" t="n"/>
      <c r="I166" s="82" t="n"/>
      <c r="J166" s="82" t="n"/>
      <c r="K166" s="82" t="n"/>
      <c r="L166" s="82" t="n"/>
      <c r="M166" s="82" t="n"/>
      <c r="N166" s="82" t="n"/>
      <c r="O166" s="82" t="n"/>
      <c r="P166" s="82" t="n"/>
      <c r="Q166" s="82" t="n"/>
      <c r="R166" s="82" t="n"/>
      <c r="S166" s="82" t="n"/>
      <c r="T166" s="82" t="n"/>
      <c r="U166" s="82" t="n"/>
      <c r="V166" s="82" t="n"/>
      <c r="W166" s="82" t="n"/>
      <c r="X166" s="82" t="n"/>
      <c r="Y166" s="82" t="n"/>
      <c r="Z166" s="82" t="n"/>
    </row>
    <row r="167" ht="15.75" customHeight="1" s="83">
      <c r="A167" s="82" t="n"/>
      <c r="B167" s="82" t="n"/>
      <c r="C167" s="82" t="n"/>
      <c r="D167" s="82" t="n"/>
      <c r="E167" s="81" t="n"/>
      <c r="F167" s="82" t="n"/>
      <c r="G167" s="82" t="n"/>
      <c r="H167" s="82" t="n"/>
      <c r="I167" s="82" t="n"/>
      <c r="J167" s="82" t="n"/>
      <c r="K167" s="82" t="n"/>
      <c r="L167" s="82" t="n"/>
      <c r="M167" s="82" t="n"/>
      <c r="N167" s="82" t="n"/>
      <c r="O167" s="82" t="n"/>
      <c r="P167" s="82" t="n"/>
      <c r="Q167" s="82" t="n"/>
      <c r="R167" s="82" t="n"/>
      <c r="S167" s="82" t="n"/>
      <c r="T167" s="82" t="n"/>
      <c r="U167" s="82" t="n"/>
      <c r="V167" s="82" t="n"/>
      <c r="W167" s="82" t="n"/>
      <c r="X167" s="82" t="n"/>
      <c r="Y167" s="82" t="n"/>
      <c r="Z167" s="82" t="n"/>
    </row>
    <row r="168" ht="15.75" customHeight="1" s="83">
      <c r="A168" s="82" t="n"/>
      <c r="B168" s="82" t="n"/>
      <c r="C168" s="82" t="n"/>
      <c r="D168" s="82" t="n"/>
      <c r="E168" s="81" t="n"/>
      <c r="F168" s="82" t="n"/>
      <c r="G168" s="82" t="n"/>
      <c r="H168" s="82" t="n"/>
      <c r="I168" s="82" t="n"/>
      <c r="J168" s="82" t="n"/>
      <c r="K168" s="82" t="n"/>
      <c r="L168" s="82" t="n"/>
      <c r="M168" s="82" t="n"/>
      <c r="N168" s="82" t="n"/>
      <c r="O168" s="82" t="n"/>
      <c r="P168" s="82" t="n"/>
      <c r="Q168" s="82" t="n"/>
      <c r="R168" s="82" t="n"/>
      <c r="S168" s="82" t="n"/>
      <c r="T168" s="82" t="n"/>
      <c r="U168" s="82" t="n"/>
      <c r="V168" s="82" t="n"/>
      <c r="W168" s="82" t="n"/>
      <c r="X168" s="82" t="n"/>
      <c r="Y168" s="82" t="n"/>
      <c r="Z168" s="82" t="n"/>
    </row>
    <row r="169" ht="15.75" customHeight="1" s="83">
      <c r="A169" s="82" t="n"/>
      <c r="B169" s="82" t="n"/>
      <c r="C169" s="82" t="n"/>
      <c r="D169" s="82" t="n"/>
      <c r="E169" s="81" t="n"/>
      <c r="F169" s="82" t="n"/>
      <c r="G169" s="82" t="n"/>
      <c r="H169" s="82" t="n"/>
      <c r="I169" s="82" t="n"/>
      <c r="J169" s="82" t="n"/>
      <c r="K169" s="82" t="n"/>
      <c r="L169" s="82" t="n"/>
      <c r="M169" s="82" t="n"/>
      <c r="N169" s="82" t="n"/>
      <c r="O169" s="82" t="n"/>
      <c r="P169" s="82" t="n"/>
      <c r="Q169" s="82" t="n"/>
      <c r="R169" s="82" t="n"/>
      <c r="S169" s="82" t="n"/>
      <c r="T169" s="82" t="n"/>
      <c r="U169" s="82" t="n"/>
      <c r="V169" s="82" t="n"/>
      <c r="W169" s="82" t="n"/>
      <c r="X169" s="82" t="n"/>
      <c r="Y169" s="82" t="n"/>
      <c r="Z169" s="82" t="n"/>
    </row>
    <row r="170" ht="15.75" customHeight="1" s="83">
      <c r="A170" s="82" t="n"/>
      <c r="B170" s="82" t="n"/>
      <c r="C170" s="82" t="n"/>
      <c r="D170" s="82" t="n"/>
      <c r="E170" s="81" t="n"/>
      <c r="F170" s="82" t="n"/>
      <c r="G170" s="82" t="n"/>
      <c r="H170" s="82" t="n"/>
      <c r="I170" s="82" t="n"/>
      <c r="J170" s="82" t="n"/>
      <c r="K170" s="82" t="n"/>
      <c r="L170" s="82" t="n"/>
      <c r="M170" s="82" t="n"/>
      <c r="N170" s="82" t="n"/>
      <c r="O170" s="82" t="n"/>
      <c r="P170" s="82" t="n"/>
      <c r="Q170" s="82" t="n"/>
      <c r="R170" s="82" t="n"/>
      <c r="S170" s="82" t="n"/>
      <c r="T170" s="82" t="n"/>
      <c r="U170" s="82" t="n"/>
      <c r="V170" s="82" t="n"/>
      <c r="W170" s="82" t="n"/>
      <c r="X170" s="82" t="n"/>
      <c r="Y170" s="82" t="n"/>
      <c r="Z170" s="82" t="n"/>
    </row>
    <row r="171" ht="15.75" customHeight="1" s="83">
      <c r="A171" s="82" t="n"/>
      <c r="B171" s="82" t="n"/>
      <c r="C171" s="82" t="n"/>
      <c r="D171" s="82" t="n"/>
      <c r="E171" s="81" t="n"/>
      <c r="F171" s="82" t="n"/>
      <c r="G171" s="82" t="n"/>
      <c r="H171" s="82" t="n"/>
      <c r="I171" s="82" t="n"/>
      <c r="J171" s="82" t="n"/>
      <c r="K171" s="82" t="n"/>
      <c r="L171" s="82" t="n"/>
      <c r="M171" s="82" t="n"/>
      <c r="N171" s="82" t="n"/>
      <c r="O171" s="82" t="n"/>
      <c r="P171" s="82" t="n"/>
      <c r="Q171" s="82" t="n"/>
      <c r="R171" s="82" t="n"/>
      <c r="S171" s="82" t="n"/>
      <c r="T171" s="82" t="n"/>
      <c r="U171" s="82" t="n"/>
      <c r="V171" s="82" t="n"/>
      <c r="W171" s="82" t="n"/>
      <c r="X171" s="82" t="n"/>
      <c r="Y171" s="82" t="n"/>
      <c r="Z171" s="82" t="n"/>
    </row>
    <row r="172" ht="15.75" customHeight="1" s="83">
      <c r="A172" s="82" t="n"/>
      <c r="B172" s="82" t="n"/>
      <c r="C172" s="82" t="n"/>
      <c r="D172" s="82" t="n"/>
      <c r="E172" s="81" t="n"/>
      <c r="F172" s="82" t="n"/>
      <c r="G172" s="82" t="n"/>
      <c r="H172" s="82" t="n"/>
      <c r="I172" s="82" t="n"/>
      <c r="J172" s="82" t="n"/>
      <c r="K172" s="82" t="n"/>
      <c r="L172" s="82" t="n"/>
      <c r="M172" s="82" t="n"/>
      <c r="N172" s="82" t="n"/>
      <c r="O172" s="82" t="n"/>
      <c r="P172" s="82" t="n"/>
      <c r="Q172" s="82" t="n"/>
      <c r="R172" s="82" t="n"/>
      <c r="S172" s="82" t="n"/>
      <c r="T172" s="82" t="n"/>
      <c r="U172" s="82" t="n"/>
      <c r="V172" s="82" t="n"/>
      <c r="W172" s="82" t="n"/>
      <c r="X172" s="82" t="n"/>
      <c r="Y172" s="82" t="n"/>
      <c r="Z172" s="82" t="n"/>
    </row>
    <row r="173" ht="15.75" customHeight="1" s="83">
      <c r="A173" s="82" t="n"/>
      <c r="B173" s="82" t="n"/>
      <c r="C173" s="82" t="n"/>
      <c r="D173" s="82" t="n"/>
      <c r="E173" s="81" t="n"/>
      <c r="F173" s="82" t="n"/>
      <c r="G173" s="82" t="n"/>
      <c r="H173" s="82" t="n"/>
      <c r="I173" s="82" t="n"/>
      <c r="J173" s="82" t="n"/>
      <c r="K173" s="82" t="n"/>
      <c r="L173" s="82" t="n"/>
      <c r="M173" s="82" t="n"/>
      <c r="N173" s="82" t="n"/>
      <c r="O173" s="82" t="n"/>
      <c r="P173" s="82" t="n"/>
      <c r="Q173" s="82" t="n"/>
      <c r="R173" s="82" t="n"/>
      <c r="S173" s="82" t="n"/>
      <c r="T173" s="82" t="n"/>
      <c r="U173" s="82" t="n"/>
      <c r="V173" s="82" t="n"/>
      <c r="W173" s="82" t="n"/>
      <c r="X173" s="82" t="n"/>
      <c r="Y173" s="82" t="n"/>
      <c r="Z173" s="82" t="n"/>
    </row>
    <row r="174" ht="15.75" customHeight="1" s="83">
      <c r="A174" s="82" t="n"/>
      <c r="B174" s="82" t="n"/>
      <c r="C174" s="82" t="n"/>
      <c r="D174" s="82" t="n"/>
      <c r="E174" s="81" t="n"/>
      <c r="F174" s="82" t="n"/>
      <c r="G174" s="82" t="n"/>
      <c r="H174" s="82" t="n"/>
      <c r="I174" s="82" t="n"/>
      <c r="J174" s="82" t="n"/>
      <c r="K174" s="82" t="n"/>
      <c r="L174" s="82" t="n"/>
      <c r="M174" s="82" t="n"/>
      <c r="N174" s="82" t="n"/>
      <c r="O174" s="82" t="n"/>
      <c r="P174" s="82" t="n"/>
      <c r="Q174" s="82" t="n"/>
      <c r="R174" s="82" t="n"/>
      <c r="S174" s="82" t="n"/>
      <c r="T174" s="82" t="n"/>
      <c r="U174" s="82" t="n"/>
      <c r="V174" s="82" t="n"/>
      <c r="W174" s="82" t="n"/>
      <c r="X174" s="82" t="n"/>
      <c r="Y174" s="82" t="n"/>
      <c r="Z174" s="82" t="n"/>
    </row>
    <row r="175" ht="15.75" customHeight="1" s="83">
      <c r="A175" s="82" t="n"/>
      <c r="B175" s="82" t="n"/>
      <c r="C175" s="82" t="n"/>
      <c r="D175" s="82" t="n"/>
      <c r="E175" s="81" t="n"/>
      <c r="F175" s="82" t="n"/>
      <c r="G175" s="82" t="n"/>
      <c r="H175" s="82" t="n"/>
      <c r="I175" s="82" t="n"/>
      <c r="J175" s="82" t="n"/>
      <c r="K175" s="82" t="n"/>
      <c r="L175" s="82" t="n"/>
      <c r="M175" s="82" t="n"/>
      <c r="N175" s="82" t="n"/>
      <c r="O175" s="82" t="n"/>
      <c r="P175" s="82" t="n"/>
      <c r="Q175" s="82" t="n"/>
      <c r="R175" s="82" t="n"/>
      <c r="S175" s="82" t="n"/>
      <c r="T175" s="82" t="n"/>
      <c r="U175" s="82" t="n"/>
      <c r="V175" s="82" t="n"/>
      <c r="W175" s="82" t="n"/>
      <c r="X175" s="82" t="n"/>
      <c r="Y175" s="82" t="n"/>
      <c r="Z175" s="82" t="n"/>
    </row>
    <row r="176" ht="15.75" customHeight="1" s="83">
      <c r="A176" s="82" t="n"/>
      <c r="B176" s="82" t="n"/>
      <c r="C176" s="82" t="n"/>
      <c r="D176" s="82" t="n"/>
      <c r="E176" s="81" t="n"/>
      <c r="F176" s="82" t="n"/>
      <c r="G176" s="82" t="n"/>
      <c r="H176" s="82" t="n"/>
      <c r="I176" s="82" t="n"/>
      <c r="J176" s="82" t="n"/>
      <c r="K176" s="82" t="n"/>
      <c r="L176" s="82" t="n"/>
      <c r="M176" s="82" t="n"/>
      <c r="N176" s="82" t="n"/>
      <c r="O176" s="82" t="n"/>
      <c r="P176" s="82" t="n"/>
      <c r="Q176" s="82" t="n"/>
      <c r="R176" s="82" t="n"/>
      <c r="S176" s="82" t="n"/>
      <c r="T176" s="82" t="n"/>
      <c r="U176" s="82" t="n"/>
      <c r="V176" s="82" t="n"/>
      <c r="W176" s="82" t="n"/>
      <c r="X176" s="82" t="n"/>
      <c r="Y176" s="82" t="n"/>
      <c r="Z176" s="82" t="n"/>
    </row>
    <row r="177" ht="15.75" customHeight="1" s="83">
      <c r="A177" s="82" t="n"/>
      <c r="B177" s="82" t="n"/>
      <c r="C177" s="82" t="n"/>
      <c r="D177" s="82" t="n"/>
      <c r="E177" s="81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  <c r="P177" s="82" t="n"/>
      <c r="Q177" s="82" t="n"/>
      <c r="R177" s="82" t="n"/>
      <c r="S177" s="82" t="n"/>
      <c r="T177" s="82" t="n"/>
      <c r="U177" s="82" t="n"/>
      <c r="V177" s="82" t="n"/>
      <c r="W177" s="82" t="n"/>
      <c r="X177" s="82" t="n"/>
      <c r="Y177" s="82" t="n"/>
      <c r="Z177" s="82" t="n"/>
    </row>
    <row r="178" ht="15.75" customHeight="1" s="83">
      <c r="A178" s="82" t="n"/>
      <c r="B178" s="82" t="n"/>
      <c r="C178" s="82" t="n"/>
      <c r="D178" s="82" t="n"/>
      <c r="E178" s="81" t="n"/>
      <c r="F178" s="82" t="n"/>
      <c r="G178" s="82" t="n"/>
      <c r="H178" s="82" t="n"/>
      <c r="I178" s="82" t="n"/>
      <c r="J178" s="82" t="n"/>
      <c r="K178" s="82" t="n"/>
      <c r="L178" s="82" t="n"/>
      <c r="M178" s="82" t="n"/>
      <c r="N178" s="82" t="n"/>
      <c r="O178" s="82" t="n"/>
      <c r="P178" s="82" t="n"/>
      <c r="Q178" s="82" t="n"/>
      <c r="R178" s="82" t="n"/>
      <c r="S178" s="82" t="n"/>
      <c r="T178" s="82" t="n"/>
      <c r="U178" s="82" t="n"/>
      <c r="V178" s="82" t="n"/>
      <c r="W178" s="82" t="n"/>
      <c r="X178" s="82" t="n"/>
      <c r="Y178" s="82" t="n"/>
      <c r="Z178" s="82" t="n"/>
    </row>
    <row r="179" ht="15.75" customHeight="1" s="83">
      <c r="A179" s="82" t="n"/>
      <c r="B179" s="82" t="n"/>
      <c r="C179" s="82" t="n"/>
      <c r="D179" s="82" t="n"/>
      <c r="E179" s="81" t="n"/>
      <c r="F179" s="82" t="n"/>
      <c r="G179" s="82" t="n"/>
      <c r="H179" s="82" t="n"/>
      <c r="I179" s="82" t="n"/>
      <c r="J179" s="82" t="n"/>
      <c r="K179" s="82" t="n"/>
      <c r="L179" s="82" t="n"/>
      <c r="M179" s="82" t="n"/>
      <c r="N179" s="82" t="n"/>
      <c r="O179" s="82" t="n"/>
      <c r="P179" s="82" t="n"/>
      <c r="Q179" s="82" t="n"/>
      <c r="R179" s="82" t="n"/>
      <c r="S179" s="82" t="n"/>
      <c r="T179" s="82" t="n"/>
      <c r="U179" s="82" t="n"/>
      <c r="V179" s="82" t="n"/>
      <c r="W179" s="82" t="n"/>
      <c r="X179" s="82" t="n"/>
      <c r="Y179" s="82" t="n"/>
      <c r="Z179" s="82" t="n"/>
    </row>
    <row r="180" ht="15.75" customHeight="1" s="83">
      <c r="A180" s="82" t="n"/>
      <c r="B180" s="82" t="n"/>
      <c r="C180" s="82" t="n"/>
      <c r="D180" s="82" t="n"/>
      <c r="E180" s="81" t="n"/>
      <c r="F180" s="82" t="n"/>
      <c r="G180" s="82" t="n"/>
      <c r="H180" s="82" t="n"/>
      <c r="I180" s="82" t="n"/>
      <c r="J180" s="82" t="n"/>
      <c r="K180" s="82" t="n"/>
      <c r="L180" s="82" t="n"/>
      <c r="M180" s="82" t="n"/>
      <c r="N180" s="82" t="n"/>
      <c r="O180" s="82" t="n"/>
      <c r="P180" s="82" t="n"/>
      <c r="Q180" s="82" t="n"/>
      <c r="R180" s="82" t="n"/>
      <c r="S180" s="82" t="n"/>
      <c r="T180" s="82" t="n"/>
      <c r="U180" s="82" t="n"/>
      <c r="V180" s="82" t="n"/>
      <c r="W180" s="82" t="n"/>
      <c r="X180" s="82" t="n"/>
      <c r="Y180" s="82" t="n"/>
      <c r="Z180" s="82" t="n"/>
    </row>
    <row r="181" ht="15.75" customHeight="1" s="83">
      <c r="A181" s="82" t="n"/>
      <c r="B181" s="82" t="n"/>
      <c r="C181" s="82" t="n"/>
      <c r="D181" s="82" t="n"/>
      <c r="E181" s="81" t="n"/>
      <c r="F181" s="82" t="n"/>
      <c r="G181" s="82" t="n"/>
      <c r="H181" s="82" t="n"/>
      <c r="I181" s="82" t="n"/>
      <c r="J181" s="82" t="n"/>
      <c r="K181" s="82" t="n"/>
      <c r="L181" s="82" t="n"/>
      <c r="M181" s="82" t="n"/>
      <c r="N181" s="82" t="n"/>
      <c r="O181" s="82" t="n"/>
      <c r="P181" s="82" t="n"/>
      <c r="Q181" s="82" t="n"/>
      <c r="R181" s="82" t="n"/>
      <c r="S181" s="82" t="n"/>
      <c r="T181" s="82" t="n"/>
      <c r="U181" s="82" t="n"/>
      <c r="V181" s="82" t="n"/>
      <c r="W181" s="82" t="n"/>
      <c r="X181" s="82" t="n"/>
      <c r="Y181" s="82" t="n"/>
      <c r="Z181" s="82" t="n"/>
    </row>
    <row r="182" ht="15.75" customHeight="1" s="83">
      <c r="A182" s="82" t="n"/>
      <c r="B182" s="82" t="n"/>
      <c r="C182" s="82" t="n"/>
      <c r="D182" s="82" t="n"/>
      <c r="E182" s="81" t="n"/>
      <c r="F182" s="82" t="n"/>
      <c r="G182" s="82" t="n"/>
      <c r="H182" s="82" t="n"/>
      <c r="I182" s="82" t="n"/>
      <c r="J182" s="82" t="n"/>
      <c r="K182" s="82" t="n"/>
      <c r="L182" s="82" t="n"/>
      <c r="M182" s="82" t="n"/>
      <c r="N182" s="82" t="n"/>
      <c r="O182" s="82" t="n"/>
      <c r="P182" s="82" t="n"/>
      <c r="Q182" s="82" t="n"/>
      <c r="R182" s="82" t="n"/>
      <c r="S182" s="82" t="n"/>
      <c r="T182" s="82" t="n"/>
      <c r="U182" s="82" t="n"/>
      <c r="V182" s="82" t="n"/>
      <c r="W182" s="82" t="n"/>
      <c r="X182" s="82" t="n"/>
      <c r="Y182" s="82" t="n"/>
      <c r="Z182" s="82" t="n"/>
    </row>
    <row r="183" ht="15.75" customHeight="1" s="83">
      <c r="A183" s="82" t="n"/>
      <c r="B183" s="82" t="n"/>
      <c r="C183" s="82" t="n"/>
      <c r="D183" s="82" t="n"/>
      <c r="E183" s="81" t="n"/>
      <c r="F183" s="82" t="n"/>
      <c r="G183" s="82" t="n"/>
      <c r="H183" s="82" t="n"/>
      <c r="I183" s="82" t="n"/>
      <c r="J183" s="82" t="n"/>
      <c r="K183" s="82" t="n"/>
      <c r="L183" s="82" t="n"/>
      <c r="M183" s="82" t="n"/>
      <c r="N183" s="82" t="n"/>
      <c r="O183" s="82" t="n"/>
      <c r="P183" s="82" t="n"/>
      <c r="Q183" s="82" t="n"/>
      <c r="R183" s="82" t="n"/>
      <c r="S183" s="82" t="n"/>
      <c r="T183" s="82" t="n"/>
      <c r="U183" s="82" t="n"/>
      <c r="V183" s="82" t="n"/>
      <c r="W183" s="82" t="n"/>
      <c r="X183" s="82" t="n"/>
      <c r="Y183" s="82" t="n"/>
      <c r="Z183" s="82" t="n"/>
    </row>
    <row r="184" ht="15.75" customHeight="1" s="83">
      <c r="A184" s="82" t="n"/>
      <c r="B184" s="82" t="n"/>
      <c r="C184" s="82" t="n"/>
      <c r="D184" s="82" t="n"/>
      <c r="E184" s="81" t="n"/>
      <c r="F184" s="82" t="n"/>
      <c r="G184" s="82" t="n"/>
      <c r="H184" s="82" t="n"/>
      <c r="I184" s="82" t="n"/>
      <c r="J184" s="82" t="n"/>
      <c r="K184" s="82" t="n"/>
      <c r="L184" s="82" t="n"/>
      <c r="M184" s="82" t="n"/>
      <c r="N184" s="82" t="n"/>
      <c r="O184" s="82" t="n"/>
      <c r="P184" s="82" t="n"/>
      <c r="Q184" s="82" t="n"/>
      <c r="R184" s="82" t="n"/>
      <c r="S184" s="82" t="n"/>
      <c r="T184" s="82" t="n"/>
      <c r="U184" s="82" t="n"/>
      <c r="V184" s="82" t="n"/>
      <c r="W184" s="82" t="n"/>
      <c r="X184" s="82" t="n"/>
      <c r="Y184" s="82" t="n"/>
      <c r="Z184" s="82" t="n"/>
    </row>
    <row r="185" ht="15.75" customHeight="1" s="83">
      <c r="A185" s="82" t="n"/>
      <c r="B185" s="82" t="n"/>
      <c r="C185" s="82" t="n"/>
      <c r="D185" s="82" t="n"/>
      <c r="E185" s="81" t="n"/>
      <c r="F185" s="82" t="n"/>
      <c r="G185" s="82" t="n"/>
      <c r="H185" s="82" t="n"/>
      <c r="I185" s="82" t="n"/>
      <c r="J185" s="82" t="n"/>
      <c r="K185" s="82" t="n"/>
      <c r="L185" s="82" t="n"/>
      <c r="M185" s="82" t="n"/>
      <c r="N185" s="82" t="n"/>
      <c r="O185" s="82" t="n"/>
      <c r="P185" s="82" t="n"/>
      <c r="Q185" s="82" t="n"/>
      <c r="R185" s="82" t="n"/>
      <c r="S185" s="82" t="n"/>
      <c r="T185" s="82" t="n"/>
      <c r="U185" s="82" t="n"/>
      <c r="V185" s="82" t="n"/>
      <c r="W185" s="82" t="n"/>
      <c r="X185" s="82" t="n"/>
      <c r="Y185" s="82" t="n"/>
      <c r="Z185" s="82" t="n"/>
    </row>
    <row r="186" ht="15.75" customHeight="1" s="83">
      <c r="A186" s="82" t="n"/>
      <c r="B186" s="82" t="n"/>
      <c r="C186" s="82" t="n"/>
      <c r="D186" s="82" t="n"/>
      <c r="E186" s="81" t="n"/>
      <c r="F186" s="82" t="n"/>
      <c r="G186" s="82" t="n"/>
      <c r="H186" s="82" t="n"/>
      <c r="I186" s="82" t="n"/>
      <c r="J186" s="82" t="n"/>
      <c r="K186" s="82" t="n"/>
      <c r="L186" s="82" t="n"/>
      <c r="M186" s="82" t="n"/>
      <c r="N186" s="82" t="n"/>
      <c r="O186" s="82" t="n"/>
      <c r="P186" s="82" t="n"/>
      <c r="Q186" s="82" t="n"/>
      <c r="R186" s="82" t="n"/>
      <c r="S186" s="82" t="n"/>
      <c r="T186" s="82" t="n"/>
      <c r="U186" s="82" t="n"/>
      <c r="V186" s="82" t="n"/>
      <c r="W186" s="82" t="n"/>
      <c r="X186" s="82" t="n"/>
      <c r="Y186" s="82" t="n"/>
      <c r="Z186" s="82" t="n"/>
    </row>
    <row r="187" ht="15.75" customHeight="1" s="83">
      <c r="A187" s="82" t="n"/>
      <c r="B187" s="82" t="n"/>
      <c r="C187" s="82" t="n"/>
      <c r="D187" s="82" t="n"/>
      <c r="E187" s="81" t="n"/>
      <c r="F187" s="82" t="n"/>
      <c r="G187" s="82" t="n"/>
      <c r="H187" s="82" t="n"/>
      <c r="I187" s="82" t="n"/>
      <c r="J187" s="82" t="n"/>
      <c r="K187" s="82" t="n"/>
      <c r="L187" s="82" t="n"/>
      <c r="M187" s="82" t="n"/>
      <c r="N187" s="82" t="n"/>
      <c r="O187" s="82" t="n"/>
      <c r="P187" s="82" t="n"/>
      <c r="Q187" s="82" t="n"/>
      <c r="R187" s="82" t="n"/>
      <c r="S187" s="82" t="n"/>
      <c r="T187" s="82" t="n"/>
      <c r="U187" s="82" t="n"/>
      <c r="V187" s="82" t="n"/>
      <c r="W187" s="82" t="n"/>
      <c r="X187" s="82" t="n"/>
      <c r="Y187" s="82" t="n"/>
      <c r="Z187" s="82" t="n"/>
    </row>
    <row r="188" ht="15.75" customHeight="1" s="83">
      <c r="A188" s="82" t="n"/>
      <c r="B188" s="82" t="n"/>
      <c r="C188" s="82" t="n"/>
      <c r="D188" s="82" t="n"/>
      <c r="E188" s="81" t="n"/>
      <c r="F188" s="82" t="n"/>
      <c r="G188" s="82" t="n"/>
      <c r="H188" s="82" t="n"/>
      <c r="I188" s="82" t="n"/>
      <c r="J188" s="82" t="n"/>
      <c r="K188" s="82" t="n"/>
      <c r="L188" s="82" t="n"/>
      <c r="M188" s="82" t="n"/>
      <c r="N188" s="82" t="n"/>
      <c r="O188" s="82" t="n"/>
      <c r="P188" s="82" t="n"/>
      <c r="Q188" s="82" t="n"/>
      <c r="R188" s="82" t="n"/>
      <c r="S188" s="82" t="n"/>
      <c r="T188" s="82" t="n"/>
      <c r="U188" s="82" t="n"/>
      <c r="V188" s="82" t="n"/>
      <c r="W188" s="82" t="n"/>
      <c r="X188" s="82" t="n"/>
      <c r="Y188" s="82" t="n"/>
      <c r="Z188" s="82" t="n"/>
    </row>
    <row r="189" ht="15.75" customHeight="1" s="83">
      <c r="A189" s="82" t="n"/>
      <c r="B189" s="82" t="n"/>
      <c r="C189" s="82" t="n"/>
      <c r="D189" s="82" t="n"/>
      <c r="E189" s="81" t="n"/>
      <c r="F189" s="82" t="n"/>
      <c r="G189" s="82" t="n"/>
      <c r="H189" s="82" t="n"/>
      <c r="I189" s="82" t="n"/>
      <c r="J189" s="82" t="n"/>
      <c r="K189" s="82" t="n"/>
      <c r="L189" s="82" t="n"/>
      <c r="M189" s="82" t="n"/>
      <c r="N189" s="82" t="n"/>
      <c r="O189" s="82" t="n"/>
      <c r="P189" s="82" t="n"/>
      <c r="Q189" s="82" t="n"/>
      <c r="R189" s="82" t="n"/>
      <c r="S189" s="82" t="n"/>
      <c r="T189" s="82" t="n"/>
      <c r="U189" s="82" t="n"/>
      <c r="V189" s="82" t="n"/>
      <c r="W189" s="82" t="n"/>
      <c r="X189" s="82" t="n"/>
      <c r="Y189" s="82" t="n"/>
      <c r="Z189" s="82" t="n"/>
    </row>
    <row r="190" ht="15.75" customHeight="1" s="83">
      <c r="A190" s="82" t="n"/>
      <c r="B190" s="82" t="n"/>
      <c r="C190" s="82" t="n"/>
      <c r="D190" s="82" t="n"/>
      <c r="E190" s="81" t="n"/>
      <c r="F190" s="82" t="n"/>
      <c r="G190" s="82" t="n"/>
      <c r="H190" s="82" t="n"/>
      <c r="I190" s="82" t="n"/>
      <c r="J190" s="82" t="n"/>
      <c r="K190" s="82" t="n"/>
      <c r="L190" s="82" t="n"/>
      <c r="M190" s="82" t="n"/>
      <c r="N190" s="82" t="n"/>
      <c r="O190" s="82" t="n"/>
      <c r="P190" s="82" t="n"/>
      <c r="Q190" s="82" t="n"/>
      <c r="R190" s="82" t="n"/>
      <c r="S190" s="82" t="n"/>
      <c r="T190" s="82" t="n"/>
      <c r="U190" s="82" t="n"/>
      <c r="V190" s="82" t="n"/>
      <c r="W190" s="82" t="n"/>
      <c r="X190" s="82" t="n"/>
      <c r="Y190" s="82" t="n"/>
      <c r="Z190" s="82" t="n"/>
    </row>
    <row r="191" ht="15.75" customHeight="1" s="83">
      <c r="A191" s="82" t="n"/>
      <c r="B191" s="82" t="n"/>
      <c r="C191" s="82" t="n"/>
      <c r="D191" s="82" t="n"/>
      <c r="E191" s="81" t="n"/>
      <c r="F191" s="82" t="n"/>
      <c r="G191" s="82" t="n"/>
      <c r="H191" s="82" t="n"/>
      <c r="I191" s="82" t="n"/>
      <c r="J191" s="82" t="n"/>
      <c r="K191" s="82" t="n"/>
      <c r="L191" s="82" t="n"/>
      <c r="M191" s="82" t="n"/>
      <c r="N191" s="82" t="n"/>
      <c r="O191" s="82" t="n"/>
      <c r="P191" s="82" t="n"/>
      <c r="Q191" s="82" t="n"/>
      <c r="R191" s="82" t="n"/>
      <c r="S191" s="82" t="n"/>
      <c r="T191" s="82" t="n"/>
      <c r="U191" s="82" t="n"/>
      <c r="V191" s="82" t="n"/>
      <c r="W191" s="82" t="n"/>
      <c r="X191" s="82" t="n"/>
      <c r="Y191" s="82" t="n"/>
      <c r="Z191" s="82" t="n"/>
    </row>
    <row r="192" ht="15.75" customHeight="1" s="83">
      <c r="A192" s="82" t="n"/>
      <c r="B192" s="82" t="n"/>
      <c r="C192" s="82" t="n"/>
      <c r="D192" s="82" t="n"/>
      <c r="E192" s="81" t="n"/>
      <c r="F192" s="82" t="n"/>
      <c r="G192" s="82" t="n"/>
      <c r="H192" s="82" t="n"/>
      <c r="I192" s="82" t="n"/>
      <c r="J192" s="82" t="n"/>
      <c r="K192" s="82" t="n"/>
      <c r="L192" s="82" t="n"/>
      <c r="M192" s="82" t="n"/>
      <c r="N192" s="82" t="n"/>
      <c r="O192" s="82" t="n"/>
      <c r="P192" s="82" t="n"/>
      <c r="Q192" s="82" t="n"/>
      <c r="R192" s="82" t="n"/>
      <c r="S192" s="82" t="n"/>
      <c r="T192" s="82" t="n"/>
      <c r="U192" s="82" t="n"/>
      <c r="V192" s="82" t="n"/>
      <c r="W192" s="82" t="n"/>
      <c r="X192" s="82" t="n"/>
      <c r="Y192" s="82" t="n"/>
      <c r="Z192" s="82" t="n"/>
    </row>
    <row r="193" ht="15.75" customHeight="1" s="83">
      <c r="A193" s="82" t="n"/>
      <c r="B193" s="82" t="n"/>
      <c r="C193" s="82" t="n"/>
      <c r="D193" s="82" t="n"/>
      <c r="E193" s="81" t="n"/>
      <c r="F193" s="82" t="n"/>
      <c r="G193" s="82" t="n"/>
      <c r="H193" s="82" t="n"/>
      <c r="I193" s="82" t="n"/>
      <c r="J193" s="82" t="n"/>
      <c r="K193" s="82" t="n"/>
      <c r="L193" s="82" t="n"/>
      <c r="M193" s="82" t="n"/>
      <c r="N193" s="82" t="n"/>
      <c r="O193" s="82" t="n"/>
      <c r="P193" s="82" t="n"/>
      <c r="Q193" s="82" t="n"/>
      <c r="R193" s="82" t="n"/>
      <c r="S193" s="82" t="n"/>
      <c r="T193" s="82" t="n"/>
      <c r="U193" s="82" t="n"/>
      <c r="V193" s="82" t="n"/>
      <c r="W193" s="82" t="n"/>
      <c r="X193" s="82" t="n"/>
      <c r="Y193" s="82" t="n"/>
      <c r="Z193" s="82" t="n"/>
    </row>
    <row r="194" ht="15.75" customHeight="1" s="83">
      <c r="A194" s="82" t="n"/>
      <c r="B194" s="82" t="n"/>
      <c r="C194" s="82" t="n"/>
      <c r="D194" s="82" t="n"/>
      <c r="E194" s="81" t="n"/>
      <c r="F194" s="82" t="n"/>
      <c r="G194" s="82" t="n"/>
      <c r="H194" s="82" t="n"/>
      <c r="I194" s="82" t="n"/>
      <c r="J194" s="82" t="n"/>
      <c r="K194" s="82" t="n"/>
      <c r="L194" s="82" t="n"/>
      <c r="M194" s="82" t="n"/>
      <c r="N194" s="82" t="n"/>
      <c r="O194" s="82" t="n"/>
      <c r="P194" s="82" t="n"/>
      <c r="Q194" s="82" t="n"/>
      <c r="R194" s="82" t="n"/>
      <c r="S194" s="82" t="n"/>
      <c r="T194" s="82" t="n"/>
      <c r="U194" s="82" t="n"/>
      <c r="V194" s="82" t="n"/>
      <c r="W194" s="82" t="n"/>
      <c r="X194" s="82" t="n"/>
      <c r="Y194" s="82" t="n"/>
      <c r="Z194" s="82" t="n"/>
    </row>
    <row r="195" ht="15.75" customHeight="1" s="83">
      <c r="A195" s="82" t="n"/>
      <c r="B195" s="82" t="n"/>
      <c r="C195" s="82" t="n"/>
      <c r="D195" s="82" t="n"/>
      <c r="E195" s="81" t="n"/>
      <c r="F195" s="82" t="n"/>
      <c r="G195" s="82" t="n"/>
      <c r="H195" s="82" t="n"/>
      <c r="I195" s="82" t="n"/>
      <c r="J195" s="82" t="n"/>
      <c r="K195" s="82" t="n"/>
      <c r="L195" s="82" t="n"/>
      <c r="M195" s="82" t="n"/>
      <c r="N195" s="82" t="n"/>
      <c r="O195" s="82" t="n"/>
      <c r="P195" s="82" t="n"/>
      <c r="Q195" s="82" t="n"/>
      <c r="R195" s="82" t="n"/>
      <c r="S195" s="82" t="n"/>
      <c r="T195" s="82" t="n"/>
      <c r="U195" s="82" t="n"/>
      <c r="V195" s="82" t="n"/>
      <c r="W195" s="82" t="n"/>
      <c r="X195" s="82" t="n"/>
      <c r="Y195" s="82" t="n"/>
      <c r="Z195" s="82" t="n"/>
    </row>
    <row r="196" ht="15.75" customHeight="1" s="83">
      <c r="A196" s="82" t="n"/>
      <c r="B196" s="82" t="n"/>
      <c r="C196" s="82" t="n"/>
      <c r="D196" s="82" t="n"/>
      <c r="E196" s="81" t="n"/>
      <c r="F196" s="82" t="n"/>
      <c r="G196" s="82" t="n"/>
      <c r="H196" s="82" t="n"/>
      <c r="I196" s="82" t="n"/>
      <c r="J196" s="82" t="n"/>
      <c r="K196" s="82" t="n"/>
      <c r="L196" s="82" t="n"/>
      <c r="M196" s="82" t="n"/>
      <c r="N196" s="82" t="n"/>
      <c r="O196" s="82" t="n"/>
      <c r="P196" s="82" t="n"/>
      <c r="Q196" s="82" t="n"/>
      <c r="R196" s="82" t="n"/>
      <c r="S196" s="82" t="n"/>
      <c r="T196" s="82" t="n"/>
      <c r="U196" s="82" t="n"/>
      <c r="V196" s="82" t="n"/>
      <c r="W196" s="82" t="n"/>
      <c r="X196" s="82" t="n"/>
      <c r="Y196" s="82" t="n"/>
      <c r="Z196" s="82" t="n"/>
    </row>
    <row r="197" ht="15.75" customHeight="1" s="83">
      <c r="A197" s="82" t="n"/>
      <c r="B197" s="82" t="n"/>
      <c r="C197" s="82" t="n"/>
      <c r="D197" s="82" t="n"/>
      <c r="E197" s="81" t="n"/>
      <c r="F197" s="82" t="n"/>
      <c r="G197" s="82" t="n"/>
      <c r="H197" s="82" t="n"/>
      <c r="I197" s="82" t="n"/>
      <c r="J197" s="82" t="n"/>
      <c r="K197" s="82" t="n"/>
      <c r="L197" s="82" t="n"/>
      <c r="M197" s="82" t="n"/>
      <c r="N197" s="82" t="n"/>
      <c r="O197" s="82" t="n"/>
      <c r="P197" s="82" t="n"/>
      <c r="Q197" s="82" t="n"/>
      <c r="R197" s="82" t="n"/>
      <c r="S197" s="82" t="n"/>
      <c r="T197" s="82" t="n"/>
      <c r="U197" s="82" t="n"/>
      <c r="V197" s="82" t="n"/>
      <c r="W197" s="82" t="n"/>
      <c r="X197" s="82" t="n"/>
      <c r="Y197" s="82" t="n"/>
      <c r="Z197" s="82" t="n"/>
    </row>
    <row r="198" ht="15.75" customHeight="1" s="83">
      <c r="A198" s="82" t="n"/>
      <c r="B198" s="82" t="n"/>
      <c r="C198" s="82" t="n"/>
      <c r="D198" s="82" t="n"/>
      <c r="E198" s="81" t="n"/>
      <c r="F198" s="82" t="n"/>
      <c r="G198" s="82" t="n"/>
      <c r="H198" s="82" t="n"/>
      <c r="I198" s="82" t="n"/>
      <c r="J198" s="82" t="n"/>
      <c r="K198" s="82" t="n"/>
      <c r="L198" s="82" t="n"/>
      <c r="M198" s="82" t="n"/>
      <c r="N198" s="82" t="n"/>
      <c r="O198" s="82" t="n"/>
      <c r="P198" s="82" t="n"/>
      <c r="Q198" s="82" t="n"/>
      <c r="R198" s="82" t="n"/>
      <c r="S198" s="82" t="n"/>
      <c r="T198" s="82" t="n"/>
      <c r="U198" s="82" t="n"/>
      <c r="V198" s="82" t="n"/>
      <c r="W198" s="82" t="n"/>
      <c r="X198" s="82" t="n"/>
      <c r="Y198" s="82" t="n"/>
      <c r="Z198" s="82" t="n"/>
    </row>
    <row r="199" ht="15.75" customHeight="1" s="83">
      <c r="A199" s="82" t="n"/>
      <c r="B199" s="82" t="n"/>
      <c r="C199" s="82" t="n"/>
      <c r="D199" s="82" t="n"/>
      <c r="E199" s="81" t="n"/>
      <c r="F199" s="82" t="n"/>
      <c r="G199" s="82" t="n"/>
      <c r="H199" s="82" t="n"/>
      <c r="I199" s="82" t="n"/>
      <c r="J199" s="82" t="n"/>
      <c r="K199" s="82" t="n"/>
      <c r="L199" s="82" t="n"/>
      <c r="M199" s="82" t="n"/>
      <c r="N199" s="82" t="n"/>
      <c r="O199" s="82" t="n"/>
      <c r="P199" s="82" t="n"/>
      <c r="Q199" s="82" t="n"/>
      <c r="R199" s="82" t="n"/>
      <c r="S199" s="82" t="n"/>
      <c r="T199" s="82" t="n"/>
      <c r="U199" s="82" t="n"/>
      <c r="V199" s="82" t="n"/>
      <c r="W199" s="82" t="n"/>
      <c r="X199" s="82" t="n"/>
      <c r="Y199" s="82" t="n"/>
      <c r="Z199" s="82" t="n"/>
    </row>
    <row r="200" ht="15.75" customHeight="1" s="83">
      <c r="A200" s="82" t="n"/>
      <c r="B200" s="82" t="n"/>
      <c r="C200" s="82" t="n"/>
      <c r="D200" s="82" t="n"/>
      <c r="E200" s="81" t="n"/>
      <c r="F200" s="82" t="n"/>
      <c r="G200" s="82" t="n"/>
      <c r="H200" s="82" t="n"/>
      <c r="I200" s="82" t="n"/>
      <c r="J200" s="82" t="n"/>
      <c r="K200" s="82" t="n"/>
      <c r="L200" s="82" t="n"/>
      <c r="M200" s="82" t="n"/>
      <c r="N200" s="82" t="n"/>
      <c r="O200" s="82" t="n"/>
      <c r="P200" s="82" t="n"/>
      <c r="Q200" s="82" t="n"/>
      <c r="R200" s="82" t="n"/>
      <c r="S200" s="82" t="n"/>
      <c r="T200" s="82" t="n"/>
      <c r="U200" s="82" t="n"/>
      <c r="V200" s="82" t="n"/>
      <c r="W200" s="82" t="n"/>
      <c r="X200" s="82" t="n"/>
      <c r="Y200" s="82" t="n"/>
      <c r="Z200" s="82" t="n"/>
    </row>
    <row r="201" ht="15.75" customHeight="1" s="83">
      <c r="A201" s="82" t="n"/>
      <c r="B201" s="82" t="n"/>
      <c r="C201" s="82" t="n"/>
      <c r="D201" s="82" t="n"/>
      <c r="E201" s="81" t="n"/>
      <c r="F201" s="82" t="n"/>
      <c r="G201" s="82" t="n"/>
      <c r="H201" s="82" t="n"/>
      <c r="I201" s="82" t="n"/>
      <c r="J201" s="82" t="n"/>
      <c r="K201" s="82" t="n"/>
      <c r="L201" s="82" t="n"/>
      <c r="M201" s="82" t="n"/>
      <c r="N201" s="82" t="n"/>
      <c r="O201" s="82" t="n"/>
      <c r="P201" s="82" t="n"/>
      <c r="Q201" s="82" t="n"/>
      <c r="R201" s="82" t="n"/>
      <c r="S201" s="82" t="n"/>
      <c r="T201" s="82" t="n"/>
      <c r="U201" s="82" t="n"/>
      <c r="V201" s="82" t="n"/>
      <c r="W201" s="82" t="n"/>
      <c r="X201" s="82" t="n"/>
      <c r="Y201" s="82" t="n"/>
      <c r="Z201" s="82" t="n"/>
    </row>
    <row r="202" ht="15.75" customHeight="1" s="83">
      <c r="A202" s="82" t="n"/>
      <c r="B202" s="82" t="n"/>
      <c r="C202" s="82" t="n"/>
      <c r="D202" s="82" t="n"/>
      <c r="E202" s="81" t="n"/>
      <c r="F202" s="82" t="n"/>
      <c r="G202" s="82" t="n"/>
      <c r="H202" s="82" t="n"/>
      <c r="I202" s="82" t="n"/>
      <c r="J202" s="82" t="n"/>
      <c r="K202" s="82" t="n"/>
      <c r="L202" s="82" t="n"/>
      <c r="M202" s="82" t="n"/>
      <c r="N202" s="82" t="n"/>
      <c r="O202" s="82" t="n"/>
      <c r="P202" s="82" t="n"/>
      <c r="Q202" s="82" t="n"/>
      <c r="R202" s="82" t="n"/>
      <c r="S202" s="82" t="n"/>
      <c r="T202" s="82" t="n"/>
      <c r="U202" s="82" t="n"/>
      <c r="V202" s="82" t="n"/>
      <c r="W202" s="82" t="n"/>
      <c r="X202" s="82" t="n"/>
      <c r="Y202" s="82" t="n"/>
      <c r="Z202" s="82" t="n"/>
    </row>
    <row r="203" ht="15.75" customHeight="1" s="83">
      <c r="A203" s="82" t="n"/>
      <c r="B203" s="82" t="n"/>
      <c r="C203" s="82" t="n"/>
      <c r="D203" s="82" t="n"/>
      <c r="E203" s="81" t="n"/>
      <c r="F203" s="82" t="n"/>
      <c r="G203" s="82" t="n"/>
      <c r="H203" s="82" t="n"/>
      <c r="I203" s="82" t="n"/>
      <c r="J203" s="82" t="n"/>
      <c r="K203" s="82" t="n"/>
      <c r="L203" s="82" t="n"/>
      <c r="M203" s="82" t="n"/>
      <c r="N203" s="82" t="n"/>
      <c r="O203" s="82" t="n"/>
      <c r="P203" s="82" t="n"/>
      <c r="Q203" s="82" t="n"/>
      <c r="R203" s="82" t="n"/>
      <c r="S203" s="82" t="n"/>
      <c r="T203" s="82" t="n"/>
      <c r="U203" s="82" t="n"/>
      <c r="V203" s="82" t="n"/>
      <c r="W203" s="82" t="n"/>
      <c r="X203" s="82" t="n"/>
      <c r="Y203" s="82" t="n"/>
      <c r="Z203" s="82" t="n"/>
    </row>
    <row r="204" ht="15.75" customHeight="1" s="83">
      <c r="A204" s="82" t="n"/>
      <c r="B204" s="82" t="n"/>
      <c r="C204" s="82" t="n"/>
      <c r="D204" s="82" t="n"/>
      <c r="E204" s="81" t="n"/>
      <c r="F204" s="82" t="n"/>
      <c r="G204" s="82" t="n"/>
      <c r="H204" s="82" t="n"/>
      <c r="I204" s="82" t="n"/>
      <c r="J204" s="82" t="n"/>
      <c r="K204" s="82" t="n"/>
      <c r="L204" s="82" t="n"/>
      <c r="M204" s="82" t="n"/>
      <c r="N204" s="82" t="n"/>
      <c r="O204" s="82" t="n"/>
      <c r="P204" s="82" t="n"/>
      <c r="Q204" s="82" t="n"/>
      <c r="R204" s="82" t="n"/>
      <c r="S204" s="82" t="n"/>
      <c r="T204" s="82" t="n"/>
      <c r="U204" s="82" t="n"/>
      <c r="V204" s="82" t="n"/>
      <c r="W204" s="82" t="n"/>
      <c r="X204" s="82" t="n"/>
      <c r="Y204" s="82" t="n"/>
      <c r="Z204" s="82" t="n"/>
    </row>
    <row r="205" ht="15.75" customHeight="1" s="83">
      <c r="A205" s="82" t="n"/>
      <c r="B205" s="82" t="n"/>
      <c r="C205" s="82" t="n"/>
      <c r="D205" s="82" t="n"/>
      <c r="E205" s="81" t="n"/>
      <c r="F205" s="82" t="n"/>
      <c r="G205" s="82" t="n"/>
      <c r="H205" s="82" t="n"/>
      <c r="I205" s="82" t="n"/>
      <c r="J205" s="82" t="n"/>
      <c r="K205" s="82" t="n"/>
      <c r="L205" s="82" t="n"/>
      <c r="M205" s="82" t="n"/>
      <c r="N205" s="82" t="n"/>
      <c r="O205" s="82" t="n"/>
      <c r="P205" s="82" t="n"/>
      <c r="Q205" s="82" t="n"/>
      <c r="R205" s="82" t="n"/>
      <c r="S205" s="82" t="n"/>
      <c r="T205" s="82" t="n"/>
      <c r="U205" s="82" t="n"/>
      <c r="V205" s="82" t="n"/>
      <c r="W205" s="82" t="n"/>
      <c r="X205" s="82" t="n"/>
      <c r="Y205" s="82" t="n"/>
      <c r="Z205" s="82" t="n"/>
    </row>
    <row r="206" ht="15.75" customHeight="1" s="83">
      <c r="A206" s="82" t="n"/>
      <c r="B206" s="82" t="n"/>
      <c r="C206" s="82" t="n"/>
      <c r="D206" s="82" t="n"/>
      <c r="E206" s="81" t="n"/>
      <c r="F206" s="82" t="n"/>
      <c r="G206" s="82" t="n"/>
      <c r="H206" s="82" t="n"/>
      <c r="I206" s="82" t="n"/>
      <c r="J206" s="82" t="n"/>
      <c r="K206" s="82" t="n"/>
      <c r="L206" s="82" t="n"/>
      <c r="M206" s="82" t="n"/>
      <c r="N206" s="82" t="n"/>
      <c r="O206" s="82" t="n"/>
      <c r="P206" s="82" t="n"/>
      <c r="Q206" s="82" t="n"/>
      <c r="R206" s="82" t="n"/>
      <c r="S206" s="82" t="n"/>
      <c r="T206" s="82" t="n"/>
      <c r="U206" s="82" t="n"/>
      <c r="V206" s="82" t="n"/>
      <c r="W206" s="82" t="n"/>
      <c r="X206" s="82" t="n"/>
      <c r="Y206" s="82" t="n"/>
      <c r="Z206" s="82" t="n"/>
    </row>
    <row r="207" ht="15.75" customHeight="1" s="83">
      <c r="A207" s="82" t="n"/>
      <c r="B207" s="82" t="n"/>
      <c r="C207" s="82" t="n"/>
      <c r="D207" s="82" t="n"/>
      <c r="E207" s="81" t="n"/>
      <c r="F207" s="82" t="n"/>
      <c r="G207" s="82" t="n"/>
      <c r="H207" s="82" t="n"/>
      <c r="I207" s="82" t="n"/>
      <c r="J207" s="82" t="n"/>
      <c r="K207" s="82" t="n"/>
      <c r="L207" s="82" t="n"/>
      <c r="M207" s="82" t="n"/>
      <c r="N207" s="82" t="n"/>
      <c r="O207" s="82" t="n"/>
      <c r="P207" s="82" t="n"/>
      <c r="Q207" s="82" t="n"/>
      <c r="R207" s="82" t="n"/>
      <c r="S207" s="82" t="n"/>
      <c r="T207" s="82" t="n"/>
      <c r="U207" s="82" t="n"/>
      <c r="V207" s="82" t="n"/>
      <c r="W207" s="82" t="n"/>
      <c r="X207" s="82" t="n"/>
      <c r="Y207" s="82" t="n"/>
      <c r="Z207" s="82" t="n"/>
    </row>
    <row r="208" ht="15.75" customHeight="1" s="83">
      <c r="A208" s="82" t="n"/>
      <c r="B208" s="82" t="n"/>
      <c r="C208" s="82" t="n"/>
      <c r="D208" s="82" t="n"/>
      <c r="E208" s="81" t="n"/>
      <c r="F208" s="82" t="n"/>
      <c r="G208" s="82" t="n"/>
      <c r="H208" s="82" t="n"/>
      <c r="I208" s="82" t="n"/>
      <c r="J208" s="82" t="n"/>
      <c r="K208" s="82" t="n"/>
      <c r="L208" s="82" t="n"/>
      <c r="M208" s="82" t="n"/>
      <c r="N208" s="82" t="n"/>
      <c r="O208" s="82" t="n"/>
      <c r="P208" s="82" t="n"/>
      <c r="Q208" s="82" t="n"/>
      <c r="R208" s="82" t="n"/>
      <c r="S208" s="82" t="n"/>
      <c r="T208" s="82" t="n"/>
      <c r="U208" s="82" t="n"/>
      <c r="V208" s="82" t="n"/>
      <c r="W208" s="82" t="n"/>
      <c r="X208" s="82" t="n"/>
      <c r="Y208" s="82" t="n"/>
      <c r="Z208" s="82" t="n"/>
    </row>
    <row r="209" ht="15.75" customHeight="1" s="83">
      <c r="A209" s="82" t="n"/>
      <c r="B209" s="82" t="n"/>
      <c r="C209" s="82" t="n"/>
      <c r="D209" s="82" t="n"/>
      <c r="E209" s="81" t="n"/>
      <c r="F209" s="82" t="n"/>
      <c r="G209" s="82" t="n"/>
      <c r="H209" s="82" t="n"/>
      <c r="I209" s="82" t="n"/>
      <c r="J209" s="82" t="n"/>
      <c r="K209" s="82" t="n"/>
      <c r="L209" s="82" t="n"/>
      <c r="M209" s="82" t="n"/>
      <c r="N209" s="82" t="n"/>
      <c r="O209" s="82" t="n"/>
      <c r="P209" s="82" t="n"/>
      <c r="Q209" s="82" t="n"/>
      <c r="R209" s="82" t="n"/>
      <c r="S209" s="82" t="n"/>
      <c r="T209" s="82" t="n"/>
      <c r="U209" s="82" t="n"/>
      <c r="V209" s="82" t="n"/>
      <c r="W209" s="82" t="n"/>
      <c r="X209" s="82" t="n"/>
      <c r="Y209" s="82" t="n"/>
      <c r="Z209" s="82" t="n"/>
    </row>
    <row r="210" ht="15.75" customHeight="1" s="83">
      <c r="A210" s="82" t="n"/>
      <c r="B210" s="82" t="n"/>
      <c r="C210" s="82" t="n"/>
      <c r="D210" s="82" t="n"/>
      <c r="E210" s="81" t="n"/>
      <c r="F210" s="82" t="n"/>
      <c r="G210" s="82" t="n"/>
      <c r="H210" s="82" t="n"/>
      <c r="I210" s="82" t="n"/>
      <c r="J210" s="82" t="n"/>
      <c r="K210" s="82" t="n"/>
      <c r="L210" s="82" t="n"/>
      <c r="M210" s="82" t="n"/>
      <c r="N210" s="82" t="n"/>
      <c r="O210" s="82" t="n"/>
      <c r="P210" s="82" t="n"/>
      <c r="Q210" s="82" t="n"/>
      <c r="R210" s="82" t="n"/>
      <c r="S210" s="82" t="n"/>
      <c r="T210" s="82" t="n"/>
      <c r="U210" s="82" t="n"/>
      <c r="V210" s="82" t="n"/>
      <c r="W210" s="82" t="n"/>
      <c r="X210" s="82" t="n"/>
      <c r="Y210" s="82" t="n"/>
      <c r="Z210" s="82" t="n"/>
    </row>
    <row r="211" ht="15.75" customHeight="1" s="83">
      <c r="A211" s="82" t="n"/>
      <c r="B211" s="82" t="n"/>
      <c r="C211" s="82" t="n"/>
      <c r="D211" s="82" t="n"/>
      <c r="E211" s="81" t="n"/>
      <c r="F211" s="82" t="n"/>
      <c r="G211" s="82" t="n"/>
      <c r="H211" s="82" t="n"/>
      <c r="I211" s="82" t="n"/>
      <c r="J211" s="82" t="n"/>
      <c r="K211" s="82" t="n"/>
      <c r="L211" s="82" t="n"/>
      <c r="M211" s="82" t="n"/>
      <c r="N211" s="82" t="n"/>
      <c r="O211" s="82" t="n"/>
      <c r="P211" s="82" t="n"/>
      <c r="Q211" s="82" t="n"/>
      <c r="R211" s="82" t="n"/>
      <c r="S211" s="82" t="n"/>
      <c r="T211" s="82" t="n"/>
      <c r="U211" s="82" t="n"/>
      <c r="V211" s="82" t="n"/>
      <c r="W211" s="82" t="n"/>
      <c r="X211" s="82" t="n"/>
      <c r="Y211" s="82" t="n"/>
      <c r="Z211" s="82" t="n"/>
    </row>
    <row r="212" ht="15.75" customHeight="1" s="83">
      <c r="A212" s="82" t="n"/>
      <c r="B212" s="82" t="n"/>
      <c r="C212" s="82" t="n"/>
      <c r="D212" s="82" t="n"/>
      <c r="E212" s="81" t="n"/>
      <c r="F212" s="82" t="n"/>
      <c r="G212" s="82" t="n"/>
      <c r="H212" s="82" t="n"/>
      <c r="I212" s="82" t="n"/>
      <c r="J212" s="82" t="n"/>
      <c r="K212" s="82" t="n"/>
      <c r="L212" s="82" t="n"/>
      <c r="M212" s="82" t="n"/>
      <c r="N212" s="82" t="n"/>
      <c r="O212" s="82" t="n"/>
      <c r="P212" s="82" t="n"/>
      <c r="Q212" s="82" t="n"/>
      <c r="R212" s="82" t="n"/>
      <c r="S212" s="82" t="n"/>
      <c r="T212" s="82" t="n"/>
      <c r="U212" s="82" t="n"/>
      <c r="V212" s="82" t="n"/>
      <c r="W212" s="82" t="n"/>
      <c r="X212" s="82" t="n"/>
      <c r="Y212" s="82" t="n"/>
      <c r="Z212" s="82" t="n"/>
    </row>
    <row r="213" ht="15.75" customHeight="1" s="83">
      <c r="A213" s="82" t="n"/>
      <c r="B213" s="82" t="n"/>
      <c r="C213" s="82" t="n"/>
      <c r="D213" s="82" t="n"/>
      <c r="E213" s="81" t="n"/>
      <c r="F213" s="82" t="n"/>
      <c r="G213" s="82" t="n"/>
      <c r="H213" s="82" t="n"/>
      <c r="I213" s="82" t="n"/>
      <c r="J213" s="82" t="n"/>
      <c r="K213" s="82" t="n"/>
      <c r="L213" s="82" t="n"/>
      <c r="M213" s="82" t="n"/>
      <c r="N213" s="82" t="n"/>
      <c r="O213" s="82" t="n"/>
      <c r="P213" s="82" t="n"/>
      <c r="Q213" s="82" t="n"/>
      <c r="R213" s="82" t="n"/>
      <c r="S213" s="82" t="n"/>
      <c r="T213" s="82" t="n"/>
      <c r="U213" s="82" t="n"/>
      <c r="V213" s="82" t="n"/>
      <c r="W213" s="82" t="n"/>
      <c r="X213" s="82" t="n"/>
      <c r="Y213" s="82" t="n"/>
      <c r="Z213" s="82" t="n"/>
    </row>
    <row r="214" ht="15.75" customHeight="1" s="83">
      <c r="A214" s="82" t="n"/>
      <c r="B214" s="82" t="n"/>
      <c r="C214" s="82" t="n"/>
      <c r="D214" s="82" t="n"/>
      <c r="E214" s="81" t="n"/>
      <c r="F214" s="82" t="n"/>
      <c r="G214" s="82" t="n"/>
      <c r="H214" s="82" t="n"/>
      <c r="I214" s="82" t="n"/>
      <c r="J214" s="82" t="n"/>
      <c r="K214" s="82" t="n"/>
      <c r="L214" s="82" t="n"/>
      <c r="M214" s="82" t="n"/>
      <c r="N214" s="82" t="n"/>
      <c r="O214" s="82" t="n"/>
      <c r="P214" s="82" t="n"/>
      <c r="Q214" s="82" t="n"/>
      <c r="R214" s="82" t="n"/>
      <c r="S214" s="82" t="n"/>
      <c r="T214" s="82" t="n"/>
      <c r="U214" s="82" t="n"/>
      <c r="V214" s="82" t="n"/>
      <c r="W214" s="82" t="n"/>
      <c r="X214" s="82" t="n"/>
      <c r="Y214" s="82" t="n"/>
      <c r="Z214" s="82" t="n"/>
    </row>
    <row r="215" ht="15.75" customHeight="1" s="83">
      <c r="A215" s="82" t="n"/>
      <c r="B215" s="82" t="n"/>
      <c r="C215" s="82" t="n"/>
      <c r="D215" s="82" t="n"/>
      <c r="E215" s="81" t="n"/>
      <c r="F215" s="82" t="n"/>
      <c r="G215" s="82" t="n"/>
      <c r="H215" s="82" t="n"/>
      <c r="I215" s="82" t="n"/>
      <c r="J215" s="82" t="n"/>
      <c r="K215" s="82" t="n"/>
      <c r="L215" s="82" t="n"/>
      <c r="M215" s="82" t="n"/>
      <c r="N215" s="82" t="n"/>
      <c r="O215" s="82" t="n"/>
      <c r="P215" s="82" t="n"/>
      <c r="Q215" s="82" t="n"/>
      <c r="R215" s="82" t="n"/>
      <c r="S215" s="82" t="n"/>
      <c r="T215" s="82" t="n"/>
      <c r="U215" s="82" t="n"/>
      <c r="V215" s="82" t="n"/>
      <c r="W215" s="82" t="n"/>
      <c r="X215" s="82" t="n"/>
      <c r="Y215" s="82" t="n"/>
      <c r="Z215" s="82" t="n"/>
    </row>
    <row r="216" ht="15.75" customHeight="1" s="83">
      <c r="A216" s="82" t="n"/>
      <c r="B216" s="82" t="n"/>
      <c r="C216" s="82" t="n"/>
      <c r="D216" s="82" t="n"/>
      <c r="E216" s="81" t="n"/>
      <c r="F216" s="82" t="n"/>
      <c r="G216" s="82" t="n"/>
      <c r="H216" s="82" t="n"/>
      <c r="I216" s="82" t="n"/>
      <c r="J216" s="82" t="n"/>
      <c r="K216" s="82" t="n"/>
      <c r="L216" s="82" t="n"/>
      <c r="M216" s="82" t="n"/>
      <c r="N216" s="82" t="n"/>
      <c r="O216" s="82" t="n"/>
      <c r="P216" s="82" t="n"/>
      <c r="Q216" s="82" t="n"/>
      <c r="R216" s="82" t="n"/>
      <c r="S216" s="82" t="n"/>
      <c r="T216" s="82" t="n"/>
      <c r="U216" s="82" t="n"/>
      <c r="V216" s="82" t="n"/>
      <c r="W216" s="82" t="n"/>
      <c r="X216" s="82" t="n"/>
      <c r="Y216" s="82" t="n"/>
      <c r="Z216" s="82" t="n"/>
    </row>
    <row r="217" ht="15.75" customHeight="1" s="83">
      <c r="A217" s="82" t="n"/>
      <c r="B217" s="82" t="n"/>
      <c r="C217" s="82" t="n"/>
      <c r="D217" s="82" t="n"/>
      <c r="E217" s="81" t="n"/>
      <c r="F217" s="82" t="n"/>
      <c r="G217" s="82" t="n"/>
      <c r="H217" s="82" t="n"/>
      <c r="I217" s="82" t="n"/>
      <c r="J217" s="82" t="n"/>
      <c r="K217" s="82" t="n"/>
      <c r="L217" s="82" t="n"/>
      <c r="M217" s="82" t="n"/>
      <c r="N217" s="82" t="n"/>
      <c r="O217" s="82" t="n"/>
      <c r="P217" s="82" t="n"/>
      <c r="Q217" s="82" t="n"/>
      <c r="R217" s="82" t="n"/>
      <c r="S217" s="82" t="n"/>
      <c r="T217" s="82" t="n"/>
      <c r="U217" s="82" t="n"/>
      <c r="V217" s="82" t="n"/>
      <c r="W217" s="82" t="n"/>
      <c r="X217" s="82" t="n"/>
      <c r="Y217" s="82" t="n"/>
      <c r="Z217" s="82" t="n"/>
    </row>
    <row r="218" ht="15.75" customHeight="1" s="83">
      <c r="A218" s="82" t="n"/>
      <c r="B218" s="82" t="n"/>
      <c r="C218" s="82" t="n"/>
      <c r="D218" s="82" t="n"/>
      <c r="E218" s="81" t="n"/>
      <c r="F218" s="82" t="n"/>
      <c r="G218" s="82" t="n"/>
      <c r="H218" s="82" t="n"/>
      <c r="I218" s="82" t="n"/>
      <c r="J218" s="82" t="n"/>
      <c r="K218" s="82" t="n"/>
      <c r="L218" s="82" t="n"/>
      <c r="M218" s="82" t="n"/>
      <c r="N218" s="82" t="n"/>
      <c r="O218" s="82" t="n"/>
      <c r="P218" s="82" t="n"/>
      <c r="Q218" s="82" t="n"/>
      <c r="R218" s="82" t="n"/>
      <c r="S218" s="82" t="n"/>
      <c r="T218" s="82" t="n"/>
      <c r="U218" s="82" t="n"/>
      <c r="V218" s="82" t="n"/>
      <c r="W218" s="82" t="n"/>
      <c r="X218" s="82" t="n"/>
      <c r="Y218" s="82" t="n"/>
      <c r="Z218" s="82" t="n"/>
    </row>
    <row r="219" ht="15.75" customHeight="1" s="83">
      <c r="A219" s="82" t="n"/>
      <c r="B219" s="82" t="n"/>
      <c r="C219" s="82" t="n"/>
      <c r="D219" s="82" t="n"/>
      <c r="E219" s="81" t="n"/>
      <c r="F219" s="82" t="n"/>
      <c r="G219" s="82" t="n"/>
      <c r="H219" s="82" t="n"/>
      <c r="I219" s="82" t="n"/>
      <c r="J219" s="82" t="n"/>
      <c r="K219" s="82" t="n"/>
      <c r="L219" s="82" t="n"/>
      <c r="M219" s="82" t="n"/>
      <c r="N219" s="82" t="n"/>
      <c r="O219" s="82" t="n"/>
      <c r="P219" s="82" t="n"/>
      <c r="Q219" s="82" t="n"/>
      <c r="R219" s="82" t="n"/>
      <c r="S219" s="82" t="n"/>
      <c r="T219" s="82" t="n"/>
      <c r="U219" s="82" t="n"/>
      <c r="V219" s="82" t="n"/>
      <c r="W219" s="82" t="n"/>
      <c r="X219" s="82" t="n"/>
      <c r="Y219" s="82" t="n"/>
      <c r="Z219" s="82" t="n"/>
    </row>
    <row r="220" ht="15.75" customHeight="1" s="83">
      <c r="A220" s="82" t="n"/>
      <c r="B220" s="82" t="n"/>
      <c r="C220" s="82" t="n"/>
      <c r="D220" s="82" t="n"/>
      <c r="E220" s="81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  <c r="P220" s="82" t="n"/>
      <c r="Q220" s="82" t="n"/>
      <c r="R220" s="82" t="n"/>
      <c r="S220" s="82" t="n"/>
      <c r="T220" s="82" t="n"/>
      <c r="U220" s="82" t="n"/>
      <c r="V220" s="82" t="n"/>
      <c r="W220" s="82" t="n"/>
      <c r="X220" s="82" t="n"/>
      <c r="Y220" s="82" t="n"/>
      <c r="Z220" s="82" t="n"/>
    </row>
    <row r="221" ht="15.75" customHeight="1" s="83">
      <c r="A221" s="82" t="n"/>
      <c r="B221" s="82" t="n"/>
      <c r="C221" s="82" t="n"/>
      <c r="D221" s="82" t="n"/>
      <c r="E221" s="81" t="n"/>
      <c r="F221" s="82" t="n"/>
      <c r="G221" s="82" t="n"/>
      <c r="H221" s="82" t="n"/>
      <c r="I221" s="82" t="n"/>
      <c r="J221" s="82" t="n"/>
      <c r="K221" s="82" t="n"/>
      <c r="L221" s="82" t="n"/>
      <c r="M221" s="82" t="n"/>
      <c r="N221" s="82" t="n"/>
      <c r="O221" s="82" t="n"/>
      <c r="P221" s="82" t="n"/>
      <c r="Q221" s="82" t="n"/>
      <c r="R221" s="82" t="n"/>
      <c r="S221" s="82" t="n"/>
      <c r="T221" s="82" t="n"/>
      <c r="U221" s="82" t="n"/>
      <c r="V221" s="82" t="n"/>
      <c r="W221" s="82" t="n"/>
      <c r="X221" s="82" t="n"/>
      <c r="Y221" s="82" t="n"/>
      <c r="Z221" s="82" t="n"/>
    </row>
    <row r="222" ht="15.75" customHeight="1" s="83">
      <c r="A222" s="82" t="n"/>
      <c r="B222" s="82" t="n"/>
      <c r="C222" s="82" t="n"/>
      <c r="D222" s="82" t="n"/>
      <c r="E222" s="81" t="n"/>
      <c r="F222" s="82" t="n"/>
      <c r="G222" s="82" t="n"/>
      <c r="H222" s="82" t="n"/>
      <c r="I222" s="82" t="n"/>
      <c r="J222" s="82" t="n"/>
      <c r="K222" s="82" t="n"/>
      <c r="L222" s="82" t="n"/>
      <c r="M222" s="82" t="n"/>
      <c r="N222" s="82" t="n"/>
      <c r="O222" s="82" t="n"/>
      <c r="P222" s="82" t="n"/>
      <c r="Q222" s="82" t="n"/>
      <c r="R222" s="82" t="n"/>
      <c r="S222" s="82" t="n"/>
      <c r="T222" s="82" t="n"/>
      <c r="U222" s="82" t="n"/>
      <c r="V222" s="82" t="n"/>
      <c r="W222" s="82" t="n"/>
      <c r="X222" s="82" t="n"/>
      <c r="Y222" s="82" t="n"/>
      <c r="Z222" s="82" t="n"/>
    </row>
    <row r="223" ht="15.75" customHeight="1" s="83">
      <c r="A223" s="82" t="n"/>
      <c r="B223" s="82" t="n"/>
      <c r="C223" s="82" t="n"/>
      <c r="D223" s="82" t="n"/>
      <c r="E223" s="81" t="n"/>
      <c r="F223" s="82" t="n"/>
      <c r="G223" s="82" t="n"/>
      <c r="H223" s="82" t="n"/>
      <c r="I223" s="82" t="n"/>
      <c r="J223" s="82" t="n"/>
      <c r="K223" s="82" t="n"/>
      <c r="L223" s="82" t="n"/>
      <c r="M223" s="82" t="n"/>
      <c r="N223" s="82" t="n"/>
      <c r="O223" s="82" t="n"/>
      <c r="P223" s="82" t="n"/>
      <c r="Q223" s="82" t="n"/>
      <c r="R223" s="82" t="n"/>
      <c r="S223" s="82" t="n"/>
      <c r="T223" s="82" t="n"/>
      <c r="U223" s="82" t="n"/>
      <c r="V223" s="82" t="n"/>
      <c r="W223" s="82" t="n"/>
      <c r="X223" s="82" t="n"/>
      <c r="Y223" s="82" t="n"/>
      <c r="Z223" s="82" t="n"/>
    </row>
    <row r="224" ht="15.75" customHeight="1" s="83">
      <c r="A224" s="82" t="n"/>
      <c r="B224" s="82" t="n"/>
      <c r="C224" s="82" t="n"/>
      <c r="D224" s="82" t="n"/>
      <c r="E224" s="81" t="n"/>
      <c r="F224" s="82" t="n"/>
      <c r="G224" s="82" t="n"/>
      <c r="H224" s="82" t="n"/>
      <c r="I224" s="82" t="n"/>
      <c r="J224" s="82" t="n"/>
      <c r="K224" s="82" t="n"/>
      <c r="L224" s="82" t="n"/>
      <c r="M224" s="82" t="n"/>
      <c r="N224" s="82" t="n"/>
      <c r="O224" s="82" t="n"/>
      <c r="P224" s="82" t="n"/>
      <c r="Q224" s="82" t="n"/>
      <c r="R224" s="82" t="n"/>
      <c r="S224" s="82" t="n"/>
      <c r="T224" s="82" t="n"/>
      <c r="U224" s="82" t="n"/>
      <c r="V224" s="82" t="n"/>
      <c r="W224" s="82" t="n"/>
      <c r="X224" s="82" t="n"/>
      <c r="Y224" s="82" t="n"/>
      <c r="Z224" s="82" t="n"/>
    </row>
    <row r="225" ht="15.75" customHeight="1" s="83">
      <c r="A225" s="82" t="n"/>
      <c r="B225" s="82" t="n"/>
      <c r="C225" s="82" t="n"/>
      <c r="D225" s="82" t="n"/>
      <c r="E225" s="81" t="n"/>
      <c r="F225" s="82" t="n"/>
      <c r="G225" s="82" t="n"/>
      <c r="H225" s="82" t="n"/>
      <c r="I225" s="82" t="n"/>
      <c r="J225" s="82" t="n"/>
      <c r="K225" s="82" t="n"/>
      <c r="L225" s="82" t="n"/>
      <c r="M225" s="82" t="n"/>
      <c r="N225" s="82" t="n"/>
      <c r="O225" s="82" t="n"/>
      <c r="P225" s="82" t="n"/>
      <c r="Q225" s="82" t="n"/>
      <c r="R225" s="82" t="n"/>
      <c r="S225" s="82" t="n"/>
      <c r="T225" s="82" t="n"/>
      <c r="U225" s="82" t="n"/>
      <c r="V225" s="82" t="n"/>
      <c r="W225" s="82" t="n"/>
      <c r="X225" s="82" t="n"/>
      <c r="Y225" s="82" t="n"/>
      <c r="Z225" s="82" t="n"/>
    </row>
    <row r="226" ht="15.75" customHeight="1" s="83">
      <c r="A226" s="82" t="n"/>
      <c r="B226" s="82" t="n"/>
      <c r="C226" s="82" t="n"/>
      <c r="D226" s="82" t="n"/>
      <c r="E226" s="81" t="n"/>
      <c r="F226" s="82" t="n"/>
      <c r="G226" s="82" t="n"/>
      <c r="H226" s="82" t="n"/>
      <c r="I226" s="82" t="n"/>
      <c r="J226" s="82" t="n"/>
      <c r="K226" s="82" t="n"/>
      <c r="L226" s="82" t="n"/>
      <c r="M226" s="82" t="n"/>
      <c r="N226" s="82" t="n"/>
      <c r="O226" s="82" t="n"/>
      <c r="P226" s="82" t="n"/>
      <c r="Q226" s="82" t="n"/>
      <c r="R226" s="82" t="n"/>
      <c r="S226" s="82" t="n"/>
      <c r="T226" s="82" t="n"/>
      <c r="U226" s="82" t="n"/>
      <c r="V226" s="82" t="n"/>
      <c r="W226" s="82" t="n"/>
      <c r="X226" s="82" t="n"/>
      <c r="Y226" s="82" t="n"/>
      <c r="Z226" s="82" t="n"/>
    </row>
    <row r="227" ht="15.75" customHeight="1" s="83">
      <c r="A227" s="82" t="n"/>
      <c r="B227" s="82" t="n"/>
      <c r="C227" s="82" t="n"/>
      <c r="D227" s="82" t="n"/>
      <c r="E227" s="81" t="n"/>
      <c r="F227" s="82" t="n"/>
      <c r="G227" s="82" t="n"/>
      <c r="H227" s="82" t="n"/>
      <c r="I227" s="82" t="n"/>
      <c r="J227" s="82" t="n"/>
      <c r="K227" s="82" t="n"/>
      <c r="L227" s="82" t="n"/>
      <c r="M227" s="82" t="n"/>
      <c r="N227" s="82" t="n"/>
      <c r="O227" s="82" t="n"/>
      <c r="P227" s="82" t="n"/>
      <c r="Q227" s="82" t="n"/>
      <c r="R227" s="82" t="n"/>
      <c r="S227" s="82" t="n"/>
      <c r="T227" s="82" t="n"/>
      <c r="U227" s="82" t="n"/>
      <c r="V227" s="82" t="n"/>
      <c r="W227" s="82" t="n"/>
      <c r="X227" s="82" t="n"/>
      <c r="Y227" s="82" t="n"/>
      <c r="Z227" s="82" t="n"/>
    </row>
    <row r="228" ht="15.75" customHeight="1" s="83">
      <c r="A228" s="82" t="n"/>
      <c r="B228" s="82" t="n"/>
      <c r="C228" s="82" t="n"/>
      <c r="D228" s="82" t="n"/>
      <c r="E228" s="81" t="n"/>
      <c r="F228" s="82" t="n"/>
      <c r="G228" s="82" t="n"/>
      <c r="H228" s="82" t="n"/>
      <c r="I228" s="82" t="n"/>
      <c r="J228" s="82" t="n"/>
      <c r="K228" s="82" t="n"/>
      <c r="L228" s="82" t="n"/>
      <c r="M228" s="82" t="n"/>
      <c r="N228" s="82" t="n"/>
      <c r="O228" s="82" t="n"/>
      <c r="P228" s="82" t="n"/>
      <c r="Q228" s="82" t="n"/>
      <c r="R228" s="82" t="n"/>
      <c r="S228" s="82" t="n"/>
      <c r="T228" s="82" t="n"/>
      <c r="U228" s="82" t="n"/>
      <c r="V228" s="82" t="n"/>
      <c r="W228" s="82" t="n"/>
      <c r="X228" s="82" t="n"/>
      <c r="Y228" s="82" t="n"/>
      <c r="Z228" s="82" t="n"/>
    </row>
    <row r="229" ht="15.75" customHeight="1" s="83">
      <c r="A229" s="82" t="n"/>
      <c r="B229" s="82" t="n"/>
      <c r="C229" s="82" t="n"/>
      <c r="D229" s="82" t="n"/>
      <c r="E229" s="81" t="n"/>
      <c r="F229" s="82" t="n"/>
      <c r="G229" s="82" t="n"/>
      <c r="H229" s="82" t="n"/>
      <c r="I229" s="82" t="n"/>
      <c r="J229" s="82" t="n"/>
      <c r="K229" s="82" t="n"/>
      <c r="L229" s="82" t="n"/>
      <c r="M229" s="82" t="n"/>
      <c r="N229" s="82" t="n"/>
      <c r="O229" s="82" t="n"/>
      <c r="P229" s="82" t="n"/>
      <c r="Q229" s="82" t="n"/>
      <c r="R229" s="82" t="n"/>
      <c r="S229" s="82" t="n"/>
      <c r="T229" s="82" t="n"/>
      <c r="U229" s="82" t="n"/>
      <c r="V229" s="82" t="n"/>
      <c r="W229" s="82" t="n"/>
      <c r="X229" s="82" t="n"/>
      <c r="Y229" s="82" t="n"/>
      <c r="Z229" s="82" t="n"/>
    </row>
    <row r="230" ht="15.75" customHeight="1" s="83">
      <c r="A230" s="82" t="n"/>
      <c r="B230" s="82" t="n"/>
      <c r="C230" s="82" t="n"/>
      <c r="D230" s="82" t="n"/>
      <c r="E230" s="81" t="n"/>
      <c r="F230" s="82" t="n"/>
      <c r="G230" s="82" t="n"/>
      <c r="H230" s="82" t="n"/>
      <c r="I230" s="82" t="n"/>
      <c r="J230" s="82" t="n"/>
      <c r="K230" s="82" t="n"/>
      <c r="L230" s="82" t="n"/>
      <c r="M230" s="82" t="n"/>
      <c r="N230" s="82" t="n"/>
      <c r="O230" s="82" t="n"/>
      <c r="P230" s="82" t="n"/>
      <c r="Q230" s="82" t="n"/>
      <c r="R230" s="82" t="n"/>
      <c r="S230" s="82" t="n"/>
      <c r="T230" s="82" t="n"/>
      <c r="U230" s="82" t="n"/>
      <c r="V230" s="82" t="n"/>
      <c r="W230" s="82" t="n"/>
      <c r="X230" s="82" t="n"/>
      <c r="Y230" s="82" t="n"/>
      <c r="Z230" s="82" t="n"/>
    </row>
    <row r="231" ht="15.75" customHeight="1" s="83">
      <c r="A231" s="82" t="n"/>
      <c r="B231" s="82" t="n"/>
      <c r="C231" s="82" t="n"/>
      <c r="D231" s="82" t="n"/>
      <c r="E231" s="81" t="n"/>
      <c r="F231" s="82" t="n"/>
      <c r="G231" s="82" t="n"/>
      <c r="H231" s="82" t="n"/>
      <c r="I231" s="82" t="n"/>
      <c r="J231" s="82" t="n"/>
      <c r="K231" s="82" t="n"/>
      <c r="L231" s="82" t="n"/>
      <c r="M231" s="82" t="n"/>
      <c r="N231" s="82" t="n"/>
      <c r="O231" s="82" t="n"/>
      <c r="P231" s="82" t="n"/>
      <c r="Q231" s="82" t="n"/>
      <c r="R231" s="82" t="n"/>
      <c r="S231" s="82" t="n"/>
      <c r="T231" s="82" t="n"/>
      <c r="U231" s="82" t="n"/>
      <c r="V231" s="82" t="n"/>
      <c r="W231" s="82" t="n"/>
      <c r="X231" s="82" t="n"/>
      <c r="Y231" s="82" t="n"/>
      <c r="Z231" s="82" t="n"/>
    </row>
    <row r="232" ht="15.75" customHeight="1" s="83">
      <c r="A232" s="82" t="n"/>
      <c r="B232" s="82" t="n"/>
      <c r="C232" s="82" t="n"/>
      <c r="D232" s="82" t="n"/>
      <c r="E232" s="81" t="n"/>
      <c r="F232" s="82" t="n"/>
      <c r="G232" s="82" t="n"/>
      <c r="H232" s="82" t="n"/>
      <c r="I232" s="82" t="n"/>
      <c r="J232" s="82" t="n"/>
      <c r="K232" s="82" t="n"/>
      <c r="L232" s="82" t="n"/>
      <c r="M232" s="82" t="n"/>
      <c r="N232" s="82" t="n"/>
      <c r="O232" s="82" t="n"/>
      <c r="P232" s="82" t="n"/>
      <c r="Q232" s="82" t="n"/>
      <c r="R232" s="82" t="n"/>
      <c r="S232" s="82" t="n"/>
      <c r="T232" s="82" t="n"/>
      <c r="U232" s="82" t="n"/>
      <c r="V232" s="82" t="n"/>
      <c r="W232" s="82" t="n"/>
      <c r="X232" s="82" t="n"/>
      <c r="Y232" s="82" t="n"/>
      <c r="Z232" s="82" t="n"/>
    </row>
    <row r="233" ht="15.75" customHeight="1" s="83">
      <c r="A233" s="82" t="n"/>
      <c r="B233" s="82" t="n"/>
      <c r="C233" s="82" t="n"/>
      <c r="D233" s="82" t="n"/>
      <c r="E233" s="81" t="n"/>
      <c r="F233" s="82" t="n"/>
      <c r="G233" s="82" t="n"/>
      <c r="H233" s="82" t="n"/>
      <c r="I233" s="82" t="n"/>
      <c r="J233" s="82" t="n"/>
      <c r="K233" s="82" t="n"/>
      <c r="L233" s="82" t="n"/>
      <c r="M233" s="82" t="n"/>
      <c r="N233" s="82" t="n"/>
      <c r="O233" s="82" t="n"/>
      <c r="P233" s="82" t="n"/>
      <c r="Q233" s="82" t="n"/>
      <c r="R233" s="82" t="n"/>
      <c r="S233" s="82" t="n"/>
      <c r="T233" s="82" t="n"/>
      <c r="U233" s="82" t="n"/>
      <c r="V233" s="82" t="n"/>
      <c r="W233" s="82" t="n"/>
      <c r="X233" s="82" t="n"/>
      <c r="Y233" s="82" t="n"/>
      <c r="Z233" s="82" t="n"/>
    </row>
    <row r="234" ht="15.75" customHeight="1" s="83">
      <c r="A234" s="82" t="n"/>
      <c r="B234" s="82" t="n"/>
      <c r="C234" s="82" t="n"/>
      <c r="D234" s="82" t="n"/>
      <c r="E234" s="81" t="n"/>
      <c r="F234" s="82" t="n"/>
      <c r="G234" s="82" t="n"/>
      <c r="H234" s="82" t="n"/>
      <c r="I234" s="82" t="n"/>
      <c r="J234" s="82" t="n"/>
      <c r="K234" s="82" t="n"/>
      <c r="L234" s="82" t="n"/>
      <c r="M234" s="82" t="n"/>
      <c r="N234" s="82" t="n"/>
      <c r="O234" s="82" t="n"/>
      <c r="P234" s="82" t="n"/>
      <c r="Q234" s="82" t="n"/>
      <c r="R234" s="82" t="n"/>
      <c r="S234" s="82" t="n"/>
      <c r="T234" s="82" t="n"/>
      <c r="U234" s="82" t="n"/>
      <c r="V234" s="82" t="n"/>
      <c r="W234" s="82" t="n"/>
      <c r="X234" s="82" t="n"/>
      <c r="Y234" s="82" t="n"/>
      <c r="Z234" s="82" t="n"/>
    </row>
    <row r="235" ht="15.75" customHeight="1" s="83">
      <c r="A235" s="82" t="n"/>
      <c r="B235" s="82" t="n"/>
      <c r="C235" s="82" t="n"/>
      <c r="D235" s="82" t="n"/>
      <c r="E235" s="81" t="n"/>
      <c r="F235" s="82" t="n"/>
      <c r="G235" s="82" t="n"/>
      <c r="H235" s="82" t="n"/>
      <c r="I235" s="82" t="n"/>
      <c r="J235" s="82" t="n"/>
      <c r="K235" s="82" t="n"/>
      <c r="L235" s="82" t="n"/>
      <c r="M235" s="82" t="n"/>
      <c r="N235" s="82" t="n"/>
      <c r="O235" s="82" t="n"/>
      <c r="P235" s="82" t="n"/>
      <c r="Q235" s="82" t="n"/>
      <c r="R235" s="82" t="n"/>
      <c r="S235" s="82" t="n"/>
      <c r="T235" s="82" t="n"/>
      <c r="U235" s="82" t="n"/>
      <c r="V235" s="82" t="n"/>
      <c r="W235" s="82" t="n"/>
      <c r="X235" s="82" t="n"/>
      <c r="Y235" s="82" t="n"/>
      <c r="Z235" s="82" t="n"/>
    </row>
    <row r="236" ht="15.75" customHeight="1" s="83">
      <c r="A236" s="82" t="n"/>
      <c r="B236" s="82" t="n"/>
      <c r="C236" s="82" t="n"/>
      <c r="D236" s="82" t="n"/>
      <c r="E236" s="81" t="n"/>
      <c r="F236" s="82" t="n"/>
      <c r="G236" s="82" t="n"/>
      <c r="H236" s="82" t="n"/>
      <c r="I236" s="82" t="n"/>
      <c r="J236" s="82" t="n"/>
      <c r="K236" s="82" t="n"/>
      <c r="L236" s="82" t="n"/>
      <c r="M236" s="82" t="n"/>
      <c r="N236" s="82" t="n"/>
      <c r="O236" s="82" t="n"/>
      <c r="P236" s="82" t="n"/>
      <c r="Q236" s="82" t="n"/>
      <c r="R236" s="82" t="n"/>
      <c r="S236" s="82" t="n"/>
      <c r="T236" s="82" t="n"/>
      <c r="U236" s="82" t="n"/>
      <c r="V236" s="82" t="n"/>
      <c r="W236" s="82" t="n"/>
      <c r="X236" s="82" t="n"/>
      <c r="Y236" s="82" t="n"/>
      <c r="Z236" s="82" t="n"/>
    </row>
    <row r="237" ht="15.75" customHeight="1" s="83">
      <c r="A237" s="82" t="n"/>
      <c r="B237" s="82" t="n"/>
      <c r="C237" s="82" t="n"/>
      <c r="D237" s="82" t="n"/>
      <c r="E237" s="81" t="n"/>
      <c r="F237" s="82" t="n"/>
      <c r="G237" s="82" t="n"/>
      <c r="H237" s="82" t="n"/>
      <c r="I237" s="82" t="n"/>
      <c r="J237" s="82" t="n"/>
      <c r="K237" s="82" t="n"/>
      <c r="L237" s="82" t="n"/>
      <c r="M237" s="82" t="n"/>
      <c r="N237" s="82" t="n"/>
      <c r="O237" s="82" t="n"/>
      <c r="P237" s="82" t="n"/>
      <c r="Q237" s="82" t="n"/>
      <c r="R237" s="82" t="n"/>
      <c r="S237" s="82" t="n"/>
      <c r="T237" s="82" t="n"/>
      <c r="U237" s="82" t="n"/>
      <c r="V237" s="82" t="n"/>
      <c r="W237" s="82" t="n"/>
      <c r="X237" s="82" t="n"/>
      <c r="Y237" s="82" t="n"/>
      <c r="Z237" s="82" t="n"/>
    </row>
    <row r="238" ht="15.75" customHeight="1" s="83">
      <c r="A238" s="82" t="n"/>
      <c r="B238" s="82" t="n"/>
      <c r="C238" s="82" t="n"/>
      <c r="D238" s="82" t="n"/>
      <c r="E238" s="81" t="n"/>
      <c r="F238" s="82" t="n"/>
      <c r="G238" s="82" t="n"/>
      <c r="H238" s="82" t="n"/>
      <c r="I238" s="82" t="n"/>
      <c r="J238" s="82" t="n"/>
      <c r="K238" s="82" t="n"/>
      <c r="L238" s="82" t="n"/>
      <c r="M238" s="82" t="n"/>
      <c r="N238" s="82" t="n"/>
      <c r="O238" s="82" t="n"/>
      <c r="P238" s="82" t="n"/>
      <c r="Q238" s="82" t="n"/>
      <c r="R238" s="82" t="n"/>
      <c r="S238" s="82" t="n"/>
      <c r="T238" s="82" t="n"/>
      <c r="U238" s="82" t="n"/>
      <c r="V238" s="82" t="n"/>
      <c r="W238" s="82" t="n"/>
      <c r="X238" s="82" t="n"/>
      <c r="Y238" s="82" t="n"/>
      <c r="Z238" s="82" t="n"/>
    </row>
    <row r="239" ht="15.75" customHeight="1" s="83">
      <c r="A239" s="82" t="n"/>
      <c r="B239" s="82" t="n"/>
      <c r="C239" s="82" t="n"/>
      <c r="D239" s="82" t="n"/>
      <c r="E239" s="81" t="n"/>
      <c r="F239" s="82" t="n"/>
      <c r="G239" s="82" t="n"/>
      <c r="H239" s="82" t="n"/>
      <c r="I239" s="82" t="n"/>
      <c r="J239" s="82" t="n"/>
      <c r="K239" s="82" t="n"/>
      <c r="L239" s="82" t="n"/>
      <c r="M239" s="82" t="n"/>
      <c r="N239" s="82" t="n"/>
      <c r="O239" s="82" t="n"/>
      <c r="P239" s="82" t="n"/>
      <c r="Q239" s="82" t="n"/>
      <c r="R239" s="82" t="n"/>
      <c r="S239" s="82" t="n"/>
      <c r="T239" s="82" t="n"/>
      <c r="U239" s="82" t="n"/>
      <c r="V239" s="82" t="n"/>
      <c r="W239" s="82" t="n"/>
      <c r="X239" s="82" t="n"/>
      <c r="Y239" s="82" t="n"/>
      <c r="Z239" s="82" t="n"/>
    </row>
    <row r="240" ht="15.75" customHeight="1" s="83">
      <c r="A240" s="82" t="n"/>
      <c r="B240" s="82" t="n"/>
      <c r="C240" s="82" t="n"/>
      <c r="D240" s="82" t="n"/>
      <c r="E240" s="81" t="n"/>
      <c r="F240" s="82" t="n"/>
      <c r="G240" s="82" t="n"/>
      <c r="H240" s="82" t="n"/>
      <c r="I240" s="82" t="n"/>
      <c r="J240" s="82" t="n"/>
      <c r="K240" s="82" t="n"/>
      <c r="L240" s="82" t="n"/>
      <c r="M240" s="82" t="n"/>
      <c r="N240" s="82" t="n"/>
      <c r="O240" s="82" t="n"/>
      <c r="P240" s="82" t="n"/>
      <c r="Q240" s="82" t="n"/>
      <c r="R240" s="82" t="n"/>
      <c r="S240" s="82" t="n"/>
      <c r="T240" s="82" t="n"/>
      <c r="U240" s="82" t="n"/>
      <c r="V240" s="82" t="n"/>
      <c r="W240" s="82" t="n"/>
      <c r="X240" s="82" t="n"/>
      <c r="Y240" s="82" t="n"/>
      <c r="Z240" s="82" t="n"/>
    </row>
    <row r="241" ht="15.75" customHeight="1" s="83">
      <c r="A241" s="82" t="n"/>
      <c r="B241" s="82" t="n"/>
      <c r="C241" s="82" t="n"/>
      <c r="D241" s="82" t="n"/>
      <c r="E241" s="81" t="n"/>
      <c r="F241" s="82" t="n"/>
      <c r="G241" s="82" t="n"/>
      <c r="H241" s="82" t="n"/>
      <c r="I241" s="82" t="n"/>
      <c r="J241" s="82" t="n"/>
      <c r="K241" s="82" t="n"/>
      <c r="L241" s="82" t="n"/>
      <c r="M241" s="82" t="n"/>
      <c r="N241" s="82" t="n"/>
      <c r="O241" s="82" t="n"/>
      <c r="P241" s="82" t="n"/>
      <c r="Q241" s="82" t="n"/>
      <c r="R241" s="82" t="n"/>
      <c r="S241" s="82" t="n"/>
      <c r="T241" s="82" t="n"/>
      <c r="U241" s="82" t="n"/>
      <c r="V241" s="82" t="n"/>
      <c r="W241" s="82" t="n"/>
      <c r="X241" s="82" t="n"/>
      <c r="Y241" s="82" t="n"/>
      <c r="Z241" s="82" t="n"/>
    </row>
    <row r="242" ht="15.75" customHeight="1" s="83">
      <c r="A242" s="82" t="n"/>
      <c r="B242" s="82" t="n"/>
      <c r="C242" s="82" t="n"/>
      <c r="D242" s="82" t="n"/>
      <c r="E242" s="81" t="n"/>
      <c r="F242" s="82" t="n"/>
      <c r="G242" s="82" t="n"/>
      <c r="H242" s="82" t="n"/>
      <c r="I242" s="82" t="n"/>
      <c r="J242" s="82" t="n"/>
      <c r="K242" s="82" t="n"/>
      <c r="L242" s="82" t="n"/>
      <c r="M242" s="82" t="n"/>
      <c r="N242" s="82" t="n"/>
      <c r="O242" s="82" t="n"/>
      <c r="P242" s="82" t="n"/>
      <c r="Q242" s="82" t="n"/>
      <c r="R242" s="82" t="n"/>
      <c r="S242" s="82" t="n"/>
      <c r="T242" s="82" t="n"/>
      <c r="U242" s="82" t="n"/>
      <c r="V242" s="82" t="n"/>
      <c r="W242" s="82" t="n"/>
      <c r="X242" s="82" t="n"/>
      <c r="Y242" s="82" t="n"/>
      <c r="Z242" s="82" t="n"/>
    </row>
    <row r="243" ht="15.75" customHeight="1" s="83">
      <c r="A243" s="82" t="n"/>
      <c r="B243" s="82" t="n"/>
      <c r="C243" s="82" t="n"/>
      <c r="D243" s="82" t="n"/>
      <c r="E243" s="81" t="n"/>
      <c r="F243" s="82" t="n"/>
      <c r="G243" s="82" t="n"/>
      <c r="H243" s="82" t="n"/>
      <c r="I243" s="82" t="n"/>
      <c r="J243" s="82" t="n"/>
      <c r="K243" s="82" t="n"/>
      <c r="L243" s="82" t="n"/>
      <c r="M243" s="82" t="n"/>
      <c r="N243" s="82" t="n"/>
      <c r="O243" s="82" t="n"/>
      <c r="P243" s="82" t="n"/>
      <c r="Q243" s="82" t="n"/>
      <c r="R243" s="82" t="n"/>
      <c r="S243" s="82" t="n"/>
      <c r="T243" s="82" t="n"/>
      <c r="U243" s="82" t="n"/>
      <c r="V243" s="82" t="n"/>
      <c r="W243" s="82" t="n"/>
      <c r="X243" s="82" t="n"/>
      <c r="Y243" s="82" t="n"/>
      <c r="Z243" s="82" t="n"/>
    </row>
    <row r="244" ht="15.75" customHeight="1" s="83">
      <c r="A244" s="82" t="n"/>
      <c r="B244" s="82" t="n"/>
      <c r="C244" s="82" t="n"/>
      <c r="D244" s="82" t="n"/>
      <c r="E244" s="81" t="n"/>
      <c r="F244" s="82" t="n"/>
      <c r="G244" s="82" t="n"/>
      <c r="H244" s="82" t="n"/>
      <c r="I244" s="82" t="n"/>
      <c r="J244" s="82" t="n"/>
      <c r="K244" s="82" t="n"/>
      <c r="L244" s="82" t="n"/>
      <c r="M244" s="82" t="n"/>
      <c r="N244" s="82" t="n"/>
      <c r="O244" s="82" t="n"/>
      <c r="P244" s="82" t="n"/>
      <c r="Q244" s="82" t="n"/>
      <c r="R244" s="82" t="n"/>
      <c r="S244" s="82" t="n"/>
      <c r="T244" s="82" t="n"/>
      <c r="U244" s="82" t="n"/>
      <c r="V244" s="82" t="n"/>
      <c r="W244" s="82" t="n"/>
      <c r="X244" s="82" t="n"/>
      <c r="Y244" s="82" t="n"/>
      <c r="Z244" s="82" t="n"/>
    </row>
    <row r="245" ht="15.75" customHeight="1" s="83">
      <c r="A245" s="82" t="n"/>
      <c r="B245" s="82" t="n"/>
      <c r="C245" s="82" t="n"/>
      <c r="D245" s="82" t="n"/>
      <c r="E245" s="81" t="n"/>
      <c r="F245" s="82" t="n"/>
      <c r="G245" s="82" t="n"/>
      <c r="H245" s="82" t="n"/>
      <c r="I245" s="82" t="n"/>
      <c r="J245" s="82" t="n"/>
      <c r="K245" s="82" t="n"/>
      <c r="L245" s="82" t="n"/>
      <c r="M245" s="82" t="n"/>
      <c r="N245" s="82" t="n"/>
      <c r="O245" s="82" t="n"/>
      <c r="P245" s="82" t="n"/>
      <c r="Q245" s="82" t="n"/>
      <c r="R245" s="82" t="n"/>
      <c r="S245" s="82" t="n"/>
      <c r="T245" s="82" t="n"/>
      <c r="U245" s="82" t="n"/>
      <c r="V245" s="82" t="n"/>
      <c r="W245" s="82" t="n"/>
      <c r="X245" s="82" t="n"/>
      <c r="Y245" s="82" t="n"/>
      <c r="Z245" s="82" t="n"/>
    </row>
    <row r="246" ht="15.75" customHeight="1" s="83">
      <c r="A246" s="82" t="n"/>
      <c r="B246" s="82" t="n"/>
      <c r="C246" s="82" t="n"/>
      <c r="D246" s="82" t="n"/>
      <c r="E246" s="81" t="n"/>
      <c r="F246" s="82" t="n"/>
      <c r="G246" s="82" t="n"/>
      <c r="H246" s="82" t="n"/>
      <c r="I246" s="82" t="n"/>
      <c r="J246" s="82" t="n"/>
      <c r="K246" s="82" t="n"/>
      <c r="L246" s="82" t="n"/>
      <c r="M246" s="82" t="n"/>
      <c r="N246" s="82" t="n"/>
      <c r="O246" s="82" t="n"/>
      <c r="P246" s="82" t="n"/>
      <c r="Q246" s="82" t="n"/>
      <c r="R246" s="82" t="n"/>
      <c r="S246" s="82" t="n"/>
      <c r="T246" s="82" t="n"/>
      <c r="U246" s="82" t="n"/>
      <c r="V246" s="82" t="n"/>
      <c r="W246" s="82" t="n"/>
      <c r="X246" s="82" t="n"/>
      <c r="Y246" s="82" t="n"/>
      <c r="Z246" s="82" t="n"/>
    </row>
    <row r="247" ht="15.75" customHeight="1" s="83">
      <c r="A247" s="82" t="n"/>
      <c r="B247" s="82" t="n"/>
      <c r="C247" s="82" t="n"/>
      <c r="D247" s="82" t="n"/>
      <c r="E247" s="81" t="n"/>
      <c r="F247" s="82" t="n"/>
      <c r="G247" s="82" t="n"/>
      <c r="H247" s="82" t="n"/>
      <c r="I247" s="82" t="n"/>
      <c r="J247" s="82" t="n"/>
      <c r="K247" s="82" t="n"/>
      <c r="L247" s="82" t="n"/>
      <c r="M247" s="82" t="n"/>
      <c r="N247" s="82" t="n"/>
      <c r="O247" s="82" t="n"/>
      <c r="P247" s="82" t="n"/>
      <c r="Q247" s="82" t="n"/>
      <c r="R247" s="82" t="n"/>
      <c r="S247" s="82" t="n"/>
      <c r="T247" s="82" t="n"/>
      <c r="U247" s="82" t="n"/>
      <c r="V247" s="82" t="n"/>
      <c r="W247" s="82" t="n"/>
      <c r="X247" s="82" t="n"/>
      <c r="Y247" s="82" t="n"/>
      <c r="Z247" s="82" t="n"/>
    </row>
    <row r="248" ht="15.75" customHeight="1" s="83">
      <c r="A248" s="82" t="n"/>
      <c r="B248" s="82" t="n"/>
      <c r="C248" s="82" t="n"/>
      <c r="D248" s="82" t="n"/>
      <c r="E248" s="81" t="n"/>
      <c r="F248" s="82" t="n"/>
      <c r="G248" s="82" t="n"/>
      <c r="H248" s="82" t="n"/>
      <c r="I248" s="82" t="n"/>
      <c r="J248" s="82" t="n"/>
      <c r="K248" s="82" t="n"/>
      <c r="L248" s="82" t="n"/>
      <c r="M248" s="82" t="n"/>
      <c r="N248" s="82" t="n"/>
      <c r="O248" s="82" t="n"/>
      <c r="P248" s="82" t="n"/>
      <c r="Q248" s="82" t="n"/>
      <c r="R248" s="82" t="n"/>
      <c r="S248" s="82" t="n"/>
      <c r="T248" s="82" t="n"/>
      <c r="U248" s="82" t="n"/>
      <c r="V248" s="82" t="n"/>
      <c r="W248" s="82" t="n"/>
      <c r="X248" s="82" t="n"/>
      <c r="Y248" s="82" t="n"/>
      <c r="Z248" s="82" t="n"/>
    </row>
    <row r="249" ht="15.75" customHeight="1" s="83">
      <c r="A249" s="82" t="n"/>
      <c r="B249" s="82" t="n"/>
      <c r="C249" s="82" t="n"/>
      <c r="D249" s="82" t="n"/>
      <c r="E249" s="81" t="n"/>
      <c r="F249" s="82" t="n"/>
      <c r="G249" s="82" t="n"/>
      <c r="H249" s="82" t="n"/>
      <c r="I249" s="82" t="n"/>
      <c r="J249" s="82" t="n"/>
      <c r="K249" s="82" t="n"/>
      <c r="L249" s="82" t="n"/>
      <c r="M249" s="82" t="n"/>
      <c r="N249" s="82" t="n"/>
      <c r="O249" s="82" t="n"/>
      <c r="P249" s="82" t="n"/>
      <c r="Q249" s="82" t="n"/>
      <c r="R249" s="82" t="n"/>
      <c r="S249" s="82" t="n"/>
      <c r="T249" s="82" t="n"/>
      <c r="U249" s="82" t="n"/>
      <c r="V249" s="82" t="n"/>
      <c r="W249" s="82" t="n"/>
      <c r="X249" s="82" t="n"/>
      <c r="Y249" s="82" t="n"/>
      <c r="Z249" s="82" t="n"/>
    </row>
    <row r="250" ht="15.75" customHeight="1" s="83">
      <c r="A250" s="82" t="n"/>
      <c r="B250" s="82" t="n"/>
      <c r="C250" s="82" t="n"/>
      <c r="D250" s="82" t="n"/>
      <c r="E250" s="81" t="n"/>
      <c r="F250" s="82" t="n"/>
      <c r="G250" s="82" t="n"/>
      <c r="H250" s="82" t="n"/>
      <c r="I250" s="82" t="n"/>
      <c r="J250" s="82" t="n"/>
      <c r="K250" s="82" t="n"/>
      <c r="L250" s="82" t="n"/>
      <c r="M250" s="82" t="n"/>
      <c r="N250" s="82" t="n"/>
      <c r="O250" s="82" t="n"/>
      <c r="P250" s="82" t="n"/>
      <c r="Q250" s="82" t="n"/>
      <c r="R250" s="82" t="n"/>
      <c r="S250" s="82" t="n"/>
      <c r="T250" s="82" t="n"/>
      <c r="U250" s="82" t="n"/>
      <c r="V250" s="82" t="n"/>
      <c r="W250" s="82" t="n"/>
      <c r="X250" s="82" t="n"/>
      <c r="Y250" s="82" t="n"/>
      <c r="Z250" s="82" t="n"/>
    </row>
    <row r="251" ht="15.75" customHeight="1" s="83">
      <c r="A251" s="82" t="n"/>
      <c r="B251" s="82" t="n"/>
      <c r="C251" s="82" t="n"/>
      <c r="D251" s="82" t="n"/>
      <c r="E251" s="81" t="n"/>
      <c r="F251" s="82" t="n"/>
      <c r="G251" s="82" t="n"/>
      <c r="H251" s="82" t="n"/>
      <c r="I251" s="82" t="n"/>
      <c r="J251" s="82" t="n"/>
      <c r="K251" s="82" t="n"/>
      <c r="L251" s="82" t="n"/>
      <c r="M251" s="82" t="n"/>
      <c r="N251" s="82" t="n"/>
      <c r="O251" s="82" t="n"/>
      <c r="P251" s="82" t="n"/>
      <c r="Q251" s="82" t="n"/>
      <c r="R251" s="82" t="n"/>
      <c r="S251" s="82" t="n"/>
      <c r="T251" s="82" t="n"/>
      <c r="U251" s="82" t="n"/>
      <c r="V251" s="82" t="n"/>
      <c r="W251" s="82" t="n"/>
      <c r="X251" s="82" t="n"/>
      <c r="Y251" s="82" t="n"/>
      <c r="Z251" s="82" t="n"/>
    </row>
    <row r="252" ht="15.75" customHeight="1" s="83">
      <c r="A252" s="82" t="n"/>
      <c r="B252" s="82" t="n"/>
      <c r="C252" s="82" t="n"/>
      <c r="D252" s="82" t="n"/>
      <c r="E252" s="81" t="n"/>
      <c r="F252" s="82" t="n"/>
      <c r="G252" s="82" t="n"/>
      <c r="H252" s="82" t="n"/>
      <c r="I252" s="82" t="n"/>
      <c r="J252" s="82" t="n"/>
      <c r="K252" s="82" t="n"/>
      <c r="L252" s="82" t="n"/>
      <c r="M252" s="82" t="n"/>
      <c r="N252" s="82" t="n"/>
      <c r="O252" s="82" t="n"/>
      <c r="P252" s="82" t="n"/>
      <c r="Q252" s="82" t="n"/>
      <c r="R252" s="82" t="n"/>
      <c r="S252" s="82" t="n"/>
      <c r="T252" s="82" t="n"/>
      <c r="U252" s="82" t="n"/>
      <c r="V252" s="82" t="n"/>
      <c r="W252" s="82" t="n"/>
      <c r="X252" s="82" t="n"/>
      <c r="Y252" s="82" t="n"/>
      <c r="Z252" s="82" t="n"/>
    </row>
    <row r="253" ht="15.75" customHeight="1" s="83">
      <c r="A253" s="82" t="n"/>
      <c r="B253" s="82" t="n"/>
      <c r="C253" s="82" t="n"/>
      <c r="D253" s="82" t="n"/>
      <c r="E253" s="81" t="n"/>
      <c r="F253" s="82" t="n"/>
      <c r="G253" s="82" t="n"/>
      <c r="H253" s="82" t="n"/>
      <c r="I253" s="82" t="n"/>
      <c r="J253" s="82" t="n"/>
      <c r="K253" s="82" t="n"/>
      <c r="L253" s="82" t="n"/>
      <c r="M253" s="82" t="n"/>
      <c r="N253" s="82" t="n"/>
      <c r="O253" s="82" t="n"/>
      <c r="P253" s="82" t="n"/>
      <c r="Q253" s="82" t="n"/>
      <c r="R253" s="82" t="n"/>
      <c r="S253" s="82" t="n"/>
      <c r="T253" s="82" t="n"/>
      <c r="U253" s="82" t="n"/>
      <c r="V253" s="82" t="n"/>
      <c r="W253" s="82" t="n"/>
      <c r="X253" s="82" t="n"/>
      <c r="Y253" s="82" t="n"/>
      <c r="Z253" s="82" t="n"/>
    </row>
    <row r="254" ht="15.75" customHeight="1" s="83">
      <c r="A254" s="82" t="n"/>
      <c r="B254" s="82" t="n"/>
      <c r="C254" s="82" t="n"/>
      <c r="D254" s="82" t="n"/>
      <c r="E254" s="81" t="n"/>
      <c r="F254" s="82" t="n"/>
      <c r="G254" s="82" t="n"/>
      <c r="H254" s="82" t="n"/>
      <c r="I254" s="82" t="n"/>
      <c r="J254" s="82" t="n"/>
      <c r="K254" s="82" t="n"/>
      <c r="L254" s="82" t="n"/>
      <c r="M254" s="82" t="n"/>
      <c r="N254" s="82" t="n"/>
      <c r="O254" s="82" t="n"/>
      <c r="P254" s="82" t="n"/>
      <c r="Q254" s="82" t="n"/>
      <c r="R254" s="82" t="n"/>
      <c r="S254" s="82" t="n"/>
      <c r="T254" s="82" t="n"/>
      <c r="U254" s="82" t="n"/>
      <c r="V254" s="82" t="n"/>
      <c r="W254" s="82" t="n"/>
      <c r="X254" s="82" t="n"/>
      <c r="Y254" s="82" t="n"/>
      <c r="Z254" s="82" t="n"/>
    </row>
    <row r="255" ht="15.75" customHeight="1" s="83">
      <c r="A255" s="82" t="n"/>
      <c r="B255" s="82" t="n"/>
      <c r="C255" s="82" t="n"/>
      <c r="D255" s="82" t="n"/>
      <c r="E255" s="81" t="n"/>
      <c r="F255" s="82" t="n"/>
      <c r="G255" s="82" t="n"/>
      <c r="H255" s="82" t="n"/>
      <c r="I255" s="82" t="n"/>
      <c r="J255" s="82" t="n"/>
      <c r="K255" s="82" t="n"/>
      <c r="L255" s="82" t="n"/>
      <c r="M255" s="82" t="n"/>
      <c r="N255" s="82" t="n"/>
      <c r="O255" s="82" t="n"/>
      <c r="P255" s="82" t="n"/>
      <c r="Q255" s="82" t="n"/>
      <c r="R255" s="82" t="n"/>
      <c r="S255" s="82" t="n"/>
      <c r="T255" s="82" t="n"/>
      <c r="U255" s="82" t="n"/>
      <c r="V255" s="82" t="n"/>
      <c r="W255" s="82" t="n"/>
      <c r="X255" s="82" t="n"/>
      <c r="Y255" s="82" t="n"/>
      <c r="Z255" s="82" t="n"/>
    </row>
    <row r="256" ht="15.75" customHeight="1" s="83">
      <c r="A256" s="82" t="n"/>
      <c r="B256" s="82" t="n"/>
      <c r="C256" s="82" t="n"/>
      <c r="D256" s="82" t="n"/>
      <c r="E256" s="81" t="n"/>
      <c r="F256" s="82" t="n"/>
      <c r="G256" s="82" t="n"/>
      <c r="H256" s="82" t="n"/>
      <c r="I256" s="82" t="n"/>
      <c r="J256" s="82" t="n"/>
      <c r="K256" s="82" t="n"/>
      <c r="L256" s="82" t="n"/>
      <c r="M256" s="82" t="n"/>
      <c r="N256" s="82" t="n"/>
      <c r="O256" s="82" t="n"/>
      <c r="P256" s="82" t="n"/>
      <c r="Q256" s="82" t="n"/>
      <c r="R256" s="82" t="n"/>
      <c r="S256" s="82" t="n"/>
      <c r="T256" s="82" t="n"/>
      <c r="U256" s="82" t="n"/>
      <c r="V256" s="82" t="n"/>
      <c r="W256" s="82" t="n"/>
      <c r="X256" s="82" t="n"/>
      <c r="Y256" s="82" t="n"/>
      <c r="Z256" s="82" t="n"/>
    </row>
    <row r="257" ht="15.75" customHeight="1" s="83">
      <c r="A257" s="82" t="n"/>
      <c r="B257" s="82" t="n"/>
      <c r="C257" s="82" t="n"/>
      <c r="D257" s="82" t="n"/>
      <c r="E257" s="81" t="n"/>
      <c r="F257" s="82" t="n"/>
      <c r="G257" s="82" t="n"/>
      <c r="H257" s="82" t="n"/>
      <c r="I257" s="82" t="n"/>
      <c r="J257" s="82" t="n"/>
      <c r="K257" s="82" t="n"/>
      <c r="L257" s="82" t="n"/>
      <c r="M257" s="82" t="n"/>
      <c r="N257" s="82" t="n"/>
      <c r="O257" s="82" t="n"/>
      <c r="P257" s="82" t="n"/>
      <c r="Q257" s="82" t="n"/>
      <c r="R257" s="82" t="n"/>
      <c r="S257" s="82" t="n"/>
      <c r="T257" s="82" t="n"/>
      <c r="U257" s="82" t="n"/>
      <c r="V257" s="82" t="n"/>
      <c r="W257" s="82" t="n"/>
      <c r="X257" s="82" t="n"/>
      <c r="Y257" s="82" t="n"/>
      <c r="Z257" s="82" t="n"/>
    </row>
    <row r="258" ht="15.75" customHeight="1" s="83">
      <c r="A258" s="82" t="n"/>
      <c r="B258" s="82" t="n"/>
      <c r="C258" s="82" t="n"/>
      <c r="D258" s="82" t="n"/>
      <c r="E258" s="81" t="n"/>
      <c r="F258" s="82" t="n"/>
      <c r="G258" s="82" t="n"/>
      <c r="H258" s="82" t="n"/>
      <c r="I258" s="82" t="n"/>
      <c r="J258" s="82" t="n"/>
      <c r="K258" s="82" t="n"/>
      <c r="L258" s="82" t="n"/>
      <c r="M258" s="82" t="n"/>
      <c r="N258" s="82" t="n"/>
      <c r="O258" s="82" t="n"/>
      <c r="P258" s="82" t="n"/>
      <c r="Q258" s="82" t="n"/>
      <c r="R258" s="82" t="n"/>
      <c r="S258" s="82" t="n"/>
      <c r="T258" s="82" t="n"/>
      <c r="U258" s="82" t="n"/>
      <c r="V258" s="82" t="n"/>
      <c r="W258" s="82" t="n"/>
      <c r="X258" s="82" t="n"/>
      <c r="Y258" s="82" t="n"/>
      <c r="Z258" s="82" t="n"/>
    </row>
    <row r="259" ht="15.75" customHeight="1" s="83">
      <c r="A259" s="82" t="n"/>
      <c r="B259" s="82" t="n"/>
      <c r="C259" s="82" t="n"/>
      <c r="D259" s="82" t="n"/>
      <c r="E259" s="81" t="n"/>
      <c r="F259" s="82" t="n"/>
      <c r="G259" s="82" t="n"/>
      <c r="H259" s="82" t="n"/>
      <c r="I259" s="82" t="n"/>
      <c r="J259" s="82" t="n"/>
      <c r="K259" s="82" t="n"/>
      <c r="L259" s="82" t="n"/>
      <c r="M259" s="82" t="n"/>
      <c r="N259" s="82" t="n"/>
      <c r="O259" s="82" t="n"/>
      <c r="P259" s="82" t="n"/>
      <c r="Q259" s="82" t="n"/>
      <c r="R259" s="82" t="n"/>
      <c r="S259" s="82" t="n"/>
      <c r="T259" s="82" t="n"/>
      <c r="U259" s="82" t="n"/>
      <c r="V259" s="82" t="n"/>
      <c r="W259" s="82" t="n"/>
      <c r="X259" s="82" t="n"/>
      <c r="Y259" s="82" t="n"/>
      <c r="Z259" s="82" t="n"/>
    </row>
    <row r="260" ht="15.75" customHeight="1" s="83">
      <c r="A260" s="82" t="n"/>
      <c r="B260" s="82" t="n"/>
      <c r="C260" s="82" t="n"/>
      <c r="D260" s="82" t="n"/>
      <c r="E260" s="81" t="n"/>
      <c r="F260" s="82" t="n"/>
      <c r="G260" s="82" t="n"/>
      <c r="H260" s="82" t="n"/>
      <c r="I260" s="82" t="n"/>
      <c r="J260" s="82" t="n"/>
      <c r="K260" s="82" t="n"/>
      <c r="L260" s="82" t="n"/>
      <c r="M260" s="82" t="n"/>
      <c r="N260" s="82" t="n"/>
      <c r="O260" s="82" t="n"/>
      <c r="P260" s="82" t="n"/>
      <c r="Q260" s="82" t="n"/>
      <c r="R260" s="82" t="n"/>
      <c r="S260" s="82" t="n"/>
      <c r="T260" s="82" t="n"/>
      <c r="U260" s="82" t="n"/>
      <c r="V260" s="82" t="n"/>
      <c r="W260" s="82" t="n"/>
      <c r="X260" s="82" t="n"/>
      <c r="Y260" s="82" t="n"/>
      <c r="Z260" s="82" t="n"/>
    </row>
    <row r="261" ht="15.75" customHeight="1" s="83">
      <c r="A261" s="82" t="n"/>
      <c r="B261" s="82" t="n"/>
      <c r="C261" s="82" t="n"/>
      <c r="D261" s="82" t="n"/>
      <c r="E261" s="81" t="n"/>
      <c r="F261" s="82" t="n"/>
      <c r="G261" s="82" t="n"/>
      <c r="H261" s="82" t="n"/>
      <c r="I261" s="82" t="n"/>
      <c r="J261" s="82" t="n"/>
      <c r="K261" s="82" t="n"/>
      <c r="L261" s="82" t="n"/>
      <c r="M261" s="82" t="n"/>
      <c r="N261" s="82" t="n"/>
      <c r="O261" s="82" t="n"/>
      <c r="P261" s="82" t="n"/>
      <c r="Q261" s="82" t="n"/>
      <c r="R261" s="82" t="n"/>
      <c r="S261" s="82" t="n"/>
      <c r="T261" s="82" t="n"/>
      <c r="U261" s="82" t="n"/>
      <c r="V261" s="82" t="n"/>
      <c r="W261" s="82" t="n"/>
      <c r="X261" s="82" t="n"/>
      <c r="Y261" s="82" t="n"/>
      <c r="Z261" s="82" t="n"/>
    </row>
    <row r="262" ht="15.75" customHeight="1" s="83">
      <c r="A262" s="82" t="n"/>
      <c r="B262" s="82" t="n"/>
      <c r="C262" s="82" t="n"/>
      <c r="D262" s="82" t="n"/>
      <c r="E262" s="81" t="n"/>
      <c r="F262" s="82" t="n"/>
      <c r="G262" s="82" t="n"/>
      <c r="H262" s="82" t="n"/>
      <c r="I262" s="82" t="n"/>
      <c r="J262" s="82" t="n"/>
      <c r="K262" s="82" t="n"/>
      <c r="L262" s="82" t="n"/>
      <c r="M262" s="82" t="n"/>
      <c r="N262" s="82" t="n"/>
      <c r="O262" s="82" t="n"/>
      <c r="P262" s="82" t="n"/>
      <c r="Q262" s="82" t="n"/>
      <c r="R262" s="82" t="n"/>
      <c r="S262" s="82" t="n"/>
      <c r="T262" s="82" t="n"/>
      <c r="U262" s="82" t="n"/>
      <c r="V262" s="82" t="n"/>
      <c r="W262" s="82" t="n"/>
      <c r="X262" s="82" t="n"/>
      <c r="Y262" s="82" t="n"/>
      <c r="Z262" s="82" t="n"/>
    </row>
    <row r="263" ht="15.75" customHeight="1" s="83">
      <c r="A263" s="82" t="n"/>
      <c r="B263" s="82" t="n"/>
      <c r="C263" s="82" t="n"/>
      <c r="D263" s="82" t="n"/>
      <c r="E263" s="81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  <c r="P263" s="82" t="n"/>
      <c r="Q263" s="82" t="n"/>
      <c r="R263" s="82" t="n"/>
      <c r="S263" s="82" t="n"/>
      <c r="T263" s="82" t="n"/>
      <c r="U263" s="82" t="n"/>
      <c r="V263" s="82" t="n"/>
      <c r="W263" s="82" t="n"/>
      <c r="X263" s="82" t="n"/>
      <c r="Y263" s="82" t="n"/>
      <c r="Z263" s="82" t="n"/>
    </row>
    <row r="264" ht="15.75" customHeight="1" s="83">
      <c r="A264" s="82" t="n"/>
      <c r="B264" s="82" t="n"/>
      <c r="C264" s="82" t="n"/>
      <c r="D264" s="82" t="n"/>
      <c r="E264" s="81" t="n"/>
      <c r="F264" s="82" t="n"/>
      <c r="G264" s="82" t="n"/>
      <c r="H264" s="82" t="n"/>
      <c r="I264" s="82" t="n"/>
      <c r="J264" s="82" t="n"/>
      <c r="K264" s="82" t="n"/>
      <c r="L264" s="82" t="n"/>
      <c r="M264" s="82" t="n"/>
      <c r="N264" s="82" t="n"/>
      <c r="O264" s="82" t="n"/>
      <c r="P264" s="82" t="n"/>
      <c r="Q264" s="82" t="n"/>
      <c r="R264" s="82" t="n"/>
      <c r="S264" s="82" t="n"/>
      <c r="T264" s="82" t="n"/>
      <c r="U264" s="82" t="n"/>
      <c r="V264" s="82" t="n"/>
      <c r="W264" s="82" t="n"/>
      <c r="X264" s="82" t="n"/>
      <c r="Y264" s="82" t="n"/>
      <c r="Z264" s="82" t="n"/>
    </row>
    <row r="265" ht="15.75" customHeight="1" s="83">
      <c r="A265" s="82" t="n"/>
      <c r="B265" s="82" t="n"/>
      <c r="C265" s="82" t="n"/>
      <c r="D265" s="82" t="n"/>
      <c r="E265" s="81" t="n"/>
      <c r="F265" s="82" t="n"/>
      <c r="G265" s="82" t="n"/>
      <c r="H265" s="82" t="n"/>
      <c r="I265" s="82" t="n"/>
      <c r="J265" s="82" t="n"/>
      <c r="K265" s="82" t="n"/>
      <c r="L265" s="82" t="n"/>
      <c r="M265" s="82" t="n"/>
      <c r="N265" s="82" t="n"/>
      <c r="O265" s="82" t="n"/>
      <c r="P265" s="82" t="n"/>
      <c r="Q265" s="82" t="n"/>
      <c r="R265" s="82" t="n"/>
      <c r="S265" s="82" t="n"/>
      <c r="T265" s="82" t="n"/>
      <c r="U265" s="82" t="n"/>
      <c r="V265" s="82" t="n"/>
      <c r="W265" s="82" t="n"/>
      <c r="X265" s="82" t="n"/>
      <c r="Y265" s="82" t="n"/>
      <c r="Z265" s="82" t="n"/>
    </row>
    <row r="266" ht="15.75" customHeight="1" s="83">
      <c r="A266" s="82" t="n"/>
      <c r="B266" s="82" t="n"/>
      <c r="C266" s="82" t="n"/>
      <c r="D266" s="82" t="n"/>
      <c r="E266" s="81" t="n"/>
      <c r="F266" s="82" t="n"/>
      <c r="G266" s="82" t="n"/>
      <c r="H266" s="82" t="n"/>
      <c r="I266" s="82" t="n"/>
      <c r="J266" s="82" t="n"/>
      <c r="K266" s="82" t="n"/>
      <c r="L266" s="82" t="n"/>
      <c r="M266" s="82" t="n"/>
      <c r="N266" s="82" t="n"/>
      <c r="O266" s="82" t="n"/>
      <c r="P266" s="82" t="n"/>
      <c r="Q266" s="82" t="n"/>
      <c r="R266" s="82" t="n"/>
      <c r="S266" s="82" t="n"/>
      <c r="T266" s="82" t="n"/>
      <c r="U266" s="82" t="n"/>
      <c r="V266" s="82" t="n"/>
      <c r="W266" s="82" t="n"/>
      <c r="X266" s="82" t="n"/>
      <c r="Y266" s="82" t="n"/>
      <c r="Z266" s="82" t="n"/>
    </row>
    <row r="267" ht="15.75" customHeight="1" s="83">
      <c r="A267" s="82" t="n"/>
      <c r="B267" s="82" t="n"/>
      <c r="C267" s="82" t="n"/>
      <c r="D267" s="82" t="n"/>
      <c r="E267" s="81" t="n"/>
      <c r="F267" s="82" t="n"/>
      <c r="G267" s="82" t="n"/>
      <c r="H267" s="82" t="n"/>
      <c r="I267" s="82" t="n"/>
      <c r="J267" s="82" t="n"/>
      <c r="K267" s="82" t="n"/>
      <c r="L267" s="82" t="n"/>
      <c r="M267" s="82" t="n"/>
      <c r="N267" s="82" t="n"/>
      <c r="O267" s="82" t="n"/>
      <c r="P267" s="82" t="n"/>
      <c r="Q267" s="82" t="n"/>
      <c r="R267" s="82" t="n"/>
      <c r="S267" s="82" t="n"/>
      <c r="T267" s="82" t="n"/>
      <c r="U267" s="82" t="n"/>
      <c r="V267" s="82" t="n"/>
      <c r="W267" s="82" t="n"/>
      <c r="X267" s="82" t="n"/>
      <c r="Y267" s="82" t="n"/>
      <c r="Z267" s="82" t="n"/>
    </row>
    <row r="268" ht="15.75" customHeight="1" s="83">
      <c r="A268" s="82" t="n"/>
      <c r="B268" s="82" t="n"/>
      <c r="C268" s="82" t="n"/>
      <c r="D268" s="82" t="n"/>
      <c r="E268" s="81" t="n"/>
      <c r="F268" s="82" t="n"/>
      <c r="G268" s="82" t="n"/>
      <c r="H268" s="82" t="n"/>
      <c r="I268" s="82" t="n"/>
      <c r="J268" s="82" t="n"/>
      <c r="K268" s="82" t="n"/>
      <c r="L268" s="82" t="n"/>
      <c r="M268" s="82" t="n"/>
      <c r="N268" s="82" t="n"/>
      <c r="O268" s="82" t="n"/>
      <c r="P268" s="82" t="n"/>
      <c r="Q268" s="82" t="n"/>
      <c r="R268" s="82" t="n"/>
      <c r="S268" s="82" t="n"/>
      <c r="T268" s="82" t="n"/>
      <c r="U268" s="82" t="n"/>
      <c r="V268" s="82" t="n"/>
      <c r="W268" s="82" t="n"/>
      <c r="X268" s="82" t="n"/>
      <c r="Y268" s="82" t="n"/>
      <c r="Z268" s="82" t="n"/>
    </row>
    <row r="269" ht="15.75" customHeight="1" s="83">
      <c r="A269" s="82" t="n"/>
      <c r="B269" s="82" t="n"/>
      <c r="C269" s="82" t="n"/>
      <c r="D269" s="82" t="n"/>
      <c r="E269" s="81" t="n"/>
      <c r="F269" s="82" t="n"/>
      <c r="G269" s="82" t="n"/>
      <c r="H269" s="82" t="n"/>
      <c r="I269" s="82" t="n"/>
      <c r="J269" s="82" t="n"/>
      <c r="K269" s="82" t="n"/>
      <c r="L269" s="82" t="n"/>
      <c r="M269" s="82" t="n"/>
      <c r="N269" s="82" t="n"/>
      <c r="O269" s="82" t="n"/>
      <c r="P269" s="82" t="n"/>
      <c r="Q269" s="82" t="n"/>
      <c r="R269" s="82" t="n"/>
      <c r="S269" s="82" t="n"/>
      <c r="T269" s="82" t="n"/>
      <c r="U269" s="82" t="n"/>
      <c r="V269" s="82" t="n"/>
      <c r="W269" s="82" t="n"/>
      <c r="X269" s="82" t="n"/>
      <c r="Y269" s="82" t="n"/>
      <c r="Z269" s="82" t="n"/>
    </row>
    <row r="270" ht="15.75" customHeight="1" s="83">
      <c r="A270" s="82" t="n"/>
      <c r="B270" s="82" t="n"/>
      <c r="C270" s="82" t="n"/>
      <c r="D270" s="82" t="n"/>
      <c r="E270" s="81" t="n"/>
      <c r="F270" s="82" t="n"/>
      <c r="G270" s="82" t="n"/>
      <c r="H270" s="82" t="n"/>
      <c r="I270" s="82" t="n"/>
      <c r="J270" s="82" t="n"/>
      <c r="K270" s="82" t="n"/>
      <c r="L270" s="82" t="n"/>
      <c r="M270" s="82" t="n"/>
      <c r="N270" s="82" t="n"/>
      <c r="O270" s="82" t="n"/>
      <c r="P270" s="82" t="n"/>
      <c r="Q270" s="82" t="n"/>
      <c r="R270" s="82" t="n"/>
      <c r="S270" s="82" t="n"/>
      <c r="T270" s="82" t="n"/>
      <c r="U270" s="82" t="n"/>
      <c r="V270" s="82" t="n"/>
      <c r="W270" s="82" t="n"/>
      <c r="X270" s="82" t="n"/>
      <c r="Y270" s="82" t="n"/>
      <c r="Z270" s="82" t="n"/>
    </row>
    <row r="271" ht="15.75" customHeight="1" s="83">
      <c r="A271" s="82" t="n"/>
      <c r="B271" s="82" t="n"/>
      <c r="C271" s="82" t="n"/>
      <c r="D271" s="82" t="n"/>
      <c r="E271" s="81" t="n"/>
      <c r="F271" s="82" t="n"/>
      <c r="G271" s="82" t="n"/>
      <c r="H271" s="82" t="n"/>
      <c r="I271" s="82" t="n"/>
      <c r="J271" s="82" t="n"/>
      <c r="K271" s="82" t="n"/>
      <c r="L271" s="82" t="n"/>
      <c r="M271" s="82" t="n"/>
      <c r="N271" s="82" t="n"/>
      <c r="O271" s="82" t="n"/>
      <c r="P271" s="82" t="n"/>
      <c r="Q271" s="82" t="n"/>
      <c r="R271" s="82" t="n"/>
      <c r="S271" s="82" t="n"/>
      <c r="T271" s="82" t="n"/>
      <c r="U271" s="82" t="n"/>
      <c r="V271" s="82" t="n"/>
      <c r="W271" s="82" t="n"/>
      <c r="X271" s="82" t="n"/>
      <c r="Y271" s="82" t="n"/>
      <c r="Z271" s="82" t="n"/>
    </row>
    <row r="272" ht="15.75" customHeight="1" s="83">
      <c r="A272" s="82" t="n"/>
      <c r="B272" s="82" t="n"/>
      <c r="C272" s="82" t="n"/>
      <c r="D272" s="82" t="n"/>
      <c r="E272" s="81" t="n"/>
      <c r="F272" s="82" t="n"/>
      <c r="G272" s="82" t="n"/>
      <c r="H272" s="82" t="n"/>
      <c r="I272" s="82" t="n"/>
      <c r="J272" s="82" t="n"/>
      <c r="K272" s="82" t="n"/>
      <c r="L272" s="82" t="n"/>
      <c r="M272" s="82" t="n"/>
      <c r="N272" s="82" t="n"/>
      <c r="O272" s="82" t="n"/>
      <c r="P272" s="82" t="n"/>
      <c r="Q272" s="82" t="n"/>
      <c r="R272" s="82" t="n"/>
      <c r="S272" s="82" t="n"/>
      <c r="T272" s="82" t="n"/>
      <c r="U272" s="82" t="n"/>
      <c r="V272" s="82" t="n"/>
      <c r="W272" s="82" t="n"/>
      <c r="X272" s="82" t="n"/>
      <c r="Y272" s="82" t="n"/>
      <c r="Z272" s="82" t="n"/>
    </row>
    <row r="273" ht="15.75" customHeight="1" s="83">
      <c r="A273" s="82" t="n"/>
      <c r="B273" s="82" t="n"/>
      <c r="C273" s="82" t="n"/>
      <c r="D273" s="82" t="n"/>
      <c r="E273" s="81" t="n"/>
      <c r="F273" s="82" t="n"/>
      <c r="G273" s="82" t="n"/>
      <c r="H273" s="82" t="n"/>
      <c r="I273" s="82" t="n"/>
      <c r="J273" s="82" t="n"/>
      <c r="K273" s="82" t="n"/>
      <c r="L273" s="82" t="n"/>
      <c r="M273" s="82" t="n"/>
      <c r="N273" s="82" t="n"/>
      <c r="O273" s="82" t="n"/>
      <c r="P273" s="82" t="n"/>
      <c r="Q273" s="82" t="n"/>
      <c r="R273" s="82" t="n"/>
      <c r="S273" s="82" t="n"/>
      <c r="T273" s="82" t="n"/>
      <c r="U273" s="82" t="n"/>
      <c r="V273" s="82" t="n"/>
      <c r="W273" s="82" t="n"/>
      <c r="X273" s="82" t="n"/>
      <c r="Y273" s="82" t="n"/>
      <c r="Z273" s="82" t="n"/>
    </row>
    <row r="274" ht="15.75" customHeight="1" s="83">
      <c r="A274" s="82" t="n"/>
      <c r="B274" s="82" t="n"/>
      <c r="C274" s="82" t="n"/>
      <c r="D274" s="82" t="n"/>
      <c r="E274" s="81" t="n"/>
      <c r="F274" s="82" t="n"/>
      <c r="G274" s="82" t="n"/>
      <c r="H274" s="82" t="n"/>
      <c r="I274" s="82" t="n"/>
      <c r="J274" s="82" t="n"/>
      <c r="K274" s="82" t="n"/>
      <c r="L274" s="82" t="n"/>
      <c r="M274" s="82" t="n"/>
      <c r="N274" s="82" t="n"/>
      <c r="O274" s="82" t="n"/>
      <c r="P274" s="82" t="n"/>
      <c r="Q274" s="82" t="n"/>
      <c r="R274" s="82" t="n"/>
      <c r="S274" s="82" t="n"/>
      <c r="T274" s="82" t="n"/>
      <c r="U274" s="82" t="n"/>
      <c r="V274" s="82" t="n"/>
      <c r="W274" s="82" t="n"/>
      <c r="X274" s="82" t="n"/>
      <c r="Y274" s="82" t="n"/>
      <c r="Z274" s="82" t="n"/>
    </row>
    <row r="275" ht="15.75" customHeight="1" s="83">
      <c r="A275" s="82" t="n"/>
      <c r="B275" s="82" t="n"/>
      <c r="C275" s="82" t="n"/>
      <c r="D275" s="82" t="n"/>
      <c r="E275" s="81" t="n"/>
      <c r="F275" s="82" t="n"/>
      <c r="G275" s="82" t="n"/>
      <c r="H275" s="82" t="n"/>
      <c r="I275" s="82" t="n"/>
      <c r="J275" s="82" t="n"/>
      <c r="K275" s="82" t="n"/>
      <c r="L275" s="82" t="n"/>
      <c r="M275" s="82" t="n"/>
      <c r="N275" s="82" t="n"/>
      <c r="O275" s="82" t="n"/>
      <c r="P275" s="82" t="n"/>
      <c r="Q275" s="82" t="n"/>
      <c r="R275" s="82" t="n"/>
      <c r="S275" s="82" t="n"/>
      <c r="T275" s="82" t="n"/>
      <c r="U275" s="82" t="n"/>
      <c r="V275" s="82" t="n"/>
      <c r="W275" s="82" t="n"/>
      <c r="X275" s="82" t="n"/>
      <c r="Y275" s="82" t="n"/>
      <c r="Z275" s="82" t="n"/>
    </row>
    <row r="276" ht="15.75" customHeight="1" s="83">
      <c r="A276" s="82" t="n"/>
      <c r="B276" s="82" t="n"/>
      <c r="C276" s="82" t="n"/>
      <c r="D276" s="82" t="n"/>
      <c r="E276" s="81" t="n"/>
      <c r="F276" s="82" t="n"/>
      <c r="G276" s="82" t="n"/>
      <c r="H276" s="82" t="n"/>
      <c r="I276" s="82" t="n"/>
      <c r="J276" s="82" t="n"/>
      <c r="K276" s="82" t="n"/>
      <c r="L276" s="82" t="n"/>
      <c r="M276" s="82" t="n"/>
      <c r="N276" s="82" t="n"/>
      <c r="O276" s="82" t="n"/>
      <c r="P276" s="82" t="n"/>
      <c r="Q276" s="82" t="n"/>
      <c r="R276" s="82" t="n"/>
      <c r="S276" s="82" t="n"/>
      <c r="T276" s="82" t="n"/>
      <c r="U276" s="82" t="n"/>
      <c r="V276" s="82" t="n"/>
      <c r="W276" s="82" t="n"/>
      <c r="X276" s="82" t="n"/>
      <c r="Y276" s="82" t="n"/>
      <c r="Z276" s="82" t="n"/>
    </row>
    <row r="277" ht="15.75" customHeight="1" s="83">
      <c r="A277" s="82" t="n"/>
      <c r="B277" s="82" t="n"/>
      <c r="C277" s="82" t="n"/>
      <c r="D277" s="82" t="n"/>
      <c r="E277" s="81" t="n"/>
      <c r="F277" s="82" t="n"/>
      <c r="G277" s="82" t="n"/>
      <c r="H277" s="82" t="n"/>
      <c r="I277" s="82" t="n"/>
      <c r="J277" s="82" t="n"/>
      <c r="K277" s="82" t="n"/>
      <c r="L277" s="82" t="n"/>
      <c r="M277" s="82" t="n"/>
      <c r="N277" s="82" t="n"/>
      <c r="O277" s="82" t="n"/>
      <c r="P277" s="82" t="n"/>
      <c r="Q277" s="82" t="n"/>
      <c r="R277" s="82" t="n"/>
      <c r="S277" s="82" t="n"/>
      <c r="T277" s="82" t="n"/>
      <c r="U277" s="82" t="n"/>
      <c r="V277" s="82" t="n"/>
      <c r="W277" s="82" t="n"/>
      <c r="X277" s="82" t="n"/>
      <c r="Y277" s="82" t="n"/>
      <c r="Z277" s="82" t="n"/>
    </row>
    <row r="278" ht="15.75" customHeight="1" s="83">
      <c r="A278" s="82" t="n"/>
      <c r="B278" s="82" t="n"/>
      <c r="C278" s="82" t="n"/>
      <c r="D278" s="82" t="n"/>
      <c r="E278" s="81" t="n"/>
      <c r="F278" s="82" t="n"/>
      <c r="G278" s="82" t="n"/>
      <c r="H278" s="82" t="n"/>
      <c r="I278" s="82" t="n"/>
      <c r="J278" s="82" t="n"/>
      <c r="K278" s="82" t="n"/>
      <c r="L278" s="82" t="n"/>
      <c r="M278" s="82" t="n"/>
      <c r="N278" s="82" t="n"/>
      <c r="O278" s="82" t="n"/>
      <c r="P278" s="82" t="n"/>
      <c r="Q278" s="82" t="n"/>
      <c r="R278" s="82" t="n"/>
      <c r="S278" s="82" t="n"/>
      <c r="T278" s="82" t="n"/>
      <c r="U278" s="82" t="n"/>
      <c r="V278" s="82" t="n"/>
      <c r="W278" s="82" t="n"/>
      <c r="X278" s="82" t="n"/>
      <c r="Y278" s="82" t="n"/>
      <c r="Z278" s="82" t="n"/>
    </row>
    <row r="279" ht="15.75" customHeight="1" s="83">
      <c r="A279" s="82" t="n"/>
      <c r="B279" s="82" t="n"/>
      <c r="C279" s="82" t="n"/>
      <c r="D279" s="82" t="n"/>
      <c r="E279" s="81" t="n"/>
      <c r="F279" s="82" t="n"/>
      <c r="G279" s="82" t="n"/>
      <c r="H279" s="82" t="n"/>
      <c r="I279" s="82" t="n"/>
      <c r="J279" s="82" t="n"/>
      <c r="K279" s="82" t="n"/>
      <c r="L279" s="82" t="n"/>
      <c r="M279" s="82" t="n"/>
      <c r="N279" s="82" t="n"/>
      <c r="O279" s="82" t="n"/>
      <c r="P279" s="82" t="n"/>
      <c r="Q279" s="82" t="n"/>
      <c r="R279" s="82" t="n"/>
      <c r="S279" s="82" t="n"/>
      <c r="T279" s="82" t="n"/>
      <c r="U279" s="82" t="n"/>
      <c r="V279" s="82" t="n"/>
      <c r="W279" s="82" t="n"/>
      <c r="X279" s="82" t="n"/>
      <c r="Y279" s="82" t="n"/>
      <c r="Z279" s="82" t="n"/>
    </row>
    <row r="280" ht="15.75" customHeight="1" s="83">
      <c r="A280" s="82" t="n"/>
      <c r="B280" s="82" t="n"/>
      <c r="C280" s="82" t="n"/>
      <c r="D280" s="82" t="n"/>
      <c r="E280" s="81" t="n"/>
      <c r="F280" s="82" t="n"/>
      <c r="G280" s="82" t="n"/>
      <c r="H280" s="82" t="n"/>
      <c r="I280" s="82" t="n"/>
      <c r="J280" s="82" t="n"/>
      <c r="K280" s="82" t="n"/>
      <c r="L280" s="82" t="n"/>
      <c r="M280" s="82" t="n"/>
      <c r="N280" s="82" t="n"/>
      <c r="O280" s="82" t="n"/>
      <c r="P280" s="82" t="n"/>
      <c r="Q280" s="82" t="n"/>
      <c r="R280" s="82" t="n"/>
      <c r="S280" s="82" t="n"/>
      <c r="T280" s="82" t="n"/>
      <c r="U280" s="82" t="n"/>
      <c r="V280" s="82" t="n"/>
      <c r="W280" s="82" t="n"/>
      <c r="X280" s="82" t="n"/>
      <c r="Y280" s="82" t="n"/>
      <c r="Z280" s="82" t="n"/>
    </row>
    <row r="281" ht="15.75" customHeight="1" s="83">
      <c r="A281" s="82" t="n"/>
      <c r="B281" s="82" t="n"/>
      <c r="C281" s="82" t="n"/>
      <c r="D281" s="82" t="n"/>
      <c r="E281" s="81" t="n"/>
      <c r="F281" s="82" t="n"/>
      <c r="G281" s="82" t="n"/>
      <c r="H281" s="82" t="n"/>
      <c r="I281" s="82" t="n"/>
      <c r="J281" s="82" t="n"/>
      <c r="K281" s="82" t="n"/>
      <c r="L281" s="82" t="n"/>
      <c r="M281" s="82" t="n"/>
      <c r="N281" s="82" t="n"/>
      <c r="O281" s="82" t="n"/>
      <c r="P281" s="82" t="n"/>
      <c r="Q281" s="82" t="n"/>
      <c r="R281" s="82" t="n"/>
      <c r="S281" s="82" t="n"/>
      <c r="T281" s="82" t="n"/>
      <c r="U281" s="82" t="n"/>
      <c r="V281" s="82" t="n"/>
      <c r="W281" s="82" t="n"/>
      <c r="X281" s="82" t="n"/>
      <c r="Y281" s="82" t="n"/>
      <c r="Z281" s="82" t="n"/>
    </row>
    <row r="282" ht="15.75" customHeight="1" s="83">
      <c r="A282" s="82" t="n"/>
      <c r="B282" s="82" t="n"/>
      <c r="C282" s="82" t="n"/>
      <c r="D282" s="82" t="n"/>
      <c r="E282" s="81" t="n"/>
      <c r="F282" s="82" t="n"/>
      <c r="G282" s="82" t="n"/>
      <c r="H282" s="82" t="n"/>
      <c r="I282" s="82" t="n"/>
      <c r="J282" s="82" t="n"/>
      <c r="K282" s="82" t="n"/>
      <c r="L282" s="82" t="n"/>
      <c r="M282" s="82" t="n"/>
      <c r="N282" s="82" t="n"/>
      <c r="O282" s="82" t="n"/>
      <c r="P282" s="82" t="n"/>
      <c r="Q282" s="82" t="n"/>
      <c r="R282" s="82" t="n"/>
      <c r="S282" s="82" t="n"/>
      <c r="T282" s="82" t="n"/>
      <c r="U282" s="82" t="n"/>
      <c r="V282" s="82" t="n"/>
      <c r="W282" s="82" t="n"/>
      <c r="X282" s="82" t="n"/>
      <c r="Y282" s="82" t="n"/>
      <c r="Z282" s="82" t="n"/>
    </row>
    <row r="283" ht="15.75" customHeight="1" s="83">
      <c r="A283" s="82" t="n"/>
      <c r="B283" s="82" t="n"/>
      <c r="C283" s="82" t="n"/>
      <c r="D283" s="82" t="n"/>
      <c r="E283" s="81" t="n"/>
      <c r="F283" s="82" t="n"/>
      <c r="G283" s="82" t="n"/>
      <c r="H283" s="82" t="n"/>
      <c r="I283" s="82" t="n"/>
      <c r="J283" s="82" t="n"/>
      <c r="K283" s="82" t="n"/>
      <c r="L283" s="82" t="n"/>
      <c r="M283" s="82" t="n"/>
      <c r="N283" s="82" t="n"/>
      <c r="O283" s="82" t="n"/>
      <c r="P283" s="82" t="n"/>
      <c r="Q283" s="82" t="n"/>
      <c r="R283" s="82" t="n"/>
      <c r="S283" s="82" t="n"/>
      <c r="T283" s="82" t="n"/>
      <c r="U283" s="82" t="n"/>
      <c r="V283" s="82" t="n"/>
      <c r="W283" s="82" t="n"/>
      <c r="X283" s="82" t="n"/>
      <c r="Y283" s="82" t="n"/>
      <c r="Z283" s="82" t="n"/>
    </row>
    <row r="284" ht="15.75" customHeight="1" s="83">
      <c r="A284" s="82" t="n"/>
      <c r="B284" s="82" t="n"/>
      <c r="C284" s="82" t="n"/>
      <c r="D284" s="82" t="n"/>
      <c r="E284" s="81" t="n"/>
      <c r="F284" s="82" t="n"/>
      <c r="G284" s="82" t="n"/>
      <c r="H284" s="82" t="n"/>
      <c r="I284" s="82" t="n"/>
      <c r="J284" s="82" t="n"/>
      <c r="K284" s="82" t="n"/>
      <c r="L284" s="82" t="n"/>
      <c r="M284" s="82" t="n"/>
      <c r="N284" s="82" t="n"/>
      <c r="O284" s="82" t="n"/>
      <c r="P284" s="82" t="n"/>
      <c r="Q284" s="82" t="n"/>
      <c r="R284" s="82" t="n"/>
      <c r="S284" s="82" t="n"/>
      <c r="T284" s="82" t="n"/>
      <c r="U284" s="82" t="n"/>
      <c r="V284" s="82" t="n"/>
      <c r="W284" s="82" t="n"/>
      <c r="X284" s="82" t="n"/>
      <c r="Y284" s="82" t="n"/>
      <c r="Z284" s="82" t="n"/>
    </row>
    <row r="285" ht="15.75" customHeight="1" s="83">
      <c r="A285" s="82" t="n"/>
      <c r="B285" s="82" t="n"/>
      <c r="C285" s="82" t="n"/>
      <c r="D285" s="82" t="n"/>
      <c r="E285" s="81" t="n"/>
      <c r="F285" s="82" t="n"/>
      <c r="G285" s="82" t="n"/>
      <c r="H285" s="82" t="n"/>
      <c r="I285" s="82" t="n"/>
      <c r="J285" s="82" t="n"/>
      <c r="K285" s="82" t="n"/>
      <c r="L285" s="82" t="n"/>
      <c r="M285" s="82" t="n"/>
      <c r="N285" s="82" t="n"/>
      <c r="O285" s="82" t="n"/>
      <c r="P285" s="82" t="n"/>
      <c r="Q285" s="82" t="n"/>
      <c r="R285" s="82" t="n"/>
      <c r="S285" s="82" t="n"/>
      <c r="T285" s="82" t="n"/>
      <c r="U285" s="82" t="n"/>
      <c r="V285" s="82" t="n"/>
      <c r="W285" s="82" t="n"/>
      <c r="X285" s="82" t="n"/>
      <c r="Y285" s="82" t="n"/>
      <c r="Z285" s="82" t="n"/>
    </row>
    <row r="286" ht="15.75" customHeight="1" s="83">
      <c r="A286" s="82" t="n"/>
      <c r="B286" s="82" t="n"/>
      <c r="C286" s="82" t="n"/>
      <c r="D286" s="82" t="n"/>
      <c r="E286" s="81" t="n"/>
      <c r="F286" s="82" t="n"/>
      <c r="G286" s="82" t="n"/>
      <c r="H286" s="82" t="n"/>
      <c r="I286" s="82" t="n"/>
      <c r="J286" s="82" t="n"/>
      <c r="K286" s="82" t="n"/>
      <c r="L286" s="82" t="n"/>
      <c r="M286" s="82" t="n"/>
      <c r="N286" s="82" t="n"/>
      <c r="O286" s="82" t="n"/>
      <c r="P286" s="82" t="n"/>
      <c r="Q286" s="82" t="n"/>
      <c r="R286" s="82" t="n"/>
      <c r="S286" s="82" t="n"/>
      <c r="T286" s="82" t="n"/>
      <c r="U286" s="82" t="n"/>
      <c r="V286" s="82" t="n"/>
      <c r="W286" s="82" t="n"/>
      <c r="X286" s="82" t="n"/>
      <c r="Y286" s="82" t="n"/>
      <c r="Z286" s="82" t="n"/>
    </row>
    <row r="287" ht="15.75" customHeight="1" s="83">
      <c r="A287" s="82" t="n"/>
      <c r="B287" s="82" t="n"/>
      <c r="C287" s="82" t="n"/>
      <c r="D287" s="82" t="n"/>
      <c r="E287" s="81" t="n"/>
      <c r="F287" s="82" t="n"/>
      <c r="G287" s="82" t="n"/>
      <c r="H287" s="82" t="n"/>
      <c r="I287" s="82" t="n"/>
      <c r="J287" s="82" t="n"/>
      <c r="K287" s="82" t="n"/>
      <c r="L287" s="82" t="n"/>
      <c r="M287" s="82" t="n"/>
      <c r="N287" s="82" t="n"/>
      <c r="O287" s="82" t="n"/>
      <c r="P287" s="82" t="n"/>
      <c r="Q287" s="82" t="n"/>
      <c r="R287" s="82" t="n"/>
      <c r="S287" s="82" t="n"/>
      <c r="T287" s="82" t="n"/>
      <c r="U287" s="82" t="n"/>
      <c r="V287" s="82" t="n"/>
      <c r="W287" s="82" t="n"/>
      <c r="X287" s="82" t="n"/>
      <c r="Y287" s="82" t="n"/>
      <c r="Z287" s="82" t="n"/>
    </row>
    <row r="288" ht="15.75" customHeight="1" s="83">
      <c r="A288" s="82" t="n"/>
      <c r="B288" s="82" t="n"/>
      <c r="C288" s="82" t="n"/>
      <c r="D288" s="82" t="n"/>
      <c r="E288" s="81" t="n"/>
      <c r="F288" s="82" t="n"/>
      <c r="G288" s="82" t="n"/>
      <c r="H288" s="82" t="n"/>
      <c r="I288" s="82" t="n"/>
      <c r="J288" s="82" t="n"/>
      <c r="K288" s="82" t="n"/>
      <c r="L288" s="82" t="n"/>
      <c r="M288" s="82" t="n"/>
      <c r="N288" s="82" t="n"/>
      <c r="O288" s="82" t="n"/>
      <c r="P288" s="82" t="n"/>
      <c r="Q288" s="82" t="n"/>
      <c r="R288" s="82" t="n"/>
      <c r="S288" s="82" t="n"/>
      <c r="T288" s="82" t="n"/>
      <c r="U288" s="82" t="n"/>
      <c r="V288" s="82" t="n"/>
      <c r="W288" s="82" t="n"/>
      <c r="X288" s="82" t="n"/>
      <c r="Y288" s="82" t="n"/>
      <c r="Z288" s="82" t="n"/>
    </row>
    <row r="289" ht="15.75" customHeight="1" s="83">
      <c r="A289" s="82" t="n"/>
      <c r="B289" s="82" t="n"/>
      <c r="C289" s="82" t="n"/>
      <c r="D289" s="82" t="n"/>
      <c r="E289" s="81" t="n"/>
      <c r="F289" s="82" t="n"/>
      <c r="G289" s="82" t="n"/>
      <c r="H289" s="82" t="n"/>
      <c r="I289" s="82" t="n"/>
      <c r="J289" s="82" t="n"/>
      <c r="K289" s="82" t="n"/>
      <c r="L289" s="82" t="n"/>
      <c r="M289" s="82" t="n"/>
      <c r="N289" s="82" t="n"/>
      <c r="O289" s="82" t="n"/>
      <c r="P289" s="82" t="n"/>
      <c r="Q289" s="82" t="n"/>
      <c r="R289" s="82" t="n"/>
      <c r="S289" s="82" t="n"/>
      <c r="T289" s="82" t="n"/>
      <c r="U289" s="82" t="n"/>
      <c r="V289" s="82" t="n"/>
      <c r="W289" s="82" t="n"/>
      <c r="X289" s="82" t="n"/>
      <c r="Y289" s="82" t="n"/>
      <c r="Z289" s="82" t="n"/>
    </row>
    <row r="290" ht="15.75" customHeight="1" s="83">
      <c r="A290" s="82" t="n"/>
      <c r="B290" s="82" t="n"/>
      <c r="C290" s="82" t="n"/>
      <c r="D290" s="82" t="n"/>
      <c r="E290" s="81" t="n"/>
      <c r="F290" s="82" t="n"/>
      <c r="G290" s="82" t="n"/>
      <c r="H290" s="82" t="n"/>
      <c r="I290" s="82" t="n"/>
      <c r="J290" s="82" t="n"/>
      <c r="K290" s="82" t="n"/>
      <c r="L290" s="82" t="n"/>
      <c r="M290" s="82" t="n"/>
      <c r="N290" s="82" t="n"/>
      <c r="O290" s="82" t="n"/>
      <c r="P290" s="82" t="n"/>
      <c r="Q290" s="82" t="n"/>
      <c r="R290" s="82" t="n"/>
      <c r="S290" s="82" t="n"/>
      <c r="T290" s="82" t="n"/>
      <c r="U290" s="82" t="n"/>
      <c r="V290" s="82" t="n"/>
      <c r="W290" s="82" t="n"/>
      <c r="X290" s="82" t="n"/>
      <c r="Y290" s="82" t="n"/>
      <c r="Z290" s="82" t="n"/>
    </row>
    <row r="291" ht="15.75" customHeight="1" s="83">
      <c r="A291" s="82" t="n"/>
      <c r="B291" s="82" t="n"/>
      <c r="C291" s="82" t="n"/>
      <c r="D291" s="82" t="n"/>
      <c r="E291" s="81" t="n"/>
      <c r="F291" s="82" t="n"/>
      <c r="G291" s="82" t="n"/>
      <c r="H291" s="82" t="n"/>
      <c r="I291" s="82" t="n"/>
      <c r="J291" s="82" t="n"/>
      <c r="K291" s="82" t="n"/>
      <c r="L291" s="82" t="n"/>
      <c r="M291" s="82" t="n"/>
      <c r="N291" s="82" t="n"/>
      <c r="O291" s="82" t="n"/>
      <c r="P291" s="82" t="n"/>
      <c r="Q291" s="82" t="n"/>
      <c r="R291" s="82" t="n"/>
      <c r="S291" s="82" t="n"/>
      <c r="T291" s="82" t="n"/>
      <c r="U291" s="82" t="n"/>
      <c r="V291" s="82" t="n"/>
      <c r="W291" s="82" t="n"/>
      <c r="X291" s="82" t="n"/>
      <c r="Y291" s="82" t="n"/>
      <c r="Z291" s="82" t="n"/>
    </row>
    <row r="292" ht="15.75" customHeight="1" s="83">
      <c r="A292" s="82" t="n"/>
      <c r="B292" s="82" t="n"/>
      <c r="C292" s="82" t="n"/>
      <c r="D292" s="82" t="n"/>
      <c r="E292" s="81" t="n"/>
      <c r="F292" s="82" t="n"/>
      <c r="G292" s="82" t="n"/>
      <c r="H292" s="82" t="n"/>
      <c r="I292" s="82" t="n"/>
      <c r="J292" s="82" t="n"/>
      <c r="K292" s="82" t="n"/>
      <c r="L292" s="82" t="n"/>
      <c r="M292" s="82" t="n"/>
      <c r="N292" s="82" t="n"/>
      <c r="O292" s="82" t="n"/>
      <c r="P292" s="82" t="n"/>
      <c r="Q292" s="82" t="n"/>
      <c r="R292" s="82" t="n"/>
      <c r="S292" s="82" t="n"/>
      <c r="T292" s="82" t="n"/>
      <c r="U292" s="82" t="n"/>
      <c r="V292" s="82" t="n"/>
      <c r="W292" s="82" t="n"/>
      <c r="X292" s="82" t="n"/>
      <c r="Y292" s="82" t="n"/>
      <c r="Z292" s="82" t="n"/>
    </row>
    <row r="293" ht="15.75" customHeight="1" s="83">
      <c r="A293" s="82" t="n"/>
      <c r="B293" s="82" t="n"/>
      <c r="C293" s="82" t="n"/>
      <c r="D293" s="82" t="n"/>
      <c r="E293" s="81" t="n"/>
      <c r="F293" s="82" t="n"/>
      <c r="G293" s="82" t="n"/>
      <c r="H293" s="82" t="n"/>
      <c r="I293" s="82" t="n"/>
      <c r="J293" s="82" t="n"/>
      <c r="K293" s="82" t="n"/>
      <c r="L293" s="82" t="n"/>
      <c r="M293" s="82" t="n"/>
      <c r="N293" s="82" t="n"/>
      <c r="O293" s="82" t="n"/>
      <c r="P293" s="82" t="n"/>
      <c r="Q293" s="82" t="n"/>
      <c r="R293" s="82" t="n"/>
      <c r="S293" s="82" t="n"/>
      <c r="T293" s="82" t="n"/>
      <c r="U293" s="82" t="n"/>
      <c r="V293" s="82" t="n"/>
      <c r="W293" s="82" t="n"/>
      <c r="X293" s="82" t="n"/>
      <c r="Y293" s="82" t="n"/>
      <c r="Z293" s="82" t="n"/>
    </row>
    <row r="294" ht="15.75" customHeight="1" s="83">
      <c r="A294" s="82" t="n"/>
      <c r="B294" s="82" t="n"/>
      <c r="C294" s="82" t="n"/>
      <c r="D294" s="82" t="n"/>
      <c r="E294" s="81" t="n"/>
      <c r="F294" s="82" t="n"/>
      <c r="G294" s="82" t="n"/>
      <c r="H294" s="82" t="n"/>
      <c r="I294" s="82" t="n"/>
      <c r="J294" s="82" t="n"/>
      <c r="K294" s="82" t="n"/>
      <c r="L294" s="82" t="n"/>
      <c r="M294" s="82" t="n"/>
      <c r="N294" s="82" t="n"/>
      <c r="O294" s="82" t="n"/>
      <c r="P294" s="82" t="n"/>
      <c r="Q294" s="82" t="n"/>
      <c r="R294" s="82" t="n"/>
      <c r="S294" s="82" t="n"/>
      <c r="T294" s="82" t="n"/>
      <c r="U294" s="82" t="n"/>
      <c r="V294" s="82" t="n"/>
      <c r="W294" s="82" t="n"/>
      <c r="X294" s="82" t="n"/>
      <c r="Y294" s="82" t="n"/>
      <c r="Z294" s="82" t="n"/>
    </row>
    <row r="295" ht="15.75" customHeight="1" s="83">
      <c r="A295" s="82" t="n"/>
      <c r="B295" s="82" t="n"/>
      <c r="C295" s="82" t="n"/>
      <c r="D295" s="82" t="n"/>
      <c r="E295" s="81" t="n"/>
      <c r="F295" s="82" t="n"/>
      <c r="G295" s="82" t="n"/>
      <c r="H295" s="82" t="n"/>
      <c r="I295" s="82" t="n"/>
      <c r="J295" s="82" t="n"/>
      <c r="K295" s="82" t="n"/>
      <c r="L295" s="82" t="n"/>
      <c r="M295" s="82" t="n"/>
      <c r="N295" s="82" t="n"/>
      <c r="O295" s="82" t="n"/>
      <c r="P295" s="82" t="n"/>
      <c r="Q295" s="82" t="n"/>
      <c r="R295" s="82" t="n"/>
      <c r="S295" s="82" t="n"/>
      <c r="T295" s="82" t="n"/>
      <c r="U295" s="82" t="n"/>
      <c r="V295" s="82" t="n"/>
      <c r="W295" s="82" t="n"/>
      <c r="X295" s="82" t="n"/>
      <c r="Y295" s="82" t="n"/>
      <c r="Z295" s="82" t="n"/>
    </row>
    <row r="296" ht="15.75" customHeight="1" s="83">
      <c r="A296" s="82" t="n"/>
      <c r="B296" s="82" t="n"/>
      <c r="C296" s="82" t="n"/>
      <c r="D296" s="82" t="n"/>
      <c r="E296" s="81" t="n"/>
      <c r="F296" s="82" t="n"/>
      <c r="G296" s="82" t="n"/>
      <c r="H296" s="82" t="n"/>
      <c r="I296" s="82" t="n"/>
      <c r="J296" s="82" t="n"/>
      <c r="K296" s="82" t="n"/>
      <c r="L296" s="82" t="n"/>
      <c r="M296" s="82" t="n"/>
      <c r="N296" s="82" t="n"/>
      <c r="O296" s="82" t="n"/>
      <c r="P296" s="82" t="n"/>
      <c r="Q296" s="82" t="n"/>
      <c r="R296" s="82" t="n"/>
      <c r="S296" s="82" t="n"/>
      <c r="T296" s="82" t="n"/>
      <c r="U296" s="82" t="n"/>
      <c r="V296" s="82" t="n"/>
      <c r="W296" s="82" t="n"/>
      <c r="X296" s="82" t="n"/>
      <c r="Y296" s="82" t="n"/>
      <c r="Z296" s="82" t="n"/>
    </row>
    <row r="297" ht="15.75" customHeight="1" s="83">
      <c r="A297" s="82" t="n"/>
      <c r="B297" s="82" t="n"/>
      <c r="C297" s="82" t="n"/>
      <c r="D297" s="82" t="n"/>
      <c r="E297" s="81" t="n"/>
      <c r="F297" s="82" t="n"/>
      <c r="G297" s="82" t="n"/>
      <c r="H297" s="82" t="n"/>
      <c r="I297" s="82" t="n"/>
      <c r="J297" s="82" t="n"/>
      <c r="K297" s="82" t="n"/>
      <c r="L297" s="82" t="n"/>
      <c r="M297" s="82" t="n"/>
      <c r="N297" s="82" t="n"/>
      <c r="O297" s="82" t="n"/>
      <c r="P297" s="82" t="n"/>
      <c r="Q297" s="82" t="n"/>
      <c r="R297" s="82" t="n"/>
      <c r="S297" s="82" t="n"/>
      <c r="T297" s="82" t="n"/>
      <c r="U297" s="82" t="n"/>
      <c r="V297" s="82" t="n"/>
      <c r="W297" s="82" t="n"/>
      <c r="X297" s="82" t="n"/>
      <c r="Y297" s="82" t="n"/>
      <c r="Z297" s="82" t="n"/>
    </row>
    <row r="298" ht="15.75" customHeight="1" s="83">
      <c r="A298" s="82" t="n"/>
      <c r="B298" s="82" t="n"/>
      <c r="C298" s="82" t="n"/>
      <c r="D298" s="82" t="n"/>
      <c r="E298" s="81" t="n"/>
      <c r="F298" s="82" t="n"/>
      <c r="G298" s="82" t="n"/>
      <c r="H298" s="82" t="n"/>
      <c r="I298" s="82" t="n"/>
      <c r="J298" s="82" t="n"/>
      <c r="K298" s="82" t="n"/>
      <c r="L298" s="82" t="n"/>
      <c r="M298" s="82" t="n"/>
      <c r="N298" s="82" t="n"/>
      <c r="O298" s="82" t="n"/>
      <c r="P298" s="82" t="n"/>
      <c r="Q298" s="82" t="n"/>
      <c r="R298" s="82" t="n"/>
      <c r="S298" s="82" t="n"/>
      <c r="T298" s="82" t="n"/>
      <c r="U298" s="82" t="n"/>
      <c r="V298" s="82" t="n"/>
      <c r="W298" s="82" t="n"/>
      <c r="X298" s="82" t="n"/>
      <c r="Y298" s="82" t="n"/>
      <c r="Z298" s="82" t="n"/>
    </row>
    <row r="299" ht="15.75" customHeight="1" s="83">
      <c r="A299" s="82" t="n"/>
      <c r="B299" s="82" t="n"/>
      <c r="C299" s="82" t="n"/>
      <c r="D299" s="82" t="n"/>
      <c r="E299" s="81" t="n"/>
      <c r="F299" s="82" t="n"/>
      <c r="G299" s="82" t="n"/>
      <c r="H299" s="82" t="n"/>
      <c r="I299" s="82" t="n"/>
      <c r="J299" s="82" t="n"/>
      <c r="K299" s="82" t="n"/>
      <c r="L299" s="82" t="n"/>
      <c r="M299" s="82" t="n"/>
      <c r="N299" s="82" t="n"/>
      <c r="O299" s="82" t="n"/>
      <c r="P299" s="82" t="n"/>
      <c r="Q299" s="82" t="n"/>
      <c r="R299" s="82" t="n"/>
      <c r="S299" s="82" t="n"/>
      <c r="T299" s="82" t="n"/>
      <c r="U299" s="82" t="n"/>
      <c r="V299" s="82" t="n"/>
      <c r="W299" s="82" t="n"/>
      <c r="X299" s="82" t="n"/>
      <c r="Y299" s="82" t="n"/>
      <c r="Z299" s="82" t="n"/>
    </row>
    <row r="300" ht="15.75" customHeight="1" s="83">
      <c r="A300" s="82" t="n"/>
      <c r="B300" s="82" t="n"/>
      <c r="C300" s="82" t="n"/>
      <c r="D300" s="82" t="n"/>
      <c r="E300" s="81" t="n"/>
      <c r="F300" s="82" t="n"/>
      <c r="G300" s="82" t="n"/>
      <c r="H300" s="82" t="n"/>
      <c r="I300" s="82" t="n"/>
      <c r="J300" s="82" t="n"/>
      <c r="K300" s="82" t="n"/>
      <c r="L300" s="82" t="n"/>
      <c r="M300" s="82" t="n"/>
      <c r="N300" s="82" t="n"/>
      <c r="O300" s="82" t="n"/>
      <c r="P300" s="82" t="n"/>
      <c r="Q300" s="82" t="n"/>
      <c r="R300" s="82" t="n"/>
      <c r="S300" s="82" t="n"/>
      <c r="T300" s="82" t="n"/>
      <c r="U300" s="82" t="n"/>
      <c r="V300" s="82" t="n"/>
      <c r="W300" s="82" t="n"/>
      <c r="X300" s="82" t="n"/>
      <c r="Y300" s="82" t="n"/>
      <c r="Z300" s="82" t="n"/>
    </row>
    <row r="301" ht="15.75" customHeight="1" s="83">
      <c r="A301" s="82" t="n"/>
      <c r="B301" s="82" t="n"/>
      <c r="C301" s="82" t="n"/>
      <c r="D301" s="82" t="n"/>
      <c r="E301" s="81" t="n"/>
      <c r="F301" s="82" t="n"/>
      <c r="G301" s="82" t="n"/>
      <c r="H301" s="82" t="n"/>
      <c r="I301" s="82" t="n"/>
      <c r="J301" s="82" t="n"/>
      <c r="K301" s="82" t="n"/>
      <c r="L301" s="82" t="n"/>
      <c r="M301" s="82" t="n"/>
      <c r="N301" s="82" t="n"/>
      <c r="O301" s="82" t="n"/>
      <c r="P301" s="82" t="n"/>
      <c r="Q301" s="82" t="n"/>
      <c r="R301" s="82" t="n"/>
      <c r="S301" s="82" t="n"/>
      <c r="T301" s="82" t="n"/>
      <c r="U301" s="82" t="n"/>
      <c r="V301" s="82" t="n"/>
      <c r="W301" s="82" t="n"/>
      <c r="X301" s="82" t="n"/>
      <c r="Y301" s="82" t="n"/>
      <c r="Z301" s="82" t="n"/>
    </row>
    <row r="302" ht="15.75" customHeight="1" s="83">
      <c r="A302" s="82" t="n"/>
      <c r="B302" s="82" t="n"/>
      <c r="C302" s="82" t="n"/>
      <c r="D302" s="82" t="n"/>
      <c r="E302" s="81" t="n"/>
      <c r="F302" s="82" t="n"/>
      <c r="G302" s="82" t="n"/>
      <c r="H302" s="82" t="n"/>
      <c r="I302" s="82" t="n"/>
      <c r="J302" s="82" t="n"/>
      <c r="K302" s="82" t="n"/>
      <c r="L302" s="82" t="n"/>
      <c r="M302" s="82" t="n"/>
      <c r="N302" s="82" t="n"/>
      <c r="O302" s="82" t="n"/>
      <c r="P302" s="82" t="n"/>
      <c r="Q302" s="82" t="n"/>
      <c r="R302" s="82" t="n"/>
      <c r="S302" s="82" t="n"/>
      <c r="T302" s="82" t="n"/>
      <c r="U302" s="82" t="n"/>
      <c r="V302" s="82" t="n"/>
      <c r="W302" s="82" t="n"/>
      <c r="X302" s="82" t="n"/>
      <c r="Y302" s="82" t="n"/>
      <c r="Z302" s="82" t="n"/>
    </row>
    <row r="303" ht="15.75" customHeight="1" s="83">
      <c r="A303" s="82" t="n"/>
      <c r="B303" s="82" t="n"/>
      <c r="C303" s="82" t="n"/>
      <c r="D303" s="82" t="n"/>
      <c r="E303" s="81" t="n"/>
      <c r="F303" s="82" t="n"/>
      <c r="G303" s="82" t="n"/>
      <c r="H303" s="82" t="n"/>
      <c r="I303" s="82" t="n"/>
      <c r="J303" s="82" t="n"/>
      <c r="K303" s="82" t="n"/>
      <c r="L303" s="82" t="n"/>
      <c r="M303" s="82" t="n"/>
      <c r="N303" s="82" t="n"/>
      <c r="O303" s="82" t="n"/>
      <c r="P303" s="82" t="n"/>
      <c r="Q303" s="82" t="n"/>
      <c r="R303" s="82" t="n"/>
      <c r="S303" s="82" t="n"/>
      <c r="T303" s="82" t="n"/>
      <c r="U303" s="82" t="n"/>
      <c r="V303" s="82" t="n"/>
      <c r="W303" s="82" t="n"/>
      <c r="X303" s="82" t="n"/>
      <c r="Y303" s="82" t="n"/>
      <c r="Z303" s="82" t="n"/>
    </row>
    <row r="304" ht="15.75" customHeight="1" s="83">
      <c r="A304" s="82" t="n"/>
      <c r="B304" s="82" t="n"/>
      <c r="C304" s="82" t="n"/>
      <c r="D304" s="82" t="n"/>
      <c r="E304" s="81" t="n"/>
      <c r="F304" s="82" t="n"/>
      <c r="G304" s="82" t="n"/>
      <c r="H304" s="82" t="n"/>
      <c r="I304" s="82" t="n"/>
      <c r="J304" s="82" t="n"/>
      <c r="K304" s="82" t="n"/>
      <c r="L304" s="82" t="n"/>
      <c r="M304" s="82" t="n"/>
      <c r="N304" s="82" t="n"/>
      <c r="O304" s="82" t="n"/>
      <c r="P304" s="82" t="n"/>
      <c r="Q304" s="82" t="n"/>
      <c r="R304" s="82" t="n"/>
      <c r="S304" s="82" t="n"/>
      <c r="T304" s="82" t="n"/>
      <c r="U304" s="82" t="n"/>
      <c r="V304" s="82" t="n"/>
      <c r="W304" s="82" t="n"/>
      <c r="X304" s="82" t="n"/>
      <c r="Y304" s="82" t="n"/>
      <c r="Z304" s="82" t="n"/>
    </row>
    <row r="305" ht="15.75" customHeight="1" s="83">
      <c r="A305" s="82" t="n"/>
      <c r="B305" s="82" t="n"/>
      <c r="C305" s="82" t="n"/>
      <c r="D305" s="82" t="n"/>
      <c r="E305" s="81" t="n"/>
      <c r="F305" s="82" t="n"/>
      <c r="G305" s="82" t="n"/>
      <c r="H305" s="82" t="n"/>
      <c r="I305" s="82" t="n"/>
      <c r="J305" s="82" t="n"/>
      <c r="K305" s="82" t="n"/>
      <c r="L305" s="82" t="n"/>
      <c r="M305" s="82" t="n"/>
      <c r="N305" s="82" t="n"/>
      <c r="O305" s="82" t="n"/>
      <c r="P305" s="82" t="n"/>
      <c r="Q305" s="82" t="n"/>
      <c r="R305" s="82" t="n"/>
      <c r="S305" s="82" t="n"/>
      <c r="T305" s="82" t="n"/>
      <c r="U305" s="82" t="n"/>
      <c r="V305" s="82" t="n"/>
      <c r="W305" s="82" t="n"/>
      <c r="X305" s="82" t="n"/>
      <c r="Y305" s="82" t="n"/>
      <c r="Z305" s="82" t="n"/>
    </row>
    <row r="306" ht="15.75" customHeight="1" s="83">
      <c r="A306" s="82" t="n"/>
      <c r="B306" s="82" t="n"/>
      <c r="C306" s="82" t="n"/>
      <c r="D306" s="82" t="n"/>
      <c r="E306" s="81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  <c r="P306" s="82" t="n"/>
      <c r="Q306" s="82" t="n"/>
      <c r="R306" s="82" t="n"/>
      <c r="S306" s="82" t="n"/>
      <c r="T306" s="82" t="n"/>
      <c r="U306" s="82" t="n"/>
      <c r="V306" s="82" t="n"/>
      <c r="W306" s="82" t="n"/>
      <c r="X306" s="82" t="n"/>
      <c r="Y306" s="82" t="n"/>
      <c r="Z306" s="82" t="n"/>
    </row>
    <row r="307" ht="15.75" customHeight="1" s="83">
      <c r="A307" s="82" t="n"/>
      <c r="B307" s="82" t="n"/>
      <c r="C307" s="82" t="n"/>
      <c r="D307" s="82" t="n"/>
      <c r="E307" s="81" t="n"/>
      <c r="F307" s="82" t="n"/>
      <c r="G307" s="82" t="n"/>
      <c r="H307" s="82" t="n"/>
      <c r="I307" s="82" t="n"/>
      <c r="J307" s="82" t="n"/>
      <c r="K307" s="82" t="n"/>
      <c r="L307" s="82" t="n"/>
      <c r="M307" s="82" t="n"/>
      <c r="N307" s="82" t="n"/>
      <c r="O307" s="82" t="n"/>
      <c r="P307" s="82" t="n"/>
      <c r="Q307" s="82" t="n"/>
      <c r="R307" s="82" t="n"/>
      <c r="S307" s="82" t="n"/>
      <c r="T307" s="82" t="n"/>
      <c r="U307" s="82" t="n"/>
      <c r="V307" s="82" t="n"/>
      <c r="W307" s="82" t="n"/>
      <c r="X307" s="82" t="n"/>
      <c r="Y307" s="82" t="n"/>
      <c r="Z307" s="82" t="n"/>
    </row>
    <row r="308" ht="15.75" customHeight="1" s="83">
      <c r="A308" s="82" t="n"/>
      <c r="B308" s="82" t="n"/>
      <c r="C308" s="82" t="n"/>
      <c r="D308" s="82" t="n"/>
      <c r="E308" s="81" t="n"/>
      <c r="F308" s="82" t="n"/>
      <c r="G308" s="82" t="n"/>
      <c r="H308" s="82" t="n"/>
      <c r="I308" s="82" t="n"/>
      <c r="J308" s="82" t="n"/>
      <c r="K308" s="82" t="n"/>
      <c r="L308" s="82" t="n"/>
      <c r="M308" s="82" t="n"/>
      <c r="N308" s="82" t="n"/>
      <c r="O308" s="82" t="n"/>
      <c r="P308" s="82" t="n"/>
      <c r="Q308" s="82" t="n"/>
      <c r="R308" s="82" t="n"/>
      <c r="S308" s="82" t="n"/>
      <c r="T308" s="82" t="n"/>
      <c r="U308" s="82" t="n"/>
      <c r="V308" s="82" t="n"/>
      <c r="W308" s="82" t="n"/>
      <c r="X308" s="82" t="n"/>
      <c r="Y308" s="82" t="n"/>
      <c r="Z308" s="82" t="n"/>
    </row>
    <row r="309" ht="15.75" customHeight="1" s="83">
      <c r="A309" s="82" t="n"/>
      <c r="B309" s="82" t="n"/>
      <c r="C309" s="82" t="n"/>
      <c r="D309" s="82" t="n"/>
      <c r="E309" s="81" t="n"/>
      <c r="F309" s="82" t="n"/>
      <c r="G309" s="82" t="n"/>
      <c r="H309" s="82" t="n"/>
      <c r="I309" s="82" t="n"/>
      <c r="J309" s="82" t="n"/>
      <c r="K309" s="82" t="n"/>
      <c r="L309" s="82" t="n"/>
      <c r="M309" s="82" t="n"/>
      <c r="N309" s="82" t="n"/>
      <c r="O309" s="82" t="n"/>
      <c r="P309" s="82" t="n"/>
      <c r="Q309" s="82" t="n"/>
      <c r="R309" s="82" t="n"/>
      <c r="S309" s="82" t="n"/>
      <c r="T309" s="82" t="n"/>
      <c r="U309" s="82" t="n"/>
      <c r="V309" s="82" t="n"/>
      <c r="W309" s="82" t="n"/>
      <c r="X309" s="82" t="n"/>
      <c r="Y309" s="82" t="n"/>
      <c r="Z309" s="82" t="n"/>
    </row>
    <row r="310" ht="15.75" customHeight="1" s="83">
      <c r="A310" s="82" t="n"/>
      <c r="B310" s="82" t="n"/>
      <c r="C310" s="82" t="n"/>
      <c r="D310" s="82" t="n"/>
      <c r="E310" s="81" t="n"/>
      <c r="F310" s="82" t="n"/>
      <c r="G310" s="82" t="n"/>
      <c r="H310" s="82" t="n"/>
      <c r="I310" s="82" t="n"/>
      <c r="J310" s="82" t="n"/>
      <c r="K310" s="82" t="n"/>
      <c r="L310" s="82" t="n"/>
      <c r="M310" s="82" t="n"/>
      <c r="N310" s="82" t="n"/>
      <c r="O310" s="82" t="n"/>
      <c r="P310" s="82" t="n"/>
      <c r="Q310" s="82" t="n"/>
      <c r="R310" s="82" t="n"/>
      <c r="S310" s="82" t="n"/>
      <c r="T310" s="82" t="n"/>
      <c r="U310" s="82" t="n"/>
      <c r="V310" s="82" t="n"/>
      <c r="W310" s="82" t="n"/>
      <c r="X310" s="82" t="n"/>
      <c r="Y310" s="82" t="n"/>
      <c r="Z310" s="82" t="n"/>
    </row>
    <row r="311" ht="15.75" customHeight="1" s="83">
      <c r="A311" s="82" t="n"/>
      <c r="B311" s="82" t="n"/>
      <c r="C311" s="82" t="n"/>
      <c r="D311" s="82" t="n"/>
      <c r="E311" s="81" t="n"/>
      <c r="F311" s="82" t="n"/>
      <c r="G311" s="82" t="n"/>
      <c r="H311" s="82" t="n"/>
      <c r="I311" s="82" t="n"/>
      <c r="J311" s="82" t="n"/>
      <c r="K311" s="82" t="n"/>
      <c r="L311" s="82" t="n"/>
      <c r="M311" s="82" t="n"/>
      <c r="N311" s="82" t="n"/>
      <c r="O311" s="82" t="n"/>
      <c r="P311" s="82" t="n"/>
      <c r="Q311" s="82" t="n"/>
      <c r="R311" s="82" t="n"/>
      <c r="S311" s="82" t="n"/>
      <c r="T311" s="82" t="n"/>
      <c r="U311" s="82" t="n"/>
      <c r="V311" s="82" t="n"/>
      <c r="W311" s="82" t="n"/>
      <c r="X311" s="82" t="n"/>
      <c r="Y311" s="82" t="n"/>
      <c r="Z311" s="82" t="n"/>
    </row>
    <row r="312" ht="15.75" customHeight="1" s="83">
      <c r="A312" s="82" t="n"/>
      <c r="B312" s="82" t="n"/>
      <c r="C312" s="82" t="n"/>
      <c r="D312" s="82" t="n"/>
      <c r="E312" s="81" t="n"/>
      <c r="F312" s="82" t="n"/>
      <c r="G312" s="82" t="n"/>
      <c r="H312" s="82" t="n"/>
      <c r="I312" s="82" t="n"/>
      <c r="J312" s="82" t="n"/>
      <c r="K312" s="82" t="n"/>
      <c r="L312" s="82" t="n"/>
      <c r="M312" s="82" t="n"/>
      <c r="N312" s="82" t="n"/>
      <c r="O312" s="82" t="n"/>
      <c r="P312" s="82" t="n"/>
      <c r="Q312" s="82" t="n"/>
      <c r="R312" s="82" t="n"/>
      <c r="S312" s="82" t="n"/>
      <c r="T312" s="82" t="n"/>
      <c r="U312" s="82" t="n"/>
      <c r="V312" s="82" t="n"/>
      <c r="W312" s="82" t="n"/>
      <c r="X312" s="82" t="n"/>
      <c r="Y312" s="82" t="n"/>
      <c r="Z312" s="82" t="n"/>
    </row>
    <row r="313" ht="15.75" customHeight="1" s="83">
      <c r="A313" s="82" t="n"/>
      <c r="B313" s="82" t="n"/>
      <c r="C313" s="82" t="n"/>
      <c r="D313" s="82" t="n"/>
      <c r="E313" s="81" t="n"/>
      <c r="F313" s="82" t="n"/>
      <c r="G313" s="82" t="n"/>
      <c r="H313" s="82" t="n"/>
      <c r="I313" s="82" t="n"/>
      <c r="J313" s="82" t="n"/>
      <c r="K313" s="82" t="n"/>
      <c r="L313" s="82" t="n"/>
      <c r="M313" s="82" t="n"/>
      <c r="N313" s="82" t="n"/>
      <c r="O313" s="82" t="n"/>
      <c r="P313" s="82" t="n"/>
      <c r="Q313" s="82" t="n"/>
      <c r="R313" s="82" t="n"/>
      <c r="S313" s="82" t="n"/>
      <c r="T313" s="82" t="n"/>
      <c r="U313" s="82" t="n"/>
      <c r="V313" s="82" t="n"/>
      <c r="W313" s="82" t="n"/>
      <c r="X313" s="82" t="n"/>
      <c r="Y313" s="82" t="n"/>
      <c r="Z313" s="82" t="n"/>
    </row>
    <row r="314" ht="15.75" customHeight="1" s="83">
      <c r="A314" s="82" t="n"/>
      <c r="B314" s="82" t="n"/>
      <c r="C314" s="82" t="n"/>
      <c r="D314" s="82" t="n"/>
      <c r="E314" s="81" t="n"/>
      <c r="F314" s="82" t="n"/>
      <c r="G314" s="82" t="n"/>
      <c r="H314" s="82" t="n"/>
      <c r="I314" s="82" t="n"/>
      <c r="J314" s="82" t="n"/>
      <c r="K314" s="82" t="n"/>
      <c r="L314" s="82" t="n"/>
      <c r="M314" s="82" t="n"/>
      <c r="N314" s="82" t="n"/>
      <c r="O314" s="82" t="n"/>
      <c r="P314" s="82" t="n"/>
      <c r="Q314" s="82" t="n"/>
      <c r="R314" s="82" t="n"/>
      <c r="S314" s="82" t="n"/>
      <c r="T314" s="82" t="n"/>
      <c r="U314" s="82" t="n"/>
      <c r="V314" s="82" t="n"/>
      <c r="W314" s="82" t="n"/>
      <c r="X314" s="82" t="n"/>
      <c r="Y314" s="82" t="n"/>
      <c r="Z314" s="82" t="n"/>
    </row>
    <row r="315" ht="15.75" customHeight="1" s="83">
      <c r="A315" s="82" t="n"/>
      <c r="B315" s="82" t="n"/>
      <c r="C315" s="82" t="n"/>
      <c r="D315" s="82" t="n"/>
      <c r="E315" s="81" t="n"/>
      <c r="F315" s="82" t="n"/>
      <c r="G315" s="82" t="n"/>
      <c r="H315" s="82" t="n"/>
      <c r="I315" s="82" t="n"/>
      <c r="J315" s="82" t="n"/>
      <c r="K315" s="82" t="n"/>
      <c r="L315" s="82" t="n"/>
      <c r="M315" s="82" t="n"/>
      <c r="N315" s="82" t="n"/>
      <c r="O315" s="82" t="n"/>
      <c r="P315" s="82" t="n"/>
      <c r="Q315" s="82" t="n"/>
      <c r="R315" s="82" t="n"/>
      <c r="S315" s="82" t="n"/>
      <c r="T315" s="82" t="n"/>
      <c r="U315" s="82" t="n"/>
      <c r="V315" s="82" t="n"/>
      <c r="W315" s="82" t="n"/>
      <c r="X315" s="82" t="n"/>
      <c r="Y315" s="82" t="n"/>
      <c r="Z315" s="82" t="n"/>
    </row>
    <row r="316" ht="15.75" customHeight="1" s="83">
      <c r="A316" s="82" t="n"/>
      <c r="B316" s="82" t="n"/>
      <c r="C316" s="82" t="n"/>
      <c r="D316" s="82" t="n"/>
      <c r="E316" s="81" t="n"/>
      <c r="F316" s="82" t="n"/>
      <c r="G316" s="82" t="n"/>
      <c r="H316" s="82" t="n"/>
      <c r="I316" s="82" t="n"/>
      <c r="J316" s="82" t="n"/>
      <c r="K316" s="82" t="n"/>
      <c r="L316" s="82" t="n"/>
      <c r="M316" s="82" t="n"/>
      <c r="N316" s="82" t="n"/>
      <c r="O316" s="82" t="n"/>
      <c r="P316" s="82" t="n"/>
      <c r="Q316" s="82" t="n"/>
      <c r="R316" s="82" t="n"/>
      <c r="S316" s="82" t="n"/>
      <c r="T316" s="82" t="n"/>
      <c r="U316" s="82" t="n"/>
      <c r="V316" s="82" t="n"/>
      <c r="W316" s="82" t="n"/>
      <c r="X316" s="82" t="n"/>
      <c r="Y316" s="82" t="n"/>
      <c r="Z316" s="82" t="n"/>
    </row>
    <row r="317" ht="15.75" customHeight="1" s="83">
      <c r="A317" s="82" t="n"/>
      <c r="B317" s="82" t="n"/>
      <c r="C317" s="82" t="n"/>
      <c r="D317" s="82" t="n"/>
      <c r="E317" s="81" t="n"/>
      <c r="F317" s="82" t="n"/>
      <c r="G317" s="82" t="n"/>
      <c r="H317" s="82" t="n"/>
      <c r="I317" s="82" t="n"/>
      <c r="J317" s="82" t="n"/>
      <c r="K317" s="82" t="n"/>
      <c r="L317" s="82" t="n"/>
      <c r="M317" s="82" t="n"/>
      <c r="N317" s="82" t="n"/>
      <c r="O317" s="82" t="n"/>
      <c r="P317" s="82" t="n"/>
      <c r="Q317" s="82" t="n"/>
      <c r="R317" s="82" t="n"/>
      <c r="S317" s="82" t="n"/>
      <c r="T317" s="82" t="n"/>
      <c r="U317" s="82" t="n"/>
      <c r="V317" s="82" t="n"/>
      <c r="W317" s="82" t="n"/>
      <c r="X317" s="82" t="n"/>
      <c r="Y317" s="82" t="n"/>
      <c r="Z317" s="82" t="n"/>
    </row>
    <row r="318" ht="15.75" customHeight="1" s="83">
      <c r="A318" s="82" t="n"/>
      <c r="B318" s="82" t="n"/>
      <c r="C318" s="82" t="n"/>
      <c r="D318" s="82" t="n"/>
      <c r="E318" s="81" t="n"/>
      <c r="F318" s="82" t="n"/>
      <c r="G318" s="82" t="n"/>
      <c r="H318" s="82" t="n"/>
      <c r="I318" s="82" t="n"/>
      <c r="J318" s="82" t="n"/>
      <c r="K318" s="82" t="n"/>
      <c r="L318" s="82" t="n"/>
      <c r="M318" s="82" t="n"/>
      <c r="N318" s="82" t="n"/>
      <c r="O318" s="82" t="n"/>
      <c r="P318" s="82" t="n"/>
      <c r="Q318" s="82" t="n"/>
      <c r="R318" s="82" t="n"/>
      <c r="S318" s="82" t="n"/>
      <c r="T318" s="82" t="n"/>
      <c r="U318" s="82" t="n"/>
      <c r="V318" s="82" t="n"/>
      <c r="W318" s="82" t="n"/>
      <c r="X318" s="82" t="n"/>
      <c r="Y318" s="82" t="n"/>
      <c r="Z318" s="82" t="n"/>
    </row>
    <row r="319" ht="15.75" customHeight="1" s="83">
      <c r="A319" s="82" t="n"/>
      <c r="B319" s="82" t="n"/>
      <c r="C319" s="82" t="n"/>
      <c r="D319" s="82" t="n"/>
      <c r="E319" s="81" t="n"/>
      <c r="F319" s="82" t="n"/>
      <c r="G319" s="82" t="n"/>
      <c r="H319" s="82" t="n"/>
      <c r="I319" s="82" t="n"/>
      <c r="J319" s="82" t="n"/>
      <c r="K319" s="82" t="n"/>
      <c r="L319" s="82" t="n"/>
      <c r="M319" s="82" t="n"/>
      <c r="N319" s="82" t="n"/>
      <c r="O319" s="82" t="n"/>
      <c r="P319" s="82" t="n"/>
      <c r="Q319" s="82" t="n"/>
      <c r="R319" s="82" t="n"/>
      <c r="S319" s="82" t="n"/>
      <c r="T319" s="82" t="n"/>
      <c r="U319" s="82" t="n"/>
      <c r="V319" s="82" t="n"/>
      <c r="W319" s="82" t="n"/>
      <c r="X319" s="82" t="n"/>
      <c r="Y319" s="82" t="n"/>
      <c r="Z319" s="82" t="n"/>
    </row>
    <row r="320" ht="15.75" customHeight="1" s="83">
      <c r="A320" s="82" t="n"/>
      <c r="B320" s="82" t="n"/>
      <c r="C320" s="82" t="n"/>
      <c r="D320" s="82" t="n"/>
      <c r="E320" s="81" t="n"/>
      <c r="F320" s="82" t="n"/>
      <c r="G320" s="82" t="n"/>
      <c r="H320" s="82" t="n"/>
      <c r="I320" s="82" t="n"/>
      <c r="J320" s="82" t="n"/>
      <c r="K320" s="82" t="n"/>
      <c r="L320" s="82" t="n"/>
      <c r="M320" s="82" t="n"/>
      <c r="N320" s="82" t="n"/>
      <c r="O320" s="82" t="n"/>
      <c r="P320" s="82" t="n"/>
      <c r="Q320" s="82" t="n"/>
      <c r="R320" s="82" t="n"/>
      <c r="S320" s="82" t="n"/>
      <c r="T320" s="82" t="n"/>
      <c r="U320" s="82" t="n"/>
      <c r="V320" s="82" t="n"/>
      <c r="W320" s="82" t="n"/>
      <c r="X320" s="82" t="n"/>
      <c r="Y320" s="82" t="n"/>
      <c r="Z320" s="82" t="n"/>
    </row>
    <row r="321" ht="15.75" customHeight="1" s="83">
      <c r="A321" s="82" t="n"/>
      <c r="B321" s="82" t="n"/>
      <c r="C321" s="82" t="n"/>
      <c r="D321" s="82" t="n"/>
      <c r="E321" s="81" t="n"/>
      <c r="F321" s="82" t="n"/>
      <c r="G321" s="82" t="n"/>
      <c r="H321" s="82" t="n"/>
      <c r="I321" s="82" t="n"/>
      <c r="J321" s="82" t="n"/>
      <c r="K321" s="82" t="n"/>
      <c r="L321" s="82" t="n"/>
      <c r="M321" s="82" t="n"/>
      <c r="N321" s="82" t="n"/>
      <c r="O321" s="82" t="n"/>
      <c r="P321" s="82" t="n"/>
      <c r="Q321" s="82" t="n"/>
      <c r="R321" s="82" t="n"/>
      <c r="S321" s="82" t="n"/>
      <c r="T321" s="82" t="n"/>
      <c r="U321" s="82" t="n"/>
      <c r="V321" s="82" t="n"/>
      <c r="W321" s="82" t="n"/>
      <c r="X321" s="82" t="n"/>
      <c r="Y321" s="82" t="n"/>
      <c r="Z321" s="82" t="n"/>
    </row>
    <row r="322" ht="15.75" customHeight="1" s="83">
      <c r="A322" s="82" t="n"/>
      <c r="B322" s="82" t="n"/>
      <c r="C322" s="82" t="n"/>
      <c r="D322" s="82" t="n"/>
      <c r="E322" s="81" t="n"/>
      <c r="F322" s="82" t="n"/>
      <c r="G322" s="82" t="n"/>
      <c r="H322" s="82" t="n"/>
      <c r="I322" s="82" t="n"/>
      <c r="J322" s="82" t="n"/>
      <c r="K322" s="82" t="n"/>
      <c r="L322" s="82" t="n"/>
      <c r="M322" s="82" t="n"/>
      <c r="N322" s="82" t="n"/>
      <c r="O322" s="82" t="n"/>
      <c r="P322" s="82" t="n"/>
      <c r="Q322" s="82" t="n"/>
      <c r="R322" s="82" t="n"/>
      <c r="S322" s="82" t="n"/>
      <c r="T322" s="82" t="n"/>
      <c r="U322" s="82" t="n"/>
      <c r="V322" s="82" t="n"/>
      <c r="W322" s="82" t="n"/>
      <c r="X322" s="82" t="n"/>
      <c r="Y322" s="82" t="n"/>
      <c r="Z322" s="82" t="n"/>
    </row>
    <row r="323" ht="15.75" customHeight="1" s="83">
      <c r="A323" s="82" t="n"/>
      <c r="B323" s="82" t="n"/>
      <c r="C323" s="82" t="n"/>
      <c r="D323" s="82" t="n"/>
      <c r="E323" s="81" t="n"/>
      <c r="F323" s="82" t="n"/>
      <c r="G323" s="82" t="n"/>
      <c r="H323" s="82" t="n"/>
      <c r="I323" s="82" t="n"/>
      <c r="J323" s="82" t="n"/>
      <c r="K323" s="82" t="n"/>
      <c r="L323" s="82" t="n"/>
      <c r="M323" s="82" t="n"/>
      <c r="N323" s="82" t="n"/>
      <c r="O323" s="82" t="n"/>
      <c r="P323" s="82" t="n"/>
      <c r="Q323" s="82" t="n"/>
      <c r="R323" s="82" t="n"/>
      <c r="S323" s="82" t="n"/>
      <c r="T323" s="82" t="n"/>
      <c r="U323" s="82" t="n"/>
      <c r="V323" s="82" t="n"/>
      <c r="W323" s="82" t="n"/>
      <c r="X323" s="82" t="n"/>
      <c r="Y323" s="82" t="n"/>
      <c r="Z323" s="82" t="n"/>
    </row>
    <row r="324" ht="15.75" customHeight="1" s="83">
      <c r="A324" s="82" t="n"/>
      <c r="B324" s="82" t="n"/>
      <c r="C324" s="82" t="n"/>
      <c r="D324" s="82" t="n"/>
      <c r="E324" s="81" t="n"/>
      <c r="F324" s="82" t="n"/>
      <c r="G324" s="82" t="n"/>
      <c r="H324" s="82" t="n"/>
      <c r="I324" s="82" t="n"/>
      <c r="J324" s="82" t="n"/>
      <c r="K324" s="82" t="n"/>
      <c r="L324" s="82" t="n"/>
      <c r="M324" s="82" t="n"/>
      <c r="N324" s="82" t="n"/>
      <c r="O324" s="82" t="n"/>
      <c r="P324" s="82" t="n"/>
      <c r="Q324" s="82" t="n"/>
      <c r="R324" s="82" t="n"/>
      <c r="S324" s="82" t="n"/>
      <c r="T324" s="82" t="n"/>
      <c r="U324" s="82" t="n"/>
      <c r="V324" s="82" t="n"/>
      <c r="W324" s="82" t="n"/>
      <c r="X324" s="82" t="n"/>
      <c r="Y324" s="82" t="n"/>
      <c r="Z324" s="82" t="n"/>
    </row>
    <row r="325" ht="15.75" customHeight="1" s="83">
      <c r="A325" s="82" t="n"/>
      <c r="B325" s="82" t="n"/>
      <c r="C325" s="82" t="n"/>
      <c r="D325" s="82" t="n"/>
      <c r="E325" s="81" t="n"/>
      <c r="F325" s="82" t="n"/>
      <c r="G325" s="82" t="n"/>
      <c r="H325" s="82" t="n"/>
      <c r="I325" s="82" t="n"/>
      <c r="J325" s="82" t="n"/>
      <c r="K325" s="82" t="n"/>
      <c r="L325" s="82" t="n"/>
      <c r="M325" s="82" t="n"/>
      <c r="N325" s="82" t="n"/>
      <c r="O325" s="82" t="n"/>
      <c r="P325" s="82" t="n"/>
      <c r="Q325" s="82" t="n"/>
      <c r="R325" s="82" t="n"/>
      <c r="S325" s="82" t="n"/>
      <c r="T325" s="82" t="n"/>
      <c r="U325" s="82" t="n"/>
      <c r="V325" s="82" t="n"/>
      <c r="W325" s="82" t="n"/>
      <c r="X325" s="82" t="n"/>
      <c r="Y325" s="82" t="n"/>
      <c r="Z325" s="82" t="n"/>
    </row>
    <row r="326" ht="15.75" customHeight="1" s="83">
      <c r="A326" s="82" t="n"/>
      <c r="B326" s="82" t="n"/>
      <c r="C326" s="82" t="n"/>
      <c r="D326" s="82" t="n"/>
      <c r="E326" s="81" t="n"/>
      <c r="F326" s="82" t="n"/>
      <c r="G326" s="82" t="n"/>
      <c r="H326" s="82" t="n"/>
      <c r="I326" s="82" t="n"/>
      <c r="J326" s="82" t="n"/>
      <c r="K326" s="82" t="n"/>
      <c r="L326" s="82" t="n"/>
      <c r="M326" s="82" t="n"/>
      <c r="N326" s="82" t="n"/>
      <c r="O326" s="82" t="n"/>
      <c r="P326" s="82" t="n"/>
      <c r="Q326" s="82" t="n"/>
      <c r="R326" s="82" t="n"/>
      <c r="S326" s="82" t="n"/>
      <c r="T326" s="82" t="n"/>
      <c r="U326" s="82" t="n"/>
      <c r="V326" s="82" t="n"/>
      <c r="W326" s="82" t="n"/>
      <c r="X326" s="82" t="n"/>
      <c r="Y326" s="82" t="n"/>
      <c r="Z326" s="82" t="n"/>
    </row>
    <row r="327" ht="15.75" customHeight="1" s="83">
      <c r="A327" s="82" t="n"/>
      <c r="B327" s="82" t="n"/>
      <c r="C327" s="82" t="n"/>
      <c r="D327" s="82" t="n"/>
      <c r="E327" s="81" t="n"/>
      <c r="F327" s="82" t="n"/>
      <c r="G327" s="82" t="n"/>
      <c r="H327" s="82" t="n"/>
      <c r="I327" s="82" t="n"/>
      <c r="J327" s="82" t="n"/>
      <c r="K327" s="82" t="n"/>
      <c r="L327" s="82" t="n"/>
      <c r="M327" s="82" t="n"/>
      <c r="N327" s="82" t="n"/>
      <c r="O327" s="82" t="n"/>
      <c r="P327" s="82" t="n"/>
      <c r="Q327" s="82" t="n"/>
      <c r="R327" s="82" t="n"/>
      <c r="S327" s="82" t="n"/>
      <c r="T327" s="82" t="n"/>
      <c r="U327" s="82" t="n"/>
      <c r="V327" s="82" t="n"/>
      <c r="W327" s="82" t="n"/>
      <c r="X327" s="82" t="n"/>
      <c r="Y327" s="82" t="n"/>
      <c r="Z327" s="82" t="n"/>
    </row>
    <row r="328" ht="15.75" customHeight="1" s="83">
      <c r="A328" s="82" t="n"/>
      <c r="B328" s="82" t="n"/>
      <c r="C328" s="82" t="n"/>
      <c r="D328" s="82" t="n"/>
      <c r="E328" s="81" t="n"/>
      <c r="F328" s="82" t="n"/>
      <c r="G328" s="82" t="n"/>
      <c r="H328" s="82" t="n"/>
      <c r="I328" s="82" t="n"/>
      <c r="J328" s="82" t="n"/>
      <c r="K328" s="82" t="n"/>
      <c r="L328" s="82" t="n"/>
      <c r="M328" s="82" t="n"/>
      <c r="N328" s="82" t="n"/>
      <c r="O328" s="82" t="n"/>
      <c r="P328" s="82" t="n"/>
      <c r="Q328" s="82" t="n"/>
      <c r="R328" s="82" t="n"/>
      <c r="S328" s="82" t="n"/>
      <c r="T328" s="82" t="n"/>
      <c r="U328" s="82" t="n"/>
      <c r="V328" s="82" t="n"/>
      <c r="W328" s="82" t="n"/>
      <c r="X328" s="82" t="n"/>
      <c r="Y328" s="82" t="n"/>
      <c r="Z328" s="82" t="n"/>
    </row>
    <row r="329" ht="15.75" customHeight="1" s="83">
      <c r="A329" s="82" t="n"/>
      <c r="B329" s="82" t="n"/>
      <c r="C329" s="82" t="n"/>
      <c r="D329" s="82" t="n"/>
      <c r="E329" s="81" t="n"/>
      <c r="F329" s="82" t="n"/>
      <c r="G329" s="82" t="n"/>
      <c r="H329" s="82" t="n"/>
      <c r="I329" s="82" t="n"/>
      <c r="J329" s="82" t="n"/>
      <c r="K329" s="82" t="n"/>
      <c r="L329" s="82" t="n"/>
      <c r="M329" s="82" t="n"/>
      <c r="N329" s="82" t="n"/>
      <c r="O329" s="82" t="n"/>
      <c r="P329" s="82" t="n"/>
      <c r="Q329" s="82" t="n"/>
      <c r="R329" s="82" t="n"/>
      <c r="S329" s="82" t="n"/>
      <c r="T329" s="82" t="n"/>
      <c r="U329" s="82" t="n"/>
      <c r="V329" s="82" t="n"/>
      <c r="W329" s="82" t="n"/>
      <c r="X329" s="82" t="n"/>
      <c r="Y329" s="82" t="n"/>
      <c r="Z329" s="82" t="n"/>
    </row>
    <row r="330" ht="15.75" customHeight="1" s="83">
      <c r="A330" s="82" t="n"/>
      <c r="B330" s="82" t="n"/>
      <c r="C330" s="82" t="n"/>
      <c r="D330" s="82" t="n"/>
      <c r="E330" s="81" t="n"/>
      <c r="F330" s="82" t="n"/>
      <c r="G330" s="82" t="n"/>
      <c r="H330" s="82" t="n"/>
      <c r="I330" s="82" t="n"/>
      <c r="J330" s="82" t="n"/>
      <c r="K330" s="82" t="n"/>
      <c r="L330" s="82" t="n"/>
      <c r="M330" s="82" t="n"/>
      <c r="N330" s="82" t="n"/>
      <c r="O330" s="82" t="n"/>
      <c r="P330" s="82" t="n"/>
      <c r="Q330" s="82" t="n"/>
      <c r="R330" s="82" t="n"/>
      <c r="S330" s="82" t="n"/>
      <c r="T330" s="82" t="n"/>
      <c r="U330" s="82" t="n"/>
      <c r="V330" s="82" t="n"/>
      <c r="W330" s="82" t="n"/>
      <c r="X330" s="82" t="n"/>
      <c r="Y330" s="82" t="n"/>
      <c r="Z330" s="82" t="n"/>
    </row>
    <row r="331" ht="15.75" customHeight="1" s="83">
      <c r="A331" s="82" t="n"/>
      <c r="B331" s="82" t="n"/>
      <c r="C331" s="82" t="n"/>
      <c r="D331" s="82" t="n"/>
      <c r="E331" s="81" t="n"/>
      <c r="F331" s="82" t="n"/>
      <c r="G331" s="82" t="n"/>
      <c r="H331" s="82" t="n"/>
      <c r="I331" s="82" t="n"/>
      <c r="J331" s="82" t="n"/>
      <c r="K331" s="82" t="n"/>
      <c r="L331" s="82" t="n"/>
      <c r="M331" s="82" t="n"/>
      <c r="N331" s="82" t="n"/>
      <c r="O331" s="82" t="n"/>
      <c r="P331" s="82" t="n"/>
      <c r="Q331" s="82" t="n"/>
      <c r="R331" s="82" t="n"/>
      <c r="S331" s="82" t="n"/>
      <c r="T331" s="82" t="n"/>
      <c r="U331" s="82" t="n"/>
      <c r="V331" s="82" t="n"/>
      <c r="W331" s="82" t="n"/>
      <c r="X331" s="82" t="n"/>
      <c r="Y331" s="82" t="n"/>
      <c r="Z331" s="82" t="n"/>
    </row>
    <row r="332" ht="15.75" customHeight="1" s="83">
      <c r="A332" s="82" t="n"/>
      <c r="B332" s="82" t="n"/>
      <c r="C332" s="82" t="n"/>
      <c r="D332" s="82" t="n"/>
      <c r="E332" s="81" t="n"/>
      <c r="F332" s="82" t="n"/>
      <c r="G332" s="82" t="n"/>
      <c r="H332" s="82" t="n"/>
      <c r="I332" s="82" t="n"/>
      <c r="J332" s="82" t="n"/>
      <c r="K332" s="82" t="n"/>
      <c r="L332" s="82" t="n"/>
      <c r="M332" s="82" t="n"/>
      <c r="N332" s="82" t="n"/>
      <c r="O332" s="82" t="n"/>
      <c r="P332" s="82" t="n"/>
      <c r="Q332" s="82" t="n"/>
      <c r="R332" s="82" t="n"/>
      <c r="S332" s="82" t="n"/>
      <c r="T332" s="82" t="n"/>
      <c r="U332" s="82" t="n"/>
      <c r="V332" s="82" t="n"/>
      <c r="W332" s="82" t="n"/>
      <c r="X332" s="82" t="n"/>
      <c r="Y332" s="82" t="n"/>
      <c r="Z332" s="82" t="n"/>
    </row>
    <row r="333" ht="15.75" customHeight="1" s="83">
      <c r="A333" s="82" t="n"/>
      <c r="B333" s="82" t="n"/>
      <c r="C333" s="82" t="n"/>
      <c r="D333" s="82" t="n"/>
      <c r="E333" s="81" t="n"/>
      <c r="F333" s="82" t="n"/>
      <c r="G333" s="82" t="n"/>
      <c r="H333" s="82" t="n"/>
      <c r="I333" s="82" t="n"/>
      <c r="J333" s="82" t="n"/>
      <c r="K333" s="82" t="n"/>
      <c r="L333" s="82" t="n"/>
      <c r="M333" s="82" t="n"/>
      <c r="N333" s="82" t="n"/>
      <c r="O333" s="82" t="n"/>
      <c r="P333" s="82" t="n"/>
      <c r="Q333" s="82" t="n"/>
      <c r="R333" s="82" t="n"/>
      <c r="S333" s="82" t="n"/>
      <c r="T333" s="82" t="n"/>
      <c r="U333" s="82" t="n"/>
      <c r="V333" s="82" t="n"/>
      <c r="W333" s="82" t="n"/>
      <c r="X333" s="82" t="n"/>
      <c r="Y333" s="82" t="n"/>
      <c r="Z333" s="82" t="n"/>
    </row>
    <row r="334" ht="15.75" customHeight="1" s="83">
      <c r="A334" s="82" t="n"/>
      <c r="B334" s="82" t="n"/>
      <c r="C334" s="82" t="n"/>
      <c r="D334" s="82" t="n"/>
      <c r="E334" s="81" t="n"/>
      <c r="F334" s="82" t="n"/>
      <c r="G334" s="82" t="n"/>
      <c r="H334" s="82" t="n"/>
      <c r="I334" s="82" t="n"/>
      <c r="J334" s="82" t="n"/>
      <c r="K334" s="82" t="n"/>
      <c r="L334" s="82" t="n"/>
      <c r="M334" s="82" t="n"/>
      <c r="N334" s="82" t="n"/>
      <c r="O334" s="82" t="n"/>
      <c r="P334" s="82" t="n"/>
      <c r="Q334" s="82" t="n"/>
      <c r="R334" s="82" t="n"/>
      <c r="S334" s="82" t="n"/>
      <c r="T334" s="82" t="n"/>
      <c r="U334" s="82" t="n"/>
      <c r="V334" s="82" t="n"/>
      <c r="W334" s="82" t="n"/>
      <c r="X334" s="82" t="n"/>
      <c r="Y334" s="82" t="n"/>
      <c r="Z334" s="82" t="n"/>
    </row>
    <row r="335" ht="15.75" customHeight="1" s="83">
      <c r="A335" s="82" t="n"/>
      <c r="B335" s="82" t="n"/>
      <c r="C335" s="82" t="n"/>
      <c r="D335" s="82" t="n"/>
      <c r="E335" s="81" t="n"/>
      <c r="F335" s="82" t="n"/>
      <c r="G335" s="82" t="n"/>
      <c r="H335" s="82" t="n"/>
      <c r="I335" s="82" t="n"/>
      <c r="J335" s="82" t="n"/>
      <c r="K335" s="82" t="n"/>
      <c r="L335" s="82" t="n"/>
      <c r="M335" s="82" t="n"/>
      <c r="N335" s="82" t="n"/>
      <c r="O335" s="82" t="n"/>
      <c r="P335" s="82" t="n"/>
      <c r="Q335" s="82" t="n"/>
      <c r="R335" s="82" t="n"/>
      <c r="S335" s="82" t="n"/>
      <c r="T335" s="82" t="n"/>
      <c r="U335" s="82" t="n"/>
      <c r="V335" s="82" t="n"/>
      <c r="W335" s="82" t="n"/>
      <c r="X335" s="82" t="n"/>
      <c r="Y335" s="82" t="n"/>
      <c r="Z335" s="82" t="n"/>
    </row>
    <row r="336" ht="15.75" customHeight="1" s="83">
      <c r="A336" s="82" t="n"/>
      <c r="B336" s="82" t="n"/>
      <c r="C336" s="82" t="n"/>
      <c r="D336" s="82" t="n"/>
      <c r="E336" s="81" t="n"/>
      <c r="F336" s="82" t="n"/>
      <c r="G336" s="82" t="n"/>
      <c r="H336" s="82" t="n"/>
      <c r="I336" s="82" t="n"/>
      <c r="J336" s="82" t="n"/>
      <c r="K336" s="82" t="n"/>
      <c r="L336" s="82" t="n"/>
      <c r="M336" s="82" t="n"/>
      <c r="N336" s="82" t="n"/>
      <c r="O336" s="82" t="n"/>
      <c r="P336" s="82" t="n"/>
      <c r="Q336" s="82" t="n"/>
      <c r="R336" s="82" t="n"/>
      <c r="S336" s="82" t="n"/>
      <c r="T336" s="82" t="n"/>
      <c r="U336" s="82" t="n"/>
      <c r="V336" s="82" t="n"/>
      <c r="W336" s="82" t="n"/>
      <c r="X336" s="82" t="n"/>
      <c r="Y336" s="82" t="n"/>
      <c r="Z336" s="82" t="n"/>
    </row>
    <row r="337" ht="15.75" customHeight="1" s="83">
      <c r="A337" s="82" t="n"/>
      <c r="B337" s="82" t="n"/>
      <c r="C337" s="82" t="n"/>
      <c r="D337" s="82" t="n"/>
      <c r="E337" s="81" t="n"/>
      <c r="F337" s="82" t="n"/>
      <c r="G337" s="82" t="n"/>
      <c r="H337" s="82" t="n"/>
      <c r="I337" s="82" t="n"/>
      <c r="J337" s="82" t="n"/>
      <c r="K337" s="82" t="n"/>
      <c r="L337" s="82" t="n"/>
      <c r="M337" s="82" t="n"/>
      <c r="N337" s="82" t="n"/>
      <c r="O337" s="82" t="n"/>
      <c r="P337" s="82" t="n"/>
      <c r="Q337" s="82" t="n"/>
      <c r="R337" s="82" t="n"/>
      <c r="S337" s="82" t="n"/>
      <c r="T337" s="82" t="n"/>
      <c r="U337" s="82" t="n"/>
      <c r="V337" s="82" t="n"/>
      <c r="W337" s="82" t="n"/>
      <c r="X337" s="82" t="n"/>
      <c r="Y337" s="82" t="n"/>
      <c r="Z337" s="82" t="n"/>
    </row>
    <row r="338" ht="15.75" customHeight="1" s="83">
      <c r="A338" s="82" t="n"/>
      <c r="B338" s="82" t="n"/>
      <c r="C338" s="82" t="n"/>
      <c r="D338" s="82" t="n"/>
      <c r="E338" s="81" t="n"/>
      <c r="F338" s="82" t="n"/>
      <c r="G338" s="82" t="n"/>
      <c r="H338" s="82" t="n"/>
      <c r="I338" s="82" t="n"/>
      <c r="J338" s="82" t="n"/>
      <c r="K338" s="82" t="n"/>
      <c r="L338" s="82" t="n"/>
      <c r="M338" s="82" t="n"/>
      <c r="N338" s="82" t="n"/>
      <c r="O338" s="82" t="n"/>
      <c r="P338" s="82" t="n"/>
      <c r="Q338" s="82" t="n"/>
      <c r="R338" s="82" t="n"/>
      <c r="S338" s="82" t="n"/>
      <c r="T338" s="82" t="n"/>
      <c r="U338" s="82" t="n"/>
      <c r="V338" s="82" t="n"/>
      <c r="W338" s="82" t="n"/>
      <c r="X338" s="82" t="n"/>
      <c r="Y338" s="82" t="n"/>
      <c r="Z338" s="82" t="n"/>
    </row>
    <row r="339" ht="15.75" customHeight="1" s="83">
      <c r="A339" s="82" t="n"/>
      <c r="B339" s="82" t="n"/>
      <c r="C339" s="82" t="n"/>
      <c r="D339" s="82" t="n"/>
      <c r="E339" s="81" t="n"/>
      <c r="F339" s="82" t="n"/>
      <c r="G339" s="82" t="n"/>
      <c r="H339" s="82" t="n"/>
      <c r="I339" s="82" t="n"/>
      <c r="J339" s="82" t="n"/>
      <c r="K339" s="82" t="n"/>
      <c r="L339" s="82" t="n"/>
      <c r="M339" s="82" t="n"/>
      <c r="N339" s="82" t="n"/>
      <c r="O339" s="82" t="n"/>
      <c r="P339" s="82" t="n"/>
      <c r="Q339" s="82" t="n"/>
      <c r="R339" s="82" t="n"/>
      <c r="S339" s="82" t="n"/>
      <c r="T339" s="82" t="n"/>
      <c r="U339" s="82" t="n"/>
      <c r="V339" s="82" t="n"/>
      <c r="W339" s="82" t="n"/>
      <c r="X339" s="82" t="n"/>
      <c r="Y339" s="82" t="n"/>
      <c r="Z339" s="82" t="n"/>
    </row>
    <row r="340" ht="15.75" customHeight="1" s="83">
      <c r="A340" s="82" t="n"/>
      <c r="B340" s="82" t="n"/>
      <c r="C340" s="82" t="n"/>
      <c r="D340" s="82" t="n"/>
      <c r="E340" s="81" t="n"/>
      <c r="F340" s="82" t="n"/>
      <c r="G340" s="82" t="n"/>
      <c r="H340" s="82" t="n"/>
      <c r="I340" s="82" t="n"/>
      <c r="J340" s="82" t="n"/>
      <c r="K340" s="82" t="n"/>
      <c r="L340" s="82" t="n"/>
      <c r="M340" s="82" t="n"/>
      <c r="N340" s="82" t="n"/>
      <c r="O340" s="82" t="n"/>
      <c r="P340" s="82" t="n"/>
      <c r="Q340" s="82" t="n"/>
      <c r="R340" s="82" t="n"/>
      <c r="S340" s="82" t="n"/>
      <c r="T340" s="82" t="n"/>
      <c r="U340" s="82" t="n"/>
      <c r="V340" s="82" t="n"/>
      <c r="W340" s="82" t="n"/>
      <c r="X340" s="82" t="n"/>
      <c r="Y340" s="82" t="n"/>
      <c r="Z340" s="82" t="n"/>
    </row>
    <row r="341" ht="15.75" customHeight="1" s="83">
      <c r="A341" s="82" t="n"/>
      <c r="B341" s="82" t="n"/>
      <c r="C341" s="82" t="n"/>
      <c r="D341" s="82" t="n"/>
      <c r="E341" s="81" t="n"/>
      <c r="F341" s="82" t="n"/>
      <c r="G341" s="82" t="n"/>
      <c r="H341" s="82" t="n"/>
      <c r="I341" s="82" t="n"/>
      <c r="J341" s="82" t="n"/>
      <c r="K341" s="82" t="n"/>
      <c r="L341" s="82" t="n"/>
      <c r="M341" s="82" t="n"/>
      <c r="N341" s="82" t="n"/>
      <c r="O341" s="82" t="n"/>
      <c r="P341" s="82" t="n"/>
      <c r="Q341" s="82" t="n"/>
      <c r="R341" s="82" t="n"/>
      <c r="S341" s="82" t="n"/>
      <c r="T341" s="82" t="n"/>
      <c r="U341" s="82" t="n"/>
      <c r="V341" s="82" t="n"/>
      <c r="W341" s="82" t="n"/>
      <c r="X341" s="82" t="n"/>
      <c r="Y341" s="82" t="n"/>
      <c r="Z341" s="82" t="n"/>
    </row>
    <row r="342" ht="15.75" customHeight="1" s="83">
      <c r="A342" s="82" t="n"/>
      <c r="B342" s="82" t="n"/>
      <c r="C342" s="82" t="n"/>
      <c r="D342" s="82" t="n"/>
      <c r="E342" s="81" t="n"/>
      <c r="F342" s="82" t="n"/>
      <c r="G342" s="82" t="n"/>
      <c r="H342" s="82" t="n"/>
      <c r="I342" s="82" t="n"/>
      <c r="J342" s="82" t="n"/>
      <c r="K342" s="82" t="n"/>
      <c r="L342" s="82" t="n"/>
      <c r="M342" s="82" t="n"/>
      <c r="N342" s="82" t="n"/>
      <c r="O342" s="82" t="n"/>
      <c r="P342" s="82" t="n"/>
      <c r="Q342" s="82" t="n"/>
      <c r="R342" s="82" t="n"/>
      <c r="S342" s="82" t="n"/>
      <c r="T342" s="82" t="n"/>
      <c r="U342" s="82" t="n"/>
      <c r="V342" s="82" t="n"/>
      <c r="W342" s="82" t="n"/>
      <c r="X342" s="82" t="n"/>
      <c r="Y342" s="82" t="n"/>
      <c r="Z342" s="82" t="n"/>
    </row>
    <row r="343" ht="15.75" customHeight="1" s="83">
      <c r="A343" s="82" t="n"/>
      <c r="B343" s="82" t="n"/>
      <c r="C343" s="82" t="n"/>
      <c r="D343" s="82" t="n"/>
      <c r="E343" s="81" t="n"/>
      <c r="F343" s="82" t="n"/>
      <c r="G343" s="82" t="n"/>
      <c r="H343" s="82" t="n"/>
      <c r="I343" s="82" t="n"/>
      <c r="J343" s="82" t="n"/>
      <c r="K343" s="82" t="n"/>
      <c r="L343" s="82" t="n"/>
      <c r="M343" s="82" t="n"/>
      <c r="N343" s="82" t="n"/>
      <c r="O343" s="82" t="n"/>
      <c r="P343" s="82" t="n"/>
      <c r="Q343" s="82" t="n"/>
      <c r="R343" s="82" t="n"/>
      <c r="S343" s="82" t="n"/>
      <c r="T343" s="82" t="n"/>
      <c r="U343" s="82" t="n"/>
      <c r="V343" s="82" t="n"/>
      <c r="W343" s="82" t="n"/>
      <c r="X343" s="82" t="n"/>
      <c r="Y343" s="82" t="n"/>
      <c r="Z343" s="82" t="n"/>
    </row>
    <row r="344" ht="15.75" customHeight="1" s="83">
      <c r="A344" s="82" t="n"/>
      <c r="B344" s="82" t="n"/>
      <c r="C344" s="82" t="n"/>
      <c r="D344" s="82" t="n"/>
      <c r="E344" s="81" t="n"/>
      <c r="F344" s="82" t="n"/>
      <c r="G344" s="82" t="n"/>
      <c r="H344" s="82" t="n"/>
      <c r="I344" s="82" t="n"/>
      <c r="J344" s="82" t="n"/>
      <c r="K344" s="82" t="n"/>
      <c r="L344" s="82" t="n"/>
      <c r="M344" s="82" t="n"/>
      <c r="N344" s="82" t="n"/>
      <c r="O344" s="82" t="n"/>
      <c r="P344" s="82" t="n"/>
      <c r="Q344" s="82" t="n"/>
      <c r="R344" s="82" t="n"/>
      <c r="S344" s="82" t="n"/>
      <c r="T344" s="82" t="n"/>
      <c r="U344" s="82" t="n"/>
      <c r="V344" s="82" t="n"/>
      <c r="W344" s="82" t="n"/>
      <c r="X344" s="82" t="n"/>
      <c r="Y344" s="82" t="n"/>
      <c r="Z344" s="82" t="n"/>
    </row>
    <row r="345" ht="15.75" customHeight="1" s="83">
      <c r="A345" s="82" t="n"/>
      <c r="B345" s="82" t="n"/>
      <c r="C345" s="82" t="n"/>
      <c r="D345" s="82" t="n"/>
      <c r="E345" s="81" t="n"/>
      <c r="F345" s="82" t="n"/>
      <c r="G345" s="82" t="n"/>
      <c r="H345" s="82" t="n"/>
      <c r="I345" s="82" t="n"/>
      <c r="J345" s="82" t="n"/>
      <c r="K345" s="82" t="n"/>
      <c r="L345" s="82" t="n"/>
      <c r="M345" s="82" t="n"/>
      <c r="N345" s="82" t="n"/>
      <c r="O345" s="82" t="n"/>
      <c r="P345" s="82" t="n"/>
      <c r="Q345" s="82" t="n"/>
      <c r="R345" s="82" t="n"/>
      <c r="S345" s="82" t="n"/>
      <c r="T345" s="82" t="n"/>
      <c r="U345" s="82" t="n"/>
      <c r="V345" s="82" t="n"/>
      <c r="W345" s="82" t="n"/>
      <c r="X345" s="82" t="n"/>
      <c r="Y345" s="82" t="n"/>
      <c r="Z345" s="82" t="n"/>
    </row>
    <row r="346" ht="15.75" customHeight="1" s="83">
      <c r="A346" s="82" t="n"/>
      <c r="B346" s="82" t="n"/>
      <c r="C346" s="82" t="n"/>
      <c r="D346" s="82" t="n"/>
      <c r="E346" s="81" t="n"/>
      <c r="F346" s="82" t="n"/>
      <c r="G346" s="82" t="n"/>
      <c r="H346" s="82" t="n"/>
      <c r="I346" s="82" t="n"/>
      <c r="J346" s="82" t="n"/>
      <c r="K346" s="82" t="n"/>
      <c r="L346" s="82" t="n"/>
      <c r="M346" s="82" t="n"/>
      <c r="N346" s="82" t="n"/>
      <c r="O346" s="82" t="n"/>
      <c r="P346" s="82" t="n"/>
      <c r="Q346" s="82" t="n"/>
      <c r="R346" s="82" t="n"/>
      <c r="S346" s="82" t="n"/>
      <c r="T346" s="82" t="n"/>
      <c r="U346" s="82" t="n"/>
      <c r="V346" s="82" t="n"/>
      <c r="W346" s="82" t="n"/>
      <c r="X346" s="82" t="n"/>
      <c r="Y346" s="82" t="n"/>
      <c r="Z346" s="82" t="n"/>
    </row>
    <row r="347" ht="15.75" customHeight="1" s="83">
      <c r="A347" s="82" t="n"/>
      <c r="B347" s="82" t="n"/>
      <c r="C347" s="82" t="n"/>
      <c r="D347" s="82" t="n"/>
      <c r="E347" s="81" t="n"/>
      <c r="F347" s="82" t="n"/>
      <c r="G347" s="82" t="n"/>
      <c r="H347" s="82" t="n"/>
      <c r="I347" s="82" t="n"/>
      <c r="J347" s="82" t="n"/>
      <c r="K347" s="82" t="n"/>
      <c r="L347" s="82" t="n"/>
      <c r="M347" s="82" t="n"/>
      <c r="N347" s="82" t="n"/>
      <c r="O347" s="82" t="n"/>
      <c r="P347" s="82" t="n"/>
      <c r="Q347" s="82" t="n"/>
      <c r="R347" s="82" t="n"/>
      <c r="S347" s="82" t="n"/>
      <c r="T347" s="82" t="n"/>
      <c r="U347" s="82" t="n"/>
      <c r="V347" s="82" t="n"/>
      <c r="W347" s="82" t="n"/>
      <c r="X347" s="82" t="n"/>
      <c r="Y347" s="82" t="n"/>
      <c r="Z347" s="82" t="n"/>
    </row>
    <row r="348" ht="15.75" customHeight="1" s="83">
      <c r="A348" s="82" t="n"/>
      <c r="B348" s="82" t="n"/>
      <c r="C348" s="82" t="n"/>
      <c r="D348" s="82" t="n"/>
      <c r="E348" s="81" t="n"/>
      <c r="F348" s="82" t="n"/>
      <c r="G348" s="82" t="n"/>
      <c r="H348" s="82" t="n"/>
      <c r="I348" s="82" t="n"/>
      <c r="J348" s="82" t="n"/>
      <c r="K348" s="82" t="n"/>
      <c r="L348" s="82" t="n"/>
      <c r="M348" s="82" t="n"/>
      <c r="N348" s="82" t="n"/>
      <c r="O348" s="82" t="n"/>
      <c r="P348" s="82" t="n"/>
      <c r="Q348" s="82" t="n"/>
      <c r="R348" s="82" t="n"/>
      <c r="S348" s="82" t="n"/>
      <c r="T348" s="82" t="n"/>
      <c r="U348" s="82" t="n"/>
      <c r="V348" s="82" t="n"/>
      <c r="W348" s="82" t="n"/>
      <c r="X348" s="82" t="n"/>
      <c r="Y348" s="82" t="n"/>
      <c r="Z348" s="82" t="n"/>
    </row>
    <row r="349" ht="15.75" customHeight="1" s="83">
      <c r="A349" s="82" t="n"/>
      <c r="B349" s="82" t="n"/>
      <c r="C349" s="82" t="n"/>
      <c r="D349" s="82" t="n"/>
      <c r="E349" s="81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  <c r="P349" s="82" t="n"/>
      <c r="Q349" s="82" t="n"/>
      <c r="R349" s="82" t="n"/>
      <c r="S349" s="82" t="n"/>
      <c r="T349" s="82" t="n"/>
      <c r="U349" s="82" t="n"/>
      <c r="V349" s="82" t="n"/>
      <c r="W349" s="82" t="n"/>
      <c r="X349" s="82" t="n"/>
      <c r="Y349" s="82" t="n"/>
      <c r="Z349" s="82" t="n"/>
    </row>
    <row r="350" ht="15.75" customHeight="1" s="83">
      <c r="A350" s="82" t="n"/>
      <c r="B350" s="82" t="n"/>
      <c r="C350" s="82" t="n"/>
      <c r="D350" s="82" t="n"/>
      <c r="E350" s="81" t="n"/>
      <c r="F350" s="82" t="n"/>
      <c r="G350" s="82" t="n"/>
      <c r="H350" s="82" t="n"/>
      <c r="I350" s="82" t="n"/>
      <c r="J350" s="82" t="n"/>
      <c r="K350" s="82" t="n"/>
      <c r="L350" s="82" t="n"/>
      <c r="M350" s="82" t="n"/>
      <c r="N350" s="82" t="n"/>
      <c r="O350" s="82" t="n"/>
      <c r="P350" s="82" t="n"/>
      <c r="Q350" s="82" t="n"/>
      <c r="R350" s="82" t="n"/>
      <c r="S350" s="82" t="n"/>
      <c r="T350" s="82" t="n"/>
      <c r="U350" s="82" t="n"/>
      <c r="V350" s="82" t="n"/>
      <c r="W350" s="82" t="n"/>
      <c r="X350" s="82" t="n"/>
      <c r="Y350" s="82" t="n"/>
      <c r="Z350" s="82" t="n"/>
    </row>
    <row r="351" ht="15.75" customHeight="1" s="83">
      <c r="A351" s="82" t="n"/>
      <c r="B351" s="82" t="n"/>
      <c r="C351" s="82" t="n"/>
      <c r="D351" s="82" t="n"/>
      <c r="E351" s="81" t="n"/>
      <c r="F351" s="82" t="n"/>
      <c r="G351" s="82" t="n"/>
      <c r="H351" s="82" t="n"/>
      <c r="I351" s="82" t="n"/>
      <c r="J351" s="82" t="n"/>
      <c r="K351" s="82" t="n"/>
      <c r="L351" s="82" t="n"/>
      <c r="M351" s="82" t="n"/>
      <c r="N351" s="82" t="n"/>
      <c r="O351" s="82" t="n"/>
      <c r="P351" s="82" t="n"/>
      <c r="Q351" s="82" t="n"/>
      <c r="R351" s="82" t="n"/>
      <c r="S351" s="82" t="n"/>
      <c r="T351" s="82" t="n"/>
      <c r="U351" s="82" t="n"/>
      <c r="V351" s="82" t="n"/>
      <c r="W351" s="82" t="n"/>
      <c r="X351" s="82" t="n"/>
      <c r="Y351" s="82" t="n"/>
      <c r="Z351" s="82" t="n"/>
    </row>
    <row r="352" ht="15.75" customHeight="1" s="83">
      <c r="A352" s="82" t="n"/>
      <c r="B352" s="82" t="n"/>
      <c r="C352" s="82" t="n"/>
      <c r="D352" s="82" t="n"/>
      <c r="E352" s="81" t="n"/>
      <c r="F352" s="82" t="n"/>
      <c r="G352" s="82" t="n"/>
      <c r="H352" s="82" t="n"/>
      <c r="I352" s="82" t="n"/>
      <c r="J352" s="82" t="n"/>
      <c r="K352" s="82" t="n"/>
      <c r="L352" s="82" t="n"/>
      <c r="M352" s="82" t="n"/>
      <c r="N352" s="82" t="n"/>
      <c r="O352" s="82" t="n"/>
      <c r="P352" s="82" t="n"/>
      <c r="Q352" s="82" t="n"/>
      <c r="R352" s="82" t="n"/>
      <c r="S352" s="82" t="n"/>
      <c r="T352" s="82" t="n"/>
      <c r="U352" s="82" t="n"/>
      <c r="V352" s="82" t="n"/>
      <c r="W352" s="82" t="n"/>
      <c r="X352" s="82" t="n"/>
      <c r="Y352" s="82" t="n"/>
      <c r="Z352" s="82" t="n"/>
    </row>
    <row r="353" ht="15.75" customHeight="1" s="83">
      <c r="A353" s="82" t="n"/>
      <c r="B353" s="82" t="n"/>
      <c r="C353" s="82" t="n"/>
      <c r="D353" s="82" t="n"/>
      <c r="E353" s="81" t="n"/>
      <c r="F353" s="82" t="n"/>
      <c r="G353" s="82" t="n"/>
      <c r="H353" s="82" t="n"/>
      <c r="I353" s="82" t="n"/>
      <c r="J353" s="82" t="n"/>
      <c r="K353" s="82" t="n"/>
      <c r="L353" s="82" t="n"/>
      <c r="M353" s="82" t="n"/>
      <c r="N353" s="82" t="n"/>
      <c r="O353" s="82" t="n"/>
      <c r="P353" s="82" t="n"/>
      <c r="Q353" s="82" t="n"/>
      <c r="R353" s="82" t="n"/>
      <c r="S353" s="82" t="n"/>
      <c r="T353" s="82" t="n"/>
      <c r="U353" s="82" t="n"/>
      <c r="V353" s="82" t="n"/>
      <c r="W353" s="82" t="n"/>
      <c r="X353" s="82" t="n"/>
      <c r="Y353" s="82" t="n"/>
      <c r="Z353" s="82" t="n"/>
    </row>
    <row r="354" ht="15.75" customHeight="1" s="83">
      <c r="A354" s="82" t="n"/>
      <c r="B354" s="82" t="n"/>
      <c r="C354" s="82" t="n"/>
      <c r="D354" s="82" t="n"/>
      <c r="E354" s="81" t="n"/>
      <c r="F354" s="82" t="n"/>
      <c r="G354" s="82" t="n"/>
      <c r="H354" s="82" t="n"/>
      <c r="I354" s="82" t="n"/>
      <c r="J354" s="82" t="n"/>
      <c r="K354" s="82" t="n"/>
      <c r="L354" s="82" t="n"/>
      <c r="M354" s="82" t="n"/>
      <c r="N354" s="82" t="n"/>
      <c r="O354" s="82" t="n"/>
      <c r="P354" s="82" t="n"/>
      <c r="Q354" s="82" t="n"/>
      <c r="R354" s="82" t="n"/>
      <c r="S354" s="82" t="n"/>
      <c r="T354" s="82" t="n"/>
      <c r="U354" s="82" t="n"/>
      <c r="V354" s="82" t="n"/>
      <c r="W354" s="82" t="n"/>
      <c r="X354" s="82" t="n"/>
      <c r="Y354" s="82" t="n"/>
      <c r="Z354" s="82" t="n"/>
    </row>
    <row r="355" ht="15.75" customHeight="1" s="83">
      <c r="A355" s="82" t="n"/>
      <c r="B355" s="82" t="n"/>
      <c r="C355" s="82" t="n"/>
      <c r="D355" s="82" t="n"/>
      <c r="E355" s="81" t="n"/>
      <c r="F355" s="82" t="n"/>
      <c r="G355" s="82" t="n"/>
      <c r="H355" s="82" t="n"/>
      <c r="I355" s="82" t="n"/>
      <c r="J355" s="82" t="n"/>
      <c r="K355" s="82" t="n"/>
      <c r="L355" s="82" t="n"/>
      <c r="M355" s="82" t="n"/>
      <c r="N355" s="82" t="n"/>
      <c r="O355" s="82" t="n"/>
      <c r="P355" s="82" t="n"/>
      <c r="Q355" s="82" t="n"/>
      <c r="R355" s="82" t="n"/>
      <c r="S355" s="82" t="n"/>
      <c r="T355" s="82" t="n"/>
      <c r="U355" s="82" t="n"/>
      <c r="V355" s="82" t="n"/>
      <c r="W355" s="82" t="n"/>
      <c r="X355" s="82" t="n"/>
      <c r="Y355" s="82" t="n"/>
      <c r="Z355" s="82" t="n"/>
    </row>
    <row r="356" ht="15.75" customHeight="1" s="83">
      <c r="A356" s="82" t="n"/>
      <c r="B356" s="82" t="n"/>
      <c r="C356" s="82" t="n"/>
      <c r="D356" s="82" t="n"/>
      <c r="E356" s="81" t="n"/>
      <c r="F356" s="82" t="n"/>
      <c r="G356" s="82" t="n"/>
      <c r="H356" s="82" t="n"/>
      <c r="I356" s="82" t="n"/>
      <c r="J356" s="82" t="n"/>
      <c r="K356" s="82" t="n"/>
      <c r="L356" s="82" t="n"/>
      <c r="M356" s="82" t="n"/>
      <c r="N356" s="82" t="n"/>
      <c r="O356" s="82" t="n"/>
      <c r="P356" s="82" t="n"/>
      <c r="Q356" s="82" t="n"/>
      <c r="R356" s="82" t="n"/>
      <c r="S356" s="82" t="n"/>
      <c r="T356" s="82" t="n"/>
      <c r="U356" s="82" t="n"/>
      <c r="V356" s="82" t="n"/>
      <c r="W356" s="82" t="n"/>
      <c r="X356" s="82" t="n"/>
      <c r="Y356" s="82" t="n"/>
      <c r="Z356" s="82" t="n"/>
    </row>
    <row r="357" ht="15.75" customHeight="1" s="83">
      <c r="A357" s="82" t="n"/>
      <c r="B357" s="82" t="n"/>
      <c r="C357" s="82" t="n"/>
      <c r="D357" s="82" t="n"/>
      <c r="E357" s="81" t="n"/>
      <c r="F357" s="82" t="n"/>
      <c r="G357" s="82" t="n"/>
      <c r="H357" s="82" t="n"/>
      <c r="I357" s="82" t="n"/>
      <c r="J357" s="82" t="n"/>
      <c r="K357" s="82" t="n"/>
      <c r="L357" s="82" t="n"/>
      <c r="M357" s="82" t="n"/>
      <c r="N357" s="82" t="n"/>
      <c r="O357" s="82" t="n"/>
      <c r="P357" s="82" t="n"/>
      <c r="Q357" s="82" t="n"/>
      <c r="R357" s="82" t="n"/>
      <c r="S357" s="82" t="n"/>
      <c r="T357" s="82" t="n"/>
      <c r="U357" s="82" t="n"/>
      <c r="V357" s="82" t="n"/>
      <c r="W357" s="82" t="n"/>
      <c r="X357" s="82" t="n"/>
      <c r="Y357" s="82" t="n"/>
      <c r="Z357" s="82" t="n"/>
    </row>
    <row r="358" ht="15.75" customHeight="1" s="83">
      <c r="A358" s="82" t="n"/>
      <c r="B358" s="82" t="n"/>
      <c r="C358" s="82" t="n"/>
      <c r="D358" s="82" t="n"/>
      <c r="E358" s="81" t="n"/>
      <c r="F358" s="82" t="n"/>
      <c r="G358" s="82" t="n"/>
      <c r="H358" s="82" t="n"/>
      <c r="I358" s="82" t="n"/>
      <c r="J358" s="82" t="n"/>
      <c r="K358" s="82" t="n"/>
      <c r="L358" s="82" t="n"/>
      <c r="M358" s="82" t="n"/>
      <c r="N358" s="82" t="n"/>
      <c r="O358" s="82" t="n"/>
      <c r="P358" s="82" t="n"/>
      <c r="Q358" s="82" t="n"/>
      <c r="R358" s="82" t="n"/>
      <c r="S358" s="82" t="n"/>
      <c r="T358" s="82" t="n"/>
      <c r="U358" s="82" t="n"/>
      <c r="V358" s="82" t="n"/>
      <c r="W358" s="82" t="n"/>
      <c r="X358" s="82" t="n"/>
      <c r="Y358" s="82" t="n"/>
      <c r="Z358" s="82" t="n"/>
    </row>
    <row r="359" ht="15.75" customHeight="1" s="83">
      <c r="A359" s="82" t="n"/>
      <c r="B359" s="82" t="n"/>
      <c r="C359" s="82" t="n"/>
      <c r="D359" s="82" t="n"/>
      <c r="E359" s="81" t="n"/>
      <c r="F359" s="82" t="n"/>
      <c r="G359" s="82" t="n"/>
      <c r="H359" s="82" t="n"/>
      <c r="I359" s="82" t="n"/>
      <c r="J359" s="82" t="n"/>
      <c r="K359" s="82" t="n"/>
      <c r="L359" s="82" t="n"/>
      <c r="M359" s="82" t="n"/>
      <c r="N359" s="82" t="n"/>
      <c r="O359" s="82" t="n"/>
      <c r="P359" s="82" t="n"/>
      <c r="Q359" s="82" t="n"/>
      <c r="R359" s="82" t="n"/>
      <c r="S359" s="82" t="n"/>
      <c r="T359" s="82" t="n"/>
      <c r="U359" s="82" t="n"/>
      <c r="V359" s="82" t="n"/>
      <c r="W359" s="82" t="n"/>
      <c r="X359" s="82" t="n"/>
      <c r="Y359" s="82" t="n"/>
      <c r="Z359" s="82" t="n"/>
    </row>
    <row r="360" ht="15.75" customHeight="1" s="83">
      <c r="A360" s="82" t="n"/>
      <c r="B360" s="82" t="n"/>
      <c r="C360" s="82" t="n"/>
      <c r="D360" s="82" t="n"/>
      <c r="E360" s="81" t="n"/>
      <c r="F360" s="82" t="n"/>
      <c r="G360" s="82" t="n"/>
      <c r="H360" s="82" t="n"/>
      <c r="I360" s="82" t="n"/>
      <c r="J360" s="82" t="n"/>
      <c r="K360" s="82" t="n"/>
      <c r="L360" s="82" t="n"/>
      <c r="M360" s="82" t="n"/>
      <c r="N360" s="82" t="n"/>
      <c r="O360" s="82" t="n"/>
      <c r="P360" s="82" t="n"/>
      <c r="Q360" s="82" t="n"/>
      <c r="R360" s="82" t="n"/>
      <c r="S360" s="82" t="n"/>
      <c r="T360" s="82" t="n"/>
      <c r="U360" s="82" t="n"/>
      <c r="V360" s="82" t="n"/>
      <c r="W360" s="82" t="n"/>
      <c r="X360" s="82" t="n"/>
      <c r="Y360" s="82" t="n"/>
      <c r="Z360" s="82" t="n"/>
    </row>
    <row r="361" ht="15.75" customHeight="1" s="83">
      <c r="A361" s="82" t="n"/>
      <c r="B361" s="82" t="n"/>
      <c r="C361" s="82" t="n"/>
      <c r="D361" s="82" t="n"/>
      <c r="E361" s="81" t="n"/>
      <c r="F361" s="82" t="n"/>
      <c r="G361" s="82" t="n"/>
      <c r="H361" s="82" t="n"/>
      <c r="I361" s="82" t="n"/>
      <c r="J361" s="82" t="n"/>
      <c r="K361" s="82" t="n"/>
      <c r="L361" s="82" t="n"/>
      <c r="M361" s="82" t="n"/>
      <c r="N361" s="82" t="n"/>
      <c r="O361" s="82" t="n"/>
      <c r="P361" s="82" t="n"/>
      <c r="Q361" s="82" t="n"/>
      <c r="R361" s="82" t="n"/>
      <c r="S361" s="82" t="n"/>
      <c r="T361" s="82" t="n"/>
      <c r="U361" s="82" t="n"/>
      <c r="V361" s="82" t="n"/>
      <c r="W361" s="82" t="n"/>
      <c r="X361" s="82" t="n"/>
      <c r="Y361" s="82" t="n"/>
      <c r="Z361" s="82" t="n"/>
    </row>
    <row r="362" ht="15.75" customHeight="1" s="83">
      <c r="A362" s="82" t="n"/>
      <c r="B362" s="82" t="n"/>
      <c r="C362" s="82" t="n"/>
      <c r="D362" s="82" t="n"/>
      <c r="E362" s="81" t="n"/>
      <c r="F362" s="82" t="n"/>
      <c r="G362" s="82" t="n"/>
      <c r="H362" s="82" t="n"/>
      <c r="I362" s="82" t="n"/>
      <c r="J362" s="82" t="n"/>
      <c r="K362" s="82" t="n"/>
      <c r="L362" s="82" t="n"/>
      <c r="M362" s="82" t="n"/>
      <c r="N362" s="82" t="n"/>
      <c r="O362" s="82" t="n"/>
      <c r="P362" s="82" t="n"/>
      <c r="Q362" s="82" t="n"/>
      <c r="R362" s="82" t="n"/>
      <c r="S362" s="82" t="n"/>
      <c r="T362" s="82" t="n"/>
      <c r="U362" s="82" t="n"/>
      <c r="V362" s="82" t="n"/>
      <c r="W362" s="82" t="n"/>
      <c r="X362" s="82" t="n"/>
      <c r="Y362" s="82" t="n"/>
      <c r="Z362" s="82" t="n"/>
    </row>
    <row r="363" ht="15.75" customHeight="1" s="83">
      <c r="A363" s="82" t="n"/>
      <c r="B363" s="82" t="n"/>
      <c r="C363" s="82" t="n"/>
      <c r="D363" s="82" t="n"/>
      <c r="E363" s="81" t="n"/>
      <c r="F363" s="82" t="n"/>
      <c r="G363" s="82" t="n"/>
      <c r="H363" s="82" t="n"/>
      <c r="I363" s="82" t="n"/>
      <c r="J363" s="82" t="n"/>
      <c r="K363" s="82" t="n"/>
      <c r="L363" s="82" t="n"/>
      <c r="M363" s="82" t="n"/>
      <c r="N363" s="82" t="n"/>
      <c r="O363" s="82" t="n"/>
      <c r="P363" s="82" t="n"/>
      <c r="Q363" s="82" t="n"/>
      <c r="R363" s="82" t="n"/>
      <c r="S363" s="82" t="n"/>
      <c r="T363" s="82" t="n"/>
      <c r="U363" s="82" t="n"/>
      <c r="V363" s="82" t="n"/>
      <c r="W363" s="82" t="n"/>
      <c r="X363" s="82" t="n"/>
      <c r="Y363" s="82" t="n"/>
      <c r="Z363" s="82" t="n"/>
    </row>
    <row r="364" ht="15.75" customHeight="1" s="83">
      <c r="A364" s="82" t="n"/>
      <c r="B364" s="82" t="n"/>
      <c r="C364" s="82" t="n"/>
      <c r="D364" s="82" t="n"/>
      <c r="E364" s="81" t="n"/>
      <c r="F364" s="82" t="n"/>
      <c r="G364" s="82" t="n"/>
      <c r="H364" s="82" t="n"/>
      <c r="I364" s="82" t="n"/>
      <c r="J364" s="82" t="n"/>
      <c r="K364" s="82" t="n"/>
      <c r="L364" s="82" t="n"/>
      <c r="M364" s="82" t="n"/>
      <c r="N364" s="82" t="n"/>
      <c r="O364" s="82" t="n"/>
      <c r="P364" s="82" t="n"/>
      <c r="Q364" s="82" t="n"/>
      <c r="R364" s="82" t="n"/>
      <c r="S364" s="82" t="n"/>
      <c r="T364" s="82" t="n"/>
      <c r="U364" s="82" t="n"/>
      <c r="V364" s="82" t="n"/>
      <c r="W364" s="82" t="n"/>
      <c r="X364" s="82" t="n"/>
      <c r="Y364" s="82" t="n"/>
      <c r="Z364" s="82" t="n"/>
    </row>
    <row r="365" ht="15.75" customHeight="1" s="83">
      <c r="A365" s="82" t="n"/>
      <c r="B365" s="82" t="n"/>
      <c r="C365" s="82" t="n"/>
      <c r="D365" s="82" t="n"/>
      <c r="E365" s="81" t="n"/>
      <c r="F365" s="82" t="n"/>
      <c r="G365" s="82" t="n"/>
      <c r="H365" s="82" t="n"/>
      <c r="I365" s="82" t="n"/>
      <c r="J365" s="82" t="n"/>
      <c r="K365" s="82" t="n"/>
      <c r="L365" s="82" t="n"/>
      <c r="M365" s="82" t="n"/>
      <c r="N365" s="82" t="n"/>
      <c r="O365" s="82" t="n"/>
      <c r="P365" s="82" t="n"/>
      <c r="Q365" s="82" t="n"/>
      <c r="R365" s="82" t="n"/>
      <c r="S365" s="82" t="n"/>
      <c r="T365" s="82" t="n"/>
      <c r="U365" s="82" t="n"/>
      <c r="V365" s="82" t="n"/>
      <c r="W365" s="82" t="n"/>
      <c r="X365" s="82" t="n"/>
      <c r="Y365" s="82" t="n"/>
      <c r="Z365" s="82" t="n"/>
    </row>
    <row r="366" ht="15.75" customHeight="1" s="83">
      <c r="A366" s="82" t="n"/>
      <c r="B366" s="82" t="n"/>
      <c r="C366" s="82" t="n"/>
      <c r="D366" s="82" t="n"/>
      <c r="E366" s="81" t="n"/>
      <c r="F366" s="82" t="n"/>
      <c r="G366" s="82" t="n"/>
      <c r="H366" s="82" t="n"/>
      <c r="I366" s="82" t="n"/>
      <c r="J366" s="82" t="n"/>
      <c r="K366" s="82" t="n"/>
      <c r="L366" s="82" t="n"/>
      <c r="M366" s="82" t="n"/>
      <c r="N366" s="82" t="n"/>
      <c r="O366" s="82" t="n"/>
      <c r="P366" s="82" t="n"/>
      <c r="Q366" s="82" t="n"/>
      <c r="R366" s="82" t="n"/>
      <c r="S366" s="82" t="n"/>
      <c r="T366" s="82" t="n"/>
      <c r="U366" s="82" t="n"/>
      <c r="V366" s="82" t="n"/>
      <c r="W366" s="82" t="n"/>
      <c r="X366" s="82" t="n"/>
      <c r="Y366" s="82" t="n"/>
      <c r="Z366" s="82" t="n"/>
    </row>
    <row r="367" ht="15.75" customHeight="1" s="83">
      <c r="A367" s="82" t="n"/>
      <c r="B367" s="82" t="n"/>
      <c r="C367" s="82" t="n"/>
      <c r="D367" s="82" t="n"/>
      <c r="E367" s="81" t="n"/>
      <c r="F367" s="82" t="n"/>
      <c r="G367" s="82" t="n"/>
      <c r="H367" s="82" t="n"/>
      <c r="I367" s="82" t="n"/>
      <c r="J367" s="82" t="n"/>
      <c r="K367" s="82" t="n"/>
      <c r="L367" s="82" t="n"/>
      <c r="M367" s="82" t="n"/>
      <c r="N367" s="82" t="n"/>
      <c r="O367" s="82" t="n"/>
      <c r="P367" s="82" t="n"/>
      <c r="Q367" s="82" t="n"/>
      <c r="R367" s="82" t="n"/>
      <c r="S367" s="82" t="n"/>
      <c r="T367" s="82" t="n"/>
      <c r="U367" s="82" t="n"/>
      <c r="V367" s="82" t="n"/>
      <c r="W367" s="82" t="n"/>
      <c r="X367" s="82" t="n"/>
      <c r="Y367" s="82" t="n"/>
      <c r="Z367" s="82" t="n"/>
    </row>
    <row r="368" ht="15.75" customHeight="1" s="83">
      <c r="A368" s="82" t="n"/>
      <c r="B368" s="82" t="n"/>
      <c r="C368" s="82" t="n"/>
      <c r="D368" s="82" t="n"/>
      <c r="E368" s="81" t="n"/>
      <c r="F368" s="82" t="n"/>
      <c r="G368" s="82" t="n"/>
      <c r="H368" s="82" t="n"/>
      <c r="I368" s="82" t="n"/>
      <c r="J368" s="82" t="n"/>
      <c r="K368" s="82" t="n"/>
      <c r="L368" s="82" t="n"/>
      <c r="M368" s="82" t="n"/>
      <c r="N368" s="82" t="n"/>
      <c r="O368" s="82" t="n"/>
      <c r="P368" s="82" t="n"/>
      <c r="Q368" s="82" t="n"/>
      <c r="R368" s="82" t="n"/>
      <c r="S368" s="82" t="n"/>
      <c r="T368" s="82" t="n"/>
      <c r="U368" s="82" t="n"/>
      <c r="V368" s="82" t="n"/>
      <c r="W368" s="82" t="n"/>
      <c r="X368" s="82" t="n"/>
      <c r="Y368" s="82" t="n"/>
      <c r="Z368" s="82" t="n"/>
    </row>
    <row r="369" ht="15.75" customHeight="1" s="83">
      <c r="A369" s="82" t="n"/>
      <c r="B369" s="82" t="n"/>
      <c r="C369" s="82" t="n"/>
      <c r="D369" s="82" t="n"/>
      <c r="E369" s="81" t="n"/>
      <c r="F369" s="82" t="n"/>
      <c r="G369" s="82" t="n"/>
      <c r="H369" s="82" t="n"/>
      <c r="I369" s="82" t="n"/>
      <c r="J369" s="82" t="n"/>
      <c r="K369" s="82" t="n"/>
      <c r="L369" s="82" t="n"/>
      <c r="M369" s="82" t="n"/>
      <c r="N369" s="82" t="n"/>
      <c r="O369" s="82" t="n"/>
      <c r="P369" s="82" t="n"/>
      <c r="Q369" s="82" t="n"/>
      <c r="R369" s="82" t="n"/>
      <c r="S369" s="82" t="n"/>
      <c r="T369" s="82" t="n"/>
      <c r="U369" s="82" t="n"/>
      <c r="V369" s="82" t="n"/>
      <c r="W369" s="82" t="n"/>
      <c r="X369" s="82" t="n"/>
      <c r="Y369" s="82" t="n"/>
      <c r="Z369" s="82" t="n"/>
    </row>
    <row r="370" ht="15.75" customHeight="1" s="83">
      <c r="A370" s="82" t="n"/>
      <c r="B370" s="82" t="n"/>
      <c r="C370" s="82" t="n"/>
      <c r="D370" s="82" t="n"/>
      <c r="E370" s="81" t="n"/>
      <c r="F370" s="82" t="n"/>
      <c r="G370" s="82" t="n"/>
      <c r="H370" s="82" t="n"/>
      <c r="I370" s="82" t="n"/>
      <c r="J370" s="82" t="n"/>
      <c r="K370" s="82" t="n"/>
      <c r="L370" s="82" t="n"/>
      <c r="M370" s="82" t="n"/>
      <c r="N370" s="82" t="n"/>
      <c r="O370" s="82" t="n"/>
      <c r="P370" s="82" t="n"/>
      <c r="Q370" s="82" t="n"/>
      <c r="R370" s="82" t="n"/>
      <c r="S370" s="82" t="n"/>
      <c r="T370" s="82" t="n"/>
      <c r="U370" s="82" t="n"/>
      <c r="V370" s="82" t="n"/>
      <c r="W370" s="82" t="n"/>
      <c r="X370" s="82" t="n"/>
      <c r="Y370" s="82" t="n"/>
      <c r="Z370" s="82" t="n"/>
    </row>
    <row r="371" ht="15.75" customHeight="1" s="83">
      <c r="A371" s="82" t="n"/>
      <c r="B371" s="82" t="n"/>
      <c r="C371" s="82" t="n"/>
      <c r="D371" s="82" t="n"/>
      <c r="E371" s="81" t="n"/>
      <c r="F371" s="82" t="n"/>
      <c r="G371" s="82" t="n"/>
      <c r="H371" s="82" t="n"/>
      <c r="I371" s="82" t="n"/>
      <c r="J371" s="82" t="n"/>
      <c r="K371" s="82" t="n"/>
      <c r="L371" s="82" t="n"/>
      <c r="M371" s="82" t="n"/>
      <c r="N371" s="82" t="n"/>
      <c r="O371" s="82" t="n"/>
      <c r="P371" s="82" t="n"/>
      <c r="Q371" s="82" t="n"/>
      <c r="R371" s="82" t="n"/>
      <c r="S371" s="82" t="n"/>
      <c r="T371" s="82" t="n"/>
      <c r="U371" s="82" t="n"/>
      <c r="V371" s="82" t="n"/>
      <c r="W371" s="82" t="n"/>
      <c r="X371" s="82" t="n"/>
      <c r="Y371" s="82" t="n"/>
      <c r="Z371" s="82" t="n"/>
    </row>
    <row r="372" ht="15.75" customHeight="1" s="83">
      <c r="A372" s="82" t="n"/>
      <c r="B372" s="82" t="n"/>
      <c r="C372" s="82" t="n"/>
      <c r="D372" s="82" t="n"/>
      <c r="E372" s="81" t="n"/>
      <c r="F372" s="82" t="n"/>
      <c r="G372" s="82" t="n"/>
      <c r="H372" s="82" t="n"/>
      <c r="I372" s="82" t="n"/>
      <c r="J372" s="82" t="n"/>
      <c r="K372" s="82" t="n"/>
      <c r="L372" s="82" t="n"/>
      <c r="M372" s="82" t="n"/>
      <c r="N372" s="82" t="n"/>
      <c r="O372" s="82" t="n"/>
      <c r="P372" s="82" t="n"/>
      <c r="Q372" s="82" t="n"/>
      <c r="R372" s="82" t="n"/>
      <c r="S372" s="82" t="n"/>
      <c r="T372" s="82" t="n"/>
      <c r="U372" s="82" t="n"/>
      <c r="V372" s="82" t="n"/>
      <c r="W372" s="82" t="n"/>
      <c r="X372" s="82" t="n"/>
      <c r="Y372" s="82" t="n"/>
      <c r="Z372" s="82" t="n"/>
    </row>
    <row r="373" ht="15.75" customHeight="1" s="83">
      <c r="A373" s="82" t="n"/>
      <c r="B373" s="82" t="n"/>
      <c r="C373" s="82" t="n"/>
      <c r="D373" s="82" t="n"/>
      <c r="E373" s="81" t="n"/>
      <c r="F373" s="82" t="n"/>
      <c r="G373" s="82" t="n"/>
      <c r="H373" s="82" t="n"/>
      <c r="I373" s="82" t="n"/>
      <c r="J373" s="82" t="n"/>
      <c r="K373" s="82" t="n"/>
      <c r="L373" s="82" t="n"/>
      <c r="M373" s="82" t="n"/>
      <c r="N373" s="82" t="n"/>
      <c r="O373" s="82" t="n"/>
      <c r="P373" s="82" t="n"/>
      <c r="Q373" s="82" t="n"/>
      <c r="R373" s="82" t="n"/>
      <c r="S373" s="82" t="n"/>
      <c r="T373" s="82" t="n"/>
      <c r="U373" s="82" t="n"/>
      <c r="V373" s="82" t="n"/>
      <c r="W373" s="82" t="n"/>
      <c r="X373" s="82" t="n"/>
      <c r="Y373" s="82" t="n"/>
      <c r="Z373" s="82" t="n"/>
    </row>
    <row r="374" ht="15.75" customHeight="1" s="83">
      <c r="A374" s="82" t="n"/>
      <c r="B374" s="82" t="n"/>
      <c r="C374" s="82" t="n"/>
      <c r="D374" s="82" t="n"/>
      <c r="E374" s="81" t="n"/>
      <c r="F374" s="82" t="n"/>
      <c r="G374" s="82" t="n"/>
      <c r="H374" s="82" t="n"/>
      <c r="I374" s="82" t="n"/>
      <c r="J374" s="82" t="n"/>
      <c r="K374" s="82" t="n"/>
      <c r="L374" s="82" t="n"/>
      <c r="M374" s="82" t="n"/>
      <c r="N374" s="82" t="n"/>
      <c r="O374" s="82" t="n"/>
      <c r="P374" s="82" t="n"/>
      <c r="Q374" s="82" t="n"/>
      <c r="R374" s="82" t="n"/>
      <c r="S374" s="82" t="n"/>
      <c r="T374" s="82" t="n"/>
      <c r="U374" s="82" t="n"/>
      <c r="V374" s="82" t="n"/>
      <c r="W374" s="82" t="n"/>
      <c r="X374" s="82" t="n"/>
      <c r="Y374" s="82" t="n"/>
      <c r="Z374" s="82" t="n"/>
    </row>
    <row r="375" ht="15.75" customHeight="1" s="83">
      <c r="A375" s="82" t="n"/>
      <c r="B375" s="82" t="n"/>
      <c r="C375" s="82" t="n"/>
      <c r="D375" s="82" t="n"/>
      <c r="E375" s="81" t="n"/>
      <c r="F375" s="82" t="n"/>
      <c r="G375" s="82" t="n"/>
      <c r="H375" s="82" t="n"/>
      <c r="I375" s="82" t="n"/>
      <c r="J375" s="82" t="n"/>
      <c r="K375" s="82" t="n"/>
      <c r="L375" s="82" t="n"/>
      <c r="M375" s="82" t="n"/>
      <c r="N375" s="82" t="n"/>
      <c r="O375" s="82" t="n"/>
      <c r="P375" s="82" t="n"/>
      <c r="Q375" s="82" t="n"/>
      <c r="R375" s="82" t="n"/>
      <c r="S375" s="82" t="n"/>
      <c r="T375" s="82" t="n"/>
      <c r="U375" s="82" t="n"/>
      <c r="V375" s="82" t="n"/>
      <c r="W375" s="82" t="n"/>
      <c r="X375" s="82" t="n"/>
      <c r="Y375" s="82" t="n"/>
      <c r="Z375" s="82" t="n"/>
    </row>
    <row r="376" ht="15.75" customHeight="1" s="83">
      <c r="A376" s="82" t="n"/>
      <c r="B376" s="82" t="n"/>
      <c r="C376" s="82" t="n"/>
      <c r="D376" s="82" t="n"/>
      <c r="E376" s="81" t="n"/>
      <c r="F376" s="82" t="n"/>
      <c r="G376" s="82" t="n"/>
      <c r="H376" s="82" t="n"/>
      <c r="I376" s="82" t="n"/>
      <c r="J376" s="82" t="n"/>
      <c r="K376" s="82" t="n"/>
      <c r="L376" s="82" t="n"/>
      <c r="M376" s="82" t="n"/>
      <c r="N376" s="82" t="n"/>
      <c r="O376" s="82" t="n"/>
      <c r="P376" s="82" t="n"/>
      <c r="Q376" s="82" t="n"/>
      <c r="R376" s="82" t="n"/>
      <c r="S376" s="82" t="n"/>
      <c r="T376" s="82" t="n"/>
      <c r="U376" s="82" t="n"/>
      <c r="V376" s="82" t="n"/>
      <c r="W376" s="82" t="n"/>
      <c r="X376" s="82" t="n"/>
      <c r="Y376" s="82" t="n"/>
      <c r="Z376" s="82" t="n"/>
    </row>
    <row r="377" ht="15.75" customHeight="1" s="83">
      <c r="A377" s="82" t="n"/>
      <c r="B377" s="82" t="n"/>
      <c r="C377" s="82" t="n"/>
      <c r="D377" s="82" t="n"/>
      <c r="E377" s="81" t="n"/>
      <c r="F377" s="82" t="n"/>
      <c r="G377" s="82" t="n"/>
      <c r="H377" s="82" t="n"/>
      <c r="I377" s="82" t="n"/>
      <c r="J377" s="82" t="n"/>
      <c r="K377" s="82" t="n"/>
      <c r="L377" s="82" t="n"/>
      <c r="M377" s="82" t="n"/>
      <c r="N377" s="82" t="n"/>
      <c r="O377" s="82" t="n"/>
      <c r="P377" s="82" t="n"/>
      <c r="Q377" s="82" t="n"/>
      <c r="R377" s="82" t="n"/>
      <c r="S377" s="82" t="n"/>
      <c r="T377" s="82" t="n"/>
      <c r="U377" s="82" t="n"/>
      <c r="V377" s="82" t="n"/>
      <c r="W377" s="82" t="n"/>
      <c r="X377" s="82" t="n"/>
      <c r="Y377" s="82" t="n"/>
      <c r="Z377" s="82" t="n"/>
    </row>
    <row r="378" ht="15.75" customHeight="1" s="83">
      <c r="A378" s="82" t="n"/>
      <c r="B378" s="82" t="n"/>
      <c r="C378" s="82" t="n"/>
      <c r="D378" s="82" t="n"/>
      <c r="E378" s="81" t="n"/>
      <c r="F378" s="82" t="n"/>
      <c r="G378" s="82" t="n"/>
      <c r="H378" s="82" t="n"/>
      <c r="I378" s="82" t="n"/>
      <c r="J378" s="82" t="n"/>
      <c r="K378" s="82" t="n"/>
      <c r="L378" s="82" t="n"/>
      <c r="M378" s="82" t="n"/>
      <c r="N378" s="82" t="n"/>
      <c r="O378" s="82" t="n"/>
      <c r="P378" s="82" t="n"/>
      <c r="Q378" s="82" t="n"/>
      <c r="R378" s="82" t="n"/>
      <c r="S378" s="82" t="n"/>
      <c r="T378" s="82" t="n"/>
      <c r="U378" s="82" t="n"/>
      <c r="V378" s="82" t="n"/>
      <c r="W378" s="82" t="n"/>
      <c r="X378" s="82" t="n"/>
      <c r="Y378" s="82" t="n"/>
      <c r="Z378" s="82" t="n"/>
    </row>
    <row r="379" ht="15.75" customHeight="1" s="83">
      <c r="A379" s="82" t="n"/>
      <c r="B379" s="82" t="n"/>
      <c r="C379" s="82" t="n"/>
      <c r="D379" s="82" t="n"/>
      <c r="E379" s="81" t="n"/>
      <c r="F379" s="82" t="n"/>
      <c r="G379" s="82" t="n"/>
      <c r="H379" s="82" t="n"/>
      <c r="I379" s="82" t="n"/>
      <c r="J379" s="82" t="n"/>
      <c r="K379" s="82" t="n"/>
      <c r="L379" s="82" t="n"/>
      <c r="M379" s="82" t="n"/>
      <c r="N379" s="82" t="n"/>
      <c r="O379" s="82" t="n"/>
      <c r="P379" s="82" t="n"/>
      <c r="Q379" s="82" t="n"/>
      <c r="R379" s="82" t="n"/>
      <c r="S379" s="82" t="n"/>
      <c r="T379" s="82" t="n"/>
      <c r="U379" s="82" t="n"/>
      <c r="V379" s="82" t="n"/>
      <c r="W379" s="82" t="n"/>
      <c r="X379" s="82" t="n"/>
      <c r="Y379" s="82" t="n"/>
      <c r="Z379" s="82" t="n"/>
    </row>
    <row r="380" ht="15.75" customHeight="1" s="83">
      <c r="A380" s="82" t="n"/>
      <c r="B380" s="82" t="n"/>
      <c r="C380" s="82" t="n"/>
      <c r="D380" s="82" t="n"/>
      <c r="E380" s="81" t="n"/>
      <c r="F380" s="82" t="n"/>
      <c r="G380" s="82" t="n"/>
      <c r="H380" s="82" t="n"/>
      <c r="I380" s="82" t="n"/>
      <c r="J380" s="82" t="n"/>
      <c r="K380" s="82" t="n"/>
      <c r="L380" s="82" t="n"/>
      <c r="M380" s="82" t="n"/>
      <c r="N380" s="82" t="n"/>
      <c r="O380" s="82" t="n"/>
      <c r="P380" s="82" t="n"/>
      <c r="Q380" s="82" t="n"/>
      <c r="R380" s="82" t="n"/>
      <c r="S380" s="82" t="n"/>
      <c r="T380" s="82" t="n"/>
      <c r="U380" s="82" t="n"/>
      <c r="V380" s="82" t="n"/>
      <c r="W380" s="82" t="n"/>
      <c r="X380" s="82" t="n"/>
      <c r="Y380" s="82" t="n"/>
      <c r="Z380" s="82" t="n"/>
    </row>
    <row r="381" ht="15.75" customHeight="1" s="83">
      <c r="A381" s="82" t="n"/>
      <c r="B381" s="82" t="n"/>
      <c r="C381" s="82" t="n"/>
      <c r="D381" s="82" t="n"/>
      <c r="E381" s="81" t="n"/>
      <c r="F381" s="82" t="n"/>
      <c r="G381" s="82" t="n"/>
      <c r="H381" s="82" t="n"/>
      <c r="I381" s="82" t="n"/>
      <c r="J381" s="82" t="n"/>
      <c r="K381" s="82" t="n"/>
      <c r="L381" s="82" t="n"/>
      <c r="M381" s="82" t="n"/>
      <c r="N381" s="82" t="n"/>
      <c r="O381" s="82" t="n"/>
      <c r="P381" s="82" t="n"/>
      <c r="Q381" s="82" t="n"/>
      <c r="R381" s="82" t="n"/>
      <c r="S381" s="82" t="n"/>
      <c r="T381" s="82" t="n"/>
      <c r="U381" s="82" t="n"/>
      <c r="V381" s="82" t="n"/>
      <c r="W381" s="82" t="n"/>
      <c r="X381" s="82" t="n"/>
      <c r="Y381" s="82" t="n"/>
      <c r="Z381" s="82" t="n"/>
    </row>
    <row r="382" ht="15.75" customHeight="1" s="83">
      <c r="A382" s="82" t="n"/>
      <c r="B382" s="82" t="n"/>
      <c r="C382" s="82" t="n"/>
      <c r="D382" s="82" t="n"/>
      <c r="E382" s="81" t="n"/>
      <c r="F382" s="82" t="n"/>
      <c r="G382" s="82" t="n"/>
      <c r="H382" s="82" t="n"/>
      <c r="I382" s="82" t="n"/>
      <c r="J382" s="82" t="n"/>
      <c r="K382" s="82" t="n"/>
      <c r="L382" s="82" t="n"/>
      <c r="M382" s="82" t="n"/>
      <c r="N382" s="82" t="n"/>
      <c r="O382" s="82" t="n"/>
      <c r="P382" s="82" t="n"/>
      <c r="Q382" s="82" t="n"/>
      <c r="R382" s="82" t="n"/>
      <c r="S382" s="82" t="n"/>
      <c r="T382" s="82" t="n"/>
      <c r="U382" s="82" t="n"/>
      <c r="V382" s="82" t="n"/>
      <c r="W382" s="82" t="n"/>
      <c r="X382" s="82" t="n"/>
      <c r="Y382" s="82" t="n"/>
      <c r="Z382" s="82" t="n"/>
    </row>
    <row r="383" ht="15.75" customHeight="1" s="83">
      <c r="A383" s="82" t="n"/>
      <c r="B383" s="82" t="n"/>
      <c r="C383" s="82" t="n"/>
      <c r="D383" s="82" t="n"/>
      <c r="E383" s="81" t="n"/>
      <c r="F383" s="82" t="n"/>
      <c r="G383" s="82" t="n"/>
      <c r="H383" s="82" t="n"/>
      <c r="I383" s="82" t="n"/>
      <c r="J383" s="82" t="n"/>
      <c r="K383" s="82" t="n"/>
      <c r="L383" s="82" t="n"/>
      <c r="M383" s="82" t="n"/>
      <c r="N383" s="82" t="n"/>
      <c r="O383" s="82" t="n"/>
      <c r="P383" s="82" t="n"/>
      <c r="Q383" s="82" t="n"/>
      <c r="R383" s="82" t="n"/>
      <c r="S383" s="82" t="n"/>
      <c r="T383" s="82" t="n"/>
      <c r="U383" s="82" t="n"/>
      <c r="V383" s="82" t="n"/>
      <c r="W383" s="82" t="n"/>
      <c r="X383" s="82" t="n"/>
      <c r="Y383" s="82" t="n"/>
      <c r="Z383" s="82" t="n"/>
    </row>
    <row r="384" ht="15.75" customHeight="1" s="83">
      <c r="A384" s="82" t="n"/>
      <c r="B384" s="82" t="n"/>
      <c r="C384" s="82" t="n"/>
      <c r="D384" s="82" t="n"/>
      <c r="E384" s="81" t="n"/>
      <c r="F384" s="82" t="n"/>
      <c r="G384" s="82" t="n"/>
      <c r="H384" s="82" t="n"/>
      <c r="I384" s="82" t="n"/>
      <c r="J384" s="82" t="n"/>
      <c r="K384" s="82" t="n"/>
      <c r="L384" s="82" t="n"/>
      <c r="M384" s="82" t="n"/>
      <c r="N384" s="82" t="n"/>
      <c r="O384" s="82" t="n"/>
      <c r="P384" s="82" t="n"/>
      <c r="Q384" s="82" t="n"/>
      <c r="R384" s="82" t="n"/>
      <c r="S384" s="82" t="n"/>
      <c r="T384" s="82" t="n"/>
      <c r="U384" s="82" t="n"/>
      <c r="V384" s="82" t="n"/>
      <c r="W384" s="82" t="n"/>
      <c r="X384" s="82" t="n"/>
      <c r="Y384" s="82" t="n"/>
      <c r="Z384" s="82" t="n"/>
    </row>
    <row r="385" ht="15.75" customHeight="1" s="83">
      <c r="A385" s="82" t="n"/>
      <c r="B385" s="82" t="n"/>
      <c r="C385" s="82" t="n"/>
      <c r="D385" s="82" t="n"/>
      <c r="E385" s="81" t="n"/>
      <c r="F385" s="82" t="n"/>
      <c r="G385" s="82" t="n"/>
      <c r="H385" s="82" t="n"/>
      <c r="I385" s="82" t="n"/>
      <c r="J385" s="82" t="n"/>
      <c r="K385" s="82" t="n"/>
      <c r="L385" s="82" t="n"/>
      <c r="M385" s="82" t="n"/>
      <c r="N385" s="82" t="n"/>
      <c r="O385" s="82" t="n"/>
      <c r="P385" s="82" t="n"/>
      <c r="Q385" s="82" t="n"/>
      <c r="R385" s="82" t="n"/>
      <c r="S385" s="82" t="n"/>
      <c r="T385" s="82" t="n"/>
      <c r="U385" s="82" t="n"/>
      <c r="V385" s="82" t="n"/>
      <c r="W385" s="82" t="n"/>
      <c r="X385" s="82" t="n"/>
      <c r="Y385" s="82" t="n"/>
      <c r="Z385" s="82" t="n"/>
    </row>
    <row r="386" ht="15.75" customHeight="1" s="83">
      <c r="A386" s="82" t="n"/>
      <c r="B386" s="82" t="n"/>
      <c r="C386" s="82" t="n"/>
      <c r="D386" s="82" t="n"/>
      <c r="E386" s="81" t="n"/>
      <c r="F386" s="82" t="n"/>
      <c r="G386" s="82" t="n"/>
      <c r="H386" s="82" t="n"/>
      <c r="I386" s="82" t="n"/>
      <c r="J386" s="82" t="n"/>
      <c r="K386" s="82" t="n"/>
      <c r="L386" s="82" t="n"/>
      <c r="M386" s="82" t="n"/>
      <c r="N386" s="82" t="n"/>
      <c r="O386" s="82" t="n"/>
      <c r="P386" s="82" t="n"/>
      <c r="Q386" s="82" t="n"/>
      <c r="R386" s="82" t="n"/>
      <c r="S386" s="82" t="n"/>
      <c r="T386" s="82" t="n"/>
      <c r="U386" s="82" t="n"/>
      <c r="V386" s="82" t="n"/>
      <c r="W386" s="82" t="n"/>
      <c r="X386" s="82" t="n"/>
      <c r="Y386" s="82" t="n"/>
      <c r="Z386" s="82" t="n"/>
    </row>
    <row r="387" ht="15.75" customHeight="1" s="83">
      <c r="A387" s="82" t="n"/>
      <c r="B387" s="82" t="n"/>
      <c r="C387" s="82" t="n"/>
      <c r="D387" s="82" t="n"/>
      <c r="E387" s="81" t="n"/>
      <c r="F387" s="82" t="n"/>
      <c r="G387" s="82" t="n"/>
      <c r="H387" s="82" t="n"/>
      <c r="I387" s="82" t="n"/>
      <c r="J387" s="82" t="n"/>
      <c r="K387" s="82" t="n"/>
      <c r="L387" s="82" t="n"/>
      <c r="M387" s="82" t="n"/>
      <c r="N387" s="82" t="n"/>
      <c r="O387" s="82" t="n"/>
      <c r="P387" s="82" t="n"/>
      <c r="Q387" s="82" t="n"/>
      <c r="R387" s="82" t="n"/>
      <c r="S387" s="82" t="n"/>
      <c r="T387" s="82" t="n"/>
      <c r="U387" s="82" t="n"/>
      <c r="V387" s="82" t="n"/>
      <c r="W387" s="82" t="n"/>
      <c r="X387" s="82" t="n"/>
      <c r="Y387" s="82" t="n"/>
      <c r="Z387" s="82" t="n"/>
    </row>
    <row r="388" ht="15.75" customHeight="1" s="83">
      <c r="A388" s="82" t="n"/>
      <c r="B388" s="82" t="n"/>
      <c r="C388" s="82" t="n"/>
      <c r="D388" s="82" t="n"/>
      <c r="E388" s="81" t="n"/>
      <c r="F388" s="82" t="n"/>
      <c r="G388" s="82" t="n"/>
      <c r="H388" s="82" t="n"/>
      <c r="I388" s="82" t="n"/>
      <c r="J388" s="82" t="n"/>
      <c r="K388" s="82" t="n"/>
      <c r="L388" s="82" t="n"/>
      <c r="M388" s="82" t="n"/>
      <c r="N388" s="82" t="n"/>
      <c r="O388" s="82" t="n"/>
      <c r="P388" s="82" t="n"/>
      <c r="Q388" s="82" t="n"/>
      <c r="R388" s="82" t="n"/>
      <c r="S388" s="82" t="n"/>
      <c r="T388" s="82" t="n"/>
      <c r="U388" s="82" t="n"/>
      <c r="V388" s="82" t="n"/>
      <c r="W388" s="82" t="n"/>
      <c r="X388" s="82" t="n"/>
      <c r="Y388" s="82" t="n"/>
      <c r="Z388" s="82" t="n"/>
    </row>
    <row r="389" ht="15.75" customHeight="1" s="83">
      <c r="A389" s="82" t="n"/>
      <c r="B389" s="82" t="n"/>
      <c r="C389" s="82" t="n"/>
      <c r="D389" s="82" t="n"/>
      <c r="E389" s="81" t="n"/>
      <c r="F389" s="82" t="n"/>
      <c r="G389" s="82" t="n"/>
      <c r="H389" s="82" t="n"/>
      <c r="I389" s="82" t="n"/>
      <c r="J389" s="82" t="n"/>
      <c r="K389" s="82" t="n"/>
      <c r="L389" s="82" t="n"/>
      <c r="M389" s="82" t="n"/>
      <c r="N389" s="82" t="n"/>
      <c r="O389" s="82" t="n"/>
      <c r="P389" s="82" t="n"/>
      <c r="Q389" s="82" t="n"/>
      <c r="R389" s="82" t="n"/>
      <c r="S389" s="82" t="n"/>
      <c r="T389" s="82" t="n"/>
      <c r="U389" s="82" t="n"/>
      <c r="V389" s="82" t="n"/>
      <c r="W389" s="82" t="n"/>
      <c r="X389" s="82" t="n"/>
      <c r="Y389" s="82" t="n"/>
      <c r="Z389" s="82" t="n"/>
    </row>
    <row r="390" ht="15.75" customHeight="1" s="83">
      <c r="A390" s="82" t="n"/>
      <c r="B390" s="82" t="n"/>
      <c r="C390" s="82" t="n"/>
      <c r="D390" s="82" t="n"/>
      <c r="E390" s="81" t="n"/>
      <c r="F390" s="82" t="n"/>
      <c r="G390" s="82" t="n"/>
      <c r="H390" s="82" t="n"/>
      <c r="I390" s="82" t="n"/>
      <c r="J390" s="82" t="n"/>
      <c r="K390" s="82" t="n"/>
      <c r="L390" s="82" t="n"/>
      <c r="M390" s="82" t="n"/>
      <c r="N390" s="82" t="n"/>
      <c r="O390" s="82" t="n"/>
      <c r="P390" s="82" t="n"/>
      <c r="Q390" s="82" t="n"/>
      <c r="R390" s="82" t="n"/>
      <c r="S390" s="82" t="n"/>
      <c r="T390" s="82" t="n"/>
      <c r="U390" s="82" t="n"/>
      <c r="V390" s="82" t="n"/>
      <c r="W390" s="82" t="n"/>
      <c r="X390" s="82" t="n"/>
      <c r="Y390" s="82" t="n"/>
      <c r="Z390" s="82" t="n"/>
    </row>
    <row r="391" ht="15.75" customHeight="1" s="83">
      <c r="A391" s="82" t="n"/>
      <c r="B391" s="82" t="n"/>
      <c r="C391" s="82" t="n"/>
      <c r="D391" s="82" t="n"/>
      <c r="E391" s="81" t="n"/>
      <c r="F391" s="82" t="n"/>
      <c r="G391" s="82" t="n"/>
      <c r="H391" s="82" t="n"/>
      <c r="I391" s="82" t="n"/>
      <c r="J391" s="82" t="n"/>
      <c r="K391" s="82" t="n"/>
      <c r="L391" s="82" t="n"/>
      <c r="M391" s="82" t="n"/>
      <c r="N391" s="82" t="n"/>
      <c r="O391" s="82" t="n"/>
      <c r="P391" s="82" t="n"/>
      <c r="Q391" s="82" t="n"/>
      <c r="R391" s="82" t="n"/>
      <c r="S391" s="82" t="n"/>
      <c r="T391" s="82" t="n"/>
      <c r="U391" s="82" t="n"/>
      <c r="V391" s="82" t="n"/>
      <c r="W391" s="82" t="n"/>
      <c r="X391" s="82" t="n"/>
      <c r="Y391" s="82" t="n"/>
      <c r="Z391" s="82" t="n"/>
    </row>
    <row r="392" ht="15.75" customHeight="1" s="83">
      <c r="A392" s="82" t="n"/>
      <c r="B392" s="82" t="n"/>
      <c r="C392" s="82" t="n"/>
      <c r="D392" s="82" t="n"/>
      <c r="E392" s="81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  <c r="P392" s="82" t="n"/>
      <c r="Q392" s="82" t="n"/>
      <c r="R392" s="82" t="n"/>
      <c r="S392" s="82" t="n"/>
      <c r="T392" s="82" t="n"/>
      <c r="U392" s="82" t="n"/>
      <c r="V392" s="82" t="n"/>
      <c r="W392" s="82" t="n"/>
      <c r="X392" s="82" t="n"/>
      <c r="Y392" s="82" t="n"/>
      <c r="Z392" s="82" t="n"/>
    </row>
    <row r="393" ht="15.75" customHeight="1" s="83">
      <c r="A393" s="82" t="n"/>
      <c r="B393" s="82" t="n"/>
      <c r="C393" s="82" t="n"/>
      <c r="D393" s="82" t="n"/>
      <c r="E393" s="81" t="n"/>
      <c r="F393" s="82" t="n"/>
      <c r="G393" s="82" t="n"/>
      <c r="H393" s="82" t="n"/>
      <c r="I393" s="82" t="n"/>
      <c r="J393" s="82" t="n"/>
      <c r="K393" s="82" t="n"/>
      <c r="L393" s="82" t="n"/>
      <c r="M393" s="82" t="n"/>
      <c r="N393" s="82" t="n"/>
      <c r="O393" s="82" t="n"/>
      <c r="P393" s="82" t="n"/>
      <c r="Q393" s="82" t="n"/>
      <c r="R393" s="82" t="n"/>
      <c r="S393" s="82" t="n"/>
      <c r="T393" s="82" t="n"/>
      <c r="U393" s="82" t="n"/>
      <c r="V393" s="82" t="n"/>
      <c r="W393" s="82" t="n"/>
      <c r="X393" s="82" t="n"/>
      <c r="Y393" s="82" t="n"/>
      <c r="Z393" s="82" t="n"/>
    </row>
    <row r="394" ht="15.75" customHeight="1" s="83">
      <c r="A394" s="82" t="n"/>
      <c r="B394" s="82" t="n"/>
      <c r="C394" s="82" t="n"/>
      <c r="D394" s="82" t="n"/>
      <c r="E394" s="81" t="n"/>
      <c r="F394" s="82" t="n"/>
      <c r="G394" s="82" t="n"/>
      <c r="H394" s="82" t="n"/>
      <c r="I394" s="82" t="n"/>
      <c r="J394" s="82" t="n"/>
      <c r="K394" s="82" t="n"/>
      <c r="L394" s="82" t="n"/>
      <c r="M394" s="82" t="n"/>
      <c r="N394" s="82" t="n"/>
      <c r="O394" s="82" t="n"/>
      <c r="P394" s="82" t="n"/>
      <c r="Q394" s="82" t="n"/>
      <c r="R394" s="82" t="n"/>
      <c r="S394" s="82" t="n"/>
      <c r="T394" s="82" t="n"/>
      <c r="U394" s="82" t="n"/>
      <c r="V394" s="82" t="n"/>
      <c r="W394" s="82" t="n"/>
      <c r="X394" s="82" t="n"/>
      <c r="Y394" s="82" t="n"/>
      <c r="Z394" s="82" t="n"/>
    </row>
    <row r="395" ht="15.75" customHeight="1" s="83">
      <c r="A395" s="82" t="n"/>
      <c r="B395" s="82" t="n"/>
      <c r="C395" s="82" t="n"/>
      <c r="D395" s="82" t="n"/>
      <c r="E395" s="81" t="n"/>
      <c r="F395" s="82" t="n"/>
      <c r="G395" s="82" t="n"/>
      <c r="H395" s="82" t="n"/>
      <c r="I395" s="82" t="n"/>
      <c r="J395" s="82" t="n"/>
      <c r="K395" s="82" t="n"/>
      <c r="L395" s="82" t="n"/>
      <c r="M395" s="82" t="n"/>
      <c r="N395" s="82" t="n"/>
      <c r="O395" s="82" t="n"/>
      <c r="P395" s="82" t="n"/>
      <c r="Q395" s="82" t="n"/>
      <c r="R395" s="82" t="n"/>
      <c r="S395" s="82" t="n"/>
      <c r="T395" s="82" t="n"/>
      <c r="U395" s="82" t="n"/>
      <c r="V395" s="82" t="n"/>
      <c r="W395" s="82" t="n"/>
      <c r="X395" s="82" t="n"/>
      <c r="Y395" s="82" t="n"/>
      <c r="Z395" s="82" t="n"/>
    </row>
    <row r="396" ht="15.75" customHeight="1" s="83">
      <c r="A396" s="82" t="n"/>
      <c r="B396" s="82" t="n"/>
      <c r="C396" s="82" t="n"/>
      <c r="D396" s="82" t="n"/>
      <c r="E396" s="81" t="n"/>
      <c r="F396" s="82" t="n"/>
      <c r="G396" s="82" t="n"/>
      <c r="H396" s="82" t="n"/>
      <c r="I396" s="82" t="n"/>
      <c r="J396" s="82" t="n"/>
      <c r="K396" s="82" t="n"/>
      <c r="L396" s="82" t="n"/>
      <c r="M396" s="82" t="n"/>
      <c r="N396" s="82" t="n"/>
      <c r="O396" s="82" t="n"/>
      <c r="P396" s="82" t="n"/>
      <c r="Q396" s="82" t="n"/>
      <c r="R396" s="82" t="n"/>
      <c r="S396" s="82" t="n"/>
      <c r="T396" s="82" t="n"/>
      <c r="U396" s="82" t="n"/>
      <c r="V396" s="82" t="n"/>
      <c r="W396" s="82" t="n"/>
      <c r="X396" s="82" t="n"/>
      <c r="Y396" s="82" t="n"/>
      <c r="Z396" s="82" t="n"/>
    </row>
    <row r="397" ht="15.75" customHeight="1" s="83">
      <c r="A397" s="82" t="n"/>
      <c r="B397" s="82" t="n"/>
      <c r="C397" s="82" t="n"/>
      <c r="D397" s="82" t="n"/>
      <c r="E397" s="81" t="n"/>
      <c r="F397" s="82" t="n"/>
      <c r="G397" s="82" t="n"/>
      <c r="H397" s="82" t="n"/>
      <c r="I397" s="82" t="n"/>
      <c r="J397" s="82" t="n"/>
      <c r="K397" s="82" t="n"/>
      <c r="L397" s="82" t="n"/>
      <c r="M397" s="82" t="n"/>
      <c r="N397" s="82" t="n"/>
      <c r="O397" s="82" t="n"/>
      <c r="P397" s="82" t="n"/>
      <c r="Q397" s="82" t="n"/>
      <c r="R397" s="82" t="n"/>
      <c r="S397" s="82" t="n"/>
      <c r="T397" s="82" t="n"/>
      <c r="U397" s="82" t="n"/>
      <c r="V397" s="82" t="n"/>
      <c r="W397" s="82" t="n"/>
      <c r="X397" s="82" t="n"/>
      <c r="Y397" s="82" t="n"/>
      <c r="Z397" s="82" t="n"/>
    </row>
    <row r="398" ht="15.75" customHeight="1" s="83">
      <c r="A398" s="82" t="n"/>
      <c r="B398" s="82" t="n"/>
      <c r="C398" s="82" t="n"/>
      <c r="D398" s="82" t="n"/>
      <c r="E398" s="81" t="n"/>
      <c r="F398" s="82" t="n"/>
      <c r="G398" s="82" t="n"/>
      <c r="H398" s="82" t="n"/>
      <c r="I398" s="82" t="n"/>
      <c r="J398" s="82" t="n"/>
      <c r="K398" s="82" t="n"/>
      <c r="L398" s="82" t="n"/>
      <c r="M398" s="82" t="n"/>
      <c r="N398" s="82" t="n"/>
      <c r="O398" s="82" t="n"/>
      <c r="P398" s="82" t="n"/>
      <c r="Q398" s="82" t="n"/>
      <c r="R398" s="82" t="n"/>
      <c r="S398" s="82" t="n"/>
      <c r="T398" s="82" t="n"/>
      <c r="U398" s="82" t="n"/>
      <c r="V398" s="82" t="n"/>
      <c r="W398" s="82" t="n"/>
      <c r="X398" s="82" t="n"/>
      <c r="Y398" s="82" t="n"/>
      <c r="Z398" s="82" t="n"/>
    </row>
    <row r="399" ht="15.75" customHeight="1" s="83">
      <c r="A399" s="82" t="n"/>
      <c r="B399" s="82" t="n"/>
      <c r="C399" s="82" t="n"/>
      <c r="D399" s="82" t="n"/>
      <c r="E399" s="81" t="n"/>
      <c r="F399" s="82" t="n"/>
      <c r="G399" s="82" t="n"/>
      <c r="H399" s="82" t="n"/>
      <c r="I399" s="82" t="n"/>
      <c r="J399" s="82" t="n"/>
      <c r="K399" s="82" t="n"/>
      <c r="L399" s="82" t="n"/>
      <c r="M399" s="82" t="n"/>
      <c r="N399" s="82" t="n"/>
      <c r="O399" s="82" t="n"/>
      <c r="P399" s="82" t="n"/>
      <c r="Q399" s="82" t="n"/>
      <c r="R399" s="82" t="n"/>
      <c r="S399" s="82" t="n"/>
      <c r="T399" s="82" t="n"/>
      <c r="U399" s="82" t="n"/>
      <c r="V399" s="82" t="n"/>
      <c r="W399" s="82" t="n"/>
      <c r="X399" s="82" t="n"/>
      <c r="Y399" s="82" t="n"/>
      <c r="Z399" s="82" t="n"/>
    </row>
    <row r="400" ht="15.75" customHeight="1" s="83">
      <c r="A400" s="82" t="n"/>
      <c r="B400" s="82" t="n"/>
      <c r="C400" s="82" t="n"/>
      <c r="D400" s="82" t="n"/>
      <c r="E400" s="81" t="n"/>
      <c r="F400" s="82" t="n"/>
      <c r="G400" s="82" t="n"/>
      <c r="H400" s="82" t="n"/>
      <c r="I400" s="82" t="n"/>
      <c r="J400" s="82" t="n"/>
      <c r="K400" s="82" t="n"/>
      <c r="L400" s="82" t="n"/>
      <c r="M400" s="82" t="n"/>
      <c r="N400" s="82" t="n"/>
      <c r="O400" s="82" t="n"/>
      <c r="P400" s="82" t="n"/>
      <c r="Q400" s="82" t="n"/>
      <c r="R400" s="82" t="n"/>
      <c r="S400" s="82" t="n"/>
      <c r="T400" s="82" t="n"/>
      <c r="U400" s="82" t="n"/>
      <c r="V400" s="82" t="n"/>
      <c r="W400" s="82" t="n"/>
      <c r="X400" s="82" t="n"/>
      <c r="Y400" s="82" t="n"/>
      <c r="Z400" s="82" t="n"/>
    </row>
    <row r="401" ht="15.75" customHeight="1" s="83">
      <c r="A401" s="82" t="n"/>
      <c r="B401" s="82" t="n"/>
      <c r="C401" s="82" t="n"/>
      <c r="D401" s="82" t="n"/>
      <c r="E401" s="81" t="n"/>
      <c r="F401" s="82" t="n"/>
      <c r="G401" s="82" t="n"/>
      <c r="H401" s="82" t="n"/>
      <c r="I401" s="82" t="n"/>
      <c r="J401" s="82" t="n"/>
      <c r="K401" s="82" t="n"/>
      <c r="L401" s="82" t="n"/>
      <c r="M401" s="82" t="n"/>
      <c r="N401" s="82" t="n"/>
      <c r="O401" s="82" t="n"/>
      <c r="P401" s="82" t="n"/>
      <c r="Q401" s="82" t="n"/>
      <c r="R401" s="82" t="n"/>
      <c r="S401" s="82" t="n"/>
      <c r="T401" s="82" t="n"/>
      <c r="U401" s="82" t="n"/>
      <c r="V401" s="82" t="n"/>
      <c r="W401" s="82" t="n"/>
      <c r="X401" s="82" t="n"/>
      <c r="Y401" s="82" t="n"/>
      <c r="Z401" s="82" t="n"/>
    </row>
    <row r="402" ht="15.75" customHeight="1" s="83">
      <c r="A402" s="82" t="n"/>
      <c r="B402" s="82" t="n"/>
      <c r="C402" s="82" t="n"/>
      <c r="D402" s="82" t="n"/>
      <c r="E402" s="81" t="n"/>
      <c r="F402" s="82" t="n"/>
      <c r="G402" s="82" t="n"/>
      <c r="H402" s="82" t="n"/>
      <c r="I402" s="82" t="n"/>
      <c r="J402" s="82" t="n"/>
      <c r="K402" s="82" t="n"/>
      <c r="L402" s="82" t="n"/>
      <c r="M402" s="82" t="n"/>
      <c r="N402" s="82" t="n"/>
      <c r="O402" s="82" t="n"/>
      <c r="P402" s="82" t="n"/>
      <c r="Q402" s="82" t="n"/>
      <c r="R402" s="82" t="n"/>
      <c r="S402" s="82" t="n"/>
      <c r="T402" s="82" t="n"/>
      <c r="U402" s="82" t="n"/>
      <c r="V402" s="82" t="n"/>
      <c r="W402" s="82" t="n"/>
      <c r="X402" s="82" t="n"/>
      <c r="Y402" s="82" t="n"/>
      <c r="Z402" s="82" t="n"/>
    </row>
    <row r="403" ht="15.75" customHeight="1" s="83">
      <c r="A403" s="82" t="n"/>
      <c r="B403" s="82" t="n"/>
      <c r="C403" s="82" t="n"/>
      <c r="D403" s="82" t="n"/>
      <c r="E403" s="81" t="n"/>
      <c r="F403" s="82" t="n"/>
      <c r="G403" s="82" t="n"/>
      <c r="H403" s="82" t="n"/>
      <c r="I403" s="82" t="n"/>
      <c r="J403" s="82" t="n"/>
      <c r="K403" s="82" t="n"/>
      <c r="L403" s="82" t="n"/>
      <c r="M403" s="82" t="n"/>
      <c r="N403" s="82" t="n"/>
      <c r="O403" s="82" t="n"/>
      <c r="P403" s="82" t="n"/>
      <c r="Q403" s="82" t="n"/>
      <c r="R403" s="82" t="n"/>
      <c r="S403" s="82" t="n"/>
      <c r="T403" s="82" t="n"/>
      <c r="U403" s="82" t="n"/>
      <c r="V403" s="82" t="n"/>
      <c r="W403" s="82" t="n"/>
      <c r="X403" s="82" t="n"/>
      <c r="Y403" s="82" t="n"/>
      <c r="Z403" s="82" t="n"/>
    </row>
    <row r="404" ht="15.75" customHeight="1" s="83">
      <c r="A404" s="82" t="n"/>
      <c r="B404" s="82" t="n"/>
      <c r="C404" s="82" t="n"/>
      <c r="D404" s="82" t="n"/>
      <c r="E404" s="81" t="n"/>
      <c r="F404" s="82" t="n"/>
      <c r="G404" s="82" t="n"/>
      <c r="H404" s="82" t="n"/>
      <c r="I404" s="82" t="n"/>
      <c r="J404" s="82" t="n"/>
      <c r="K404" s="82" t="n"/>
      <c r="L404" s="82" t="n"/>
      <c r="M404" s="82" t="n"/>
      <c r="N404" s="82" t="n"/>
      <c r="O404" s="82" t="n"/>
      <c r="P404" s="82" t="n"/>
      <c r="Q404" s="82" t="n"/>
      <c r="R404" s="82" t="n"/>
      <c r="S404" s="82" t="n"/>
      <c r="T404" s="82" t="n"/>
      <c r="U404" s="82" t="n"/>
      <c r="V404" s="82" t="n"/>
      <c r="W404" s="82" t="n"/>
      <c r="X404" s="82" t="n"/>
      <c r="Y404" s="82" t="n"/>
      <c r="Z404" s="82" t="n"/>
    </row>
    <row r="405" ht="15.75" customHeight="1" s="83">
      <c r="A405" s="82" t="n"/>
      <c r="B405" s="82" t="n"/>
      <c r="C405" s="82" t="n"/>
      <c r="D405" s="82" t="n"/>
      <c r="E405" s="81" t="n"/>
      <c r="F405" s="82" t="n"/>
      <c r="G405" s="82" t="n"/>
      <c r="H405" s="82" t="n"/>
      <c r="I405" s="82" t="n"/>
      <c r="J405" s="82" t="n"/>
      <c r="K405" s="82" t="n"/>
      <c r="L405" s="82" t="n"/>
      <c r="M405" s="82" t="n"/>
      <c r="N405" s="82" t="n"/>
      <c r="O405" s="82" t="n"/>
      <c r="P405" s="82" t="n"/>
      <c r="Q405" s="82" t="n"/>
      <c r="R405" s="82" t="n"/>
      <c r="S405" s="82" t="n"/>
      <c r="T405" s="82" t="n"/>
      <c r="U405" s="82" t="n"/>
      <c r="V405" s="82" t="n"/>
      <c r="W405" s="82" t="n"/>
      <c r="X405" s="82" t="n"/>
      <c r="Y405" s="82" t="n"/>
      <c r="Z405" s="82" t="n"/>
    </row>
    <row r="406" ht="15.75" customHeight="1" s="83">
      <c r="A406" s="82" t="n"/>
      <c r="B406" s="82" t="n"/>
      <c r="C406" s="82" t="n"/>
      <c r="D406" s="82" t="n"/>
      <c r="E406" s="81" t="n"/>
      <c r="F406" s="82" t="n"/>
      <c r="G406" s="82" t="n"/>
      <c r="H406" s="82" t="n"/>
      <c r="I406" s="82" t="n"/>
      <c r="J406" s="82" t="n"/>
      <c r="K406" s="82" t="n"/>
      <c r="L406" s="82" t="n"/>
      <c r="M406" s="82" t="n"/>
      <c r="N406" s="82" t="n"/>
      <c r="O406" s="82" t="n"/>
      <c r="P406" s="82" t="n"/>
      <c r="Q406" s="82" t="n"/>
      <c r="R406" s="82" t="n"/>
      <c r="S406" s="82" t="n"/>
      <c r="T406" s="82" t="n"/>
      <c r="U406" s="82" t="n"/>
      <c r="V406" s="82" t="n"/>
      <c r="W406" s="82" t="n"/>
      <c r="X406" s="82" t="n"/>
      <c r="Y406" s="82" t="n"/>
      <c r="Z406" s="82" t="n"/>
    </row>
    <row r="407" ht="15.75" customHeight="1" s="83">
      <c r="A407" s="82" t="n"/>
      <c r="B407" s="82" t="n"/>
      <c r="C407" s="82" t="n"/>
      <c r="D407" s="82" t="n"/>
      <c r="E407" s="81" t="n"/>
      <c r="F407" s="82" t="n"/>
      <c r="G407" s="82" t="n"/>
      <c r="H407" s="82" t="n"/>
      <c r="I407" s="82" t="n"/>
      <c r="J407" s="82" t="n"/>
      <c r="K407" s="82" t="n"/>
      <c r="L407" s="82" t="n"/>
      <c r="M407" s="82" t="n"/>
      <c r="N407" s="82" t="n"/>
      <c r="O407" s="82" t="n"/>
      <c r="P407" s="82" t="n"/>
      <c r="Q407" s="82" t="n"/>
      <c r="R407" s="82" t="n"/>
      <c r="S407" s="82" t="n"/>
      <c r="T407" s="82" t="n"/>
      <c r="U407" s="82" t="n"/>
      <c r="V407" s="82" t="n"/>
      <c r="W407" s="82" t="n"/>
      <c r="X407" s="82" t="n"/>
      <c r="Y407" s="82" t="n"/>
      <c r="Z407" s="82" t="n"/>
    </row>
    <row r="408" ht="15.75" customHeight="1" s="83">
      <c r="A408" s="82" t="n"/>
      <c r="B408" s="82" t="n"/>
      <c r="C408" s="82" t="n"/>
      <c r="D408" s="82" t="n"/>
      <c r="E408" s="81" t="n"/>
      <c r="F408" s="82" t="n"/>
      <c r="G408" s="82" t="n"/>
      <c r="H408" s="82" t="n"/>
      <c r="I408" s="82" t="n"/>
      <c r="J408" s="82" t="n"/>
      <c r="K408" s="82" t="n"/>
      <c r="L408" s="82" t="n"/>
      <c r="M408" s="82" t="n"/>
      <c r="N408" s="82" t="n"/>
      <c r="O408" s="82" t="n"/>
      <c r="P408" s="82" t="n"/>
      <c r="Q408" s="82" t="n"/>
      <c r="R408" s="82" t="n"/>
      <c r="S408" s="82" t="n"/>
      <c r="T408" s="82" t="n"/>
      <c r="U408" s="82" t="n"/>
      <c r="V408" s="82" t="n"/>
      <c r="W408" s="82" t="n"/>
      <c r="X408" s="82" t="n"/>
      <c r="Y408" s="82" t="n"/>
      <c r="Z408" s="82" t="n"/>
    </row>
    <row r="409" ht="15.75" customHeight="1" s="83">
      <c r="A409" s="82" t="n"/>
      <c r="B409" s="82" t="n"/>
      <c r="C409" s="82" t="n"/>
      <c r="D409" s="82" t="n"/>
      <c r="E409" s="81" t="n"/>
      <c r="F409" s="82" t="n"/>
      <c r="G409" s="82" t="n"/>
      <c r="H409" s="82" t="n"/>
      <c r="I409" s="82" t="n"/>
      <c r="J409" s="82" t="n"/>
      <c r="K409" s="82" t="n"/>
      <c r="L409" s="82" t="n"/>
      <c r="M409" s="82" t="n"/>
      <c r="N409" s="82" t="n"/>
      <c r="O409" s="82" t="n"/>
      <c r="P409" s="82" t="n"/>
      <c r="Q409" s="82" t="n"/>
      <c r="R409" s="82" t="n"/>
      <c r="S409" s="82" t="n"/>
      <c r="T409" s="82" t="n"/>
      <c r="U409" s="82" t="n"/>
      <c r="V409" s="82" t="n"/>
      <c r="W409" s="82" t="n"/>
      <c r="X409" s="82" t="n"/>
      <c r="Y409" s="82" t="n"/>
      <c r="Z409" s="82" t="n"/>
    </row>
    <row r="410" ht="15.75" customHeight="1" s="83">
      <c r="A410" s="82" t="n"/>
      <c r="B410" s="82" t="n"/>
      <c r="C410" s="82" t="n"/>
      <c r="D410" s="82" t="n"/>
      <c r="E410" s="81" t="n"/>
      <c r="F410" s="82" t="n"/>
      <c r="G410" s="82" t="n"/>
      <c r="H410" s="82" t="n"/>
      <c r="I410" s="82" t="n"/>
      <c r="J410" s="82" t="n"/>
      <c r="K410" s="82" t="n"/>
      <c r="L410" s="82" t="n"/>
      <c r="M410" s="82" t="n"/>
      <c r="N410" s="82" t="n"/>
      <c r="O410" s="82" t="n"/>
      <c r="P410" s="82" t="n"/>
      <c r="Q410" s="82" t="n"/>
      <c r="R410" s="82" t="n"/>
      <c r="S410" s="82" t="n"/>
      <c r="T410" s="82" t="n"/>
      <c r="U410" s="82" t="n"/>
      <c r="V410" s="82" t="n"/>
      <c r="W410" s="82" t="n"/>
      <c r="X410" s="82" t="n"/>
      <c r="Y410" s="82" t="n"/>
      <c r="Z410" s="82" t="n"/>
    </row>
    <row r="411" ht="15.75" customHeight="1" s="83">
      <c r="A411" s="82" t="n"/>
      <c r="B411" s="82" t="n"/>
      <c r="C411" s="82" t="n"/>
      <c r="D411" s="82" t="n"/>
      <c r="E411" s="81" t="n"/>
      <c r="F411" s="82" t="n"/>
      <c r="G411" s="82" t="n"/>
      <c r="H411" s="82" t="n"/>
      <c r="I411" s="82" t="n"/>
      <c r="J411" s="82" t="n"/>
      <c r="K411" s="82" t="n"/>
      <c r="L411" s="82" t="n"/>
      <c r="M411" s="82" t="n"/>
      <c r="N411" s="82" t="n"/>
      <c r="O411" s="82" t="n"/>
      <c r="P411" s="82" t="n"/>
      <c r="Q411" s="82" t="n"/>
      <c r="R411" s="82" t="n"/>
      <c r="S411" s="82" t="n"/>
      <c r="T411" s="82" t="n"/>
      <c r="U411" s="82" t="n"/>
      <c r="V411" s="82" t="n"/>
      <c r="W411" s="82" t="n"/>
      <c r="X411" s="82" t="n"/>
      <c r="Y411" s="82" t="n"/>
      <c r="Z411" s="82" t="n"/>
    </row>
    <row r="412" ht="15.75" customHeight="1" s="83">
      <c r="A412" s="82" t="n"/>
      <c r="B412" s="82" t="n"/>
      <c r="C412" s="82" t="n"/>
      <c r="D412" s="82" t="n"/>
      <c r="E412" s="81" t="n"/>
      <c r="F412" s="82" t="n"/>
      <c r="G412" s="82" t="n"/>
      <c r="H412" s="82" t="n"/>
      <c r="I412" s="82" t="n"/>
      <c r="J412" s="82" t="n"/>
      <c r="K412" s="82" t="n"/>
      <c r="L412" s="82" t="n"/>
      <c r="M412" s="82" t="n"/>
      <c r="N412" s="82" t="n"/>
      <c r="O412" s="82" t="n"/>
      <c r="P412" s="82" t="n"/>
      <c r="Q412" s="82" t="n"/>
      <c r="R412" s="82" t="n"/>
      <c r="S412" s="82" t="n"/>
      <c r="T412" s="82" t="n"/>
      <c r="U412" s="82" t="n"/>
      <c r="V412" s="82" t="n"/>
      <c r="W412" s="82" t="n"/>
      <c r="X412" s="82" t="n"/>
      <c r="Y412" s="82" t="n"/>
      <c r="Z412" s="82" t="n"/>
    </row>
    <row r="413" ht="15.75" customHeight="1" s="83">
      <c r="A413" s="82" t="n"/>
      <c r="B413" s="82" t="n"/>
      <c r="C413" s="82" t="n"/>
      <c r="D413" s="82" t="n"/>
      <c r="E413" s="81" t="n"/>
      <c r="F413" s="82" t="n"/>
      <c r="G413" s="82" t="n"/>
      <c r="H413" s="82" t="n"/>
      <c r="I413" s="82" t="n"/>
      <c r="J413" s="82" t="n"/>
      <c r="K413" s="82" t="n"/>
      <c r="L413" s="82" t="n"/>
      <c r="M413" s="82" t="n"/>
      <c r="N413" s="82" t="n"/>
      <c r="O413" s="82" t="n"/>
      <c r="P413" s="82" t="n"/>
      <c r="Q413" s="82" t="n"/>
      <c r="R413" s="82" t="n"/>
      <c r="S413" s="82" t="n"/>
      <c r="T413" s="82" t="n"/>
      <c r="U413" s="82" t="n"/>
      <c r="V413" s="82" t="n"/>
      <c r="W413" s="82" t="n"/>
      <c r="X413" s="82" t="n"/>
      <c r="Y413" s="82" t="n"/>
      <c r="Z413" s="82" t="n"/>
    </row>
    <row r="414" ht="15.75" customHeight="1" s="83">
      <c r="A414" s="82" t="n"/>
      <c r="B414" s="82" t="n"/>
      <c r="C414" s="82" t="n"/>
      <c r="D414" s="82" t="n"/>
      <c r="E414" s="81" t="n"/>
      <c r="F414" s="82" t="n"/>
      <c r="G414" s="82" t="n"/>
      <c r="H414" s="82" t="n"/>
      <c r="I414" s="82" t="n"/>
      <c r="J414" s="82" t="n"/>
      <c r="K414" s="82" t="n"/>
      <c r="L414" s="82" t="n"/>
      <c r="M414" s="82" t="n"/>
      <c r="N414" s="82" t="n"/>
      <c r="O414" s="82" t="n"/>
      <c r="P414" s="82" t="n"/>
      <c r="Q414" s="82" t="n"/>
      <c r="R414" s="82" t="n"/>
      <c r="S414" s="82" t="n"/>
      <c r="T414" s="82" t="n"/>
      <c r="U414" s="82" t="n"/>
      <c r="V414" s="82" t="n"/>
      <c r="W414" s="82" t="n"/>
      <c r="X414" s="82" t="n"/>
      <c r="Y414" s="82" t="n"/>
      <c r="Z414" s="82" t="n"/>
    </row>
    <row r="415" ht="15.75" customHeight="1" s="83">
      <c r="A415" s="82" t="n"/>
      <c r="B415" s="82" t="n"/>
      <c r="C415" s="82" t="n"/>
      <c r="D415" s="82" t="n"/>
      <c r="E415" s="81" t="n"/>
      <c r="F415" s="82" t="n"/>
      <c r="G415" s="82" t="n"/>
      <c r="H415" s="82" t="n"/>
      <c r="I415" s="82" t="n"/>
      <c r="J415" s="82" t="n"/>
      <c r="K415" s="82" t="n"/>
      <c r="L415" s="82" t="n"/>
      <c r="M415" s="82" t="n"/>
      <c r="N415" s="82" t="n"/>
      <c r="O415" s="82" t="n"/>
      <c r="P415" s="82" t="n"/>
      <c r="Q415" s="82" t="n"/>
      <c r="R415" s="82" t="n"/>
      <c r="S415" s="82" t="n"/>
      <c r="T415" s="82" t="n"/>
      <c r="U415" s="82" t="n"/>
      <c r="V415" s="82" t="n"/>
      <c r="W415" s="82" t="n"/>
      <c r="X415" s="82" t="n"/>
      <c r="Y415" s="82" t="n"/>
      <c r="Z415" s="82" t="n"/>
    </row>
    <row r="416" ht="15.75" customHeight="1" s="83">
      <c r="A416" s="82" t="n"/>
      <c r="B416" s="82" t="n"/>
      <c r="C416" s="82" t="n"/>
      <c r="D416" s="82" t="n"/>
      <c r="E416" s="81" t="n"/>
      <c r="F416" s="82" t="n"/>
      <c r="G416" s="82" t="n"/>
      <c r="H416" s="82" t="n"/>
      <c r="I416" s="82" t="n"/>
      <c r="J416" s="82" t="n"/>
      <c r="K416" s="82" t="n"/>
      <c r="L416" s="82" t="n"/>
      <c r="M416" s="82" t="n"/>
      <c r="N416" s="82" t="n"/>
      <c r="O416" s="82" t="n"/>
      <c r="P416" s="82" t="n"/>
      <c r="Q416" s="82" t="n"/>
      <c r="R416" s="82" t="n"/>
      <c r="S416" s="82" t="n"/>
      <c r="T416" s="82" t="n"/>
      <c r="U416" s="82" t="n"/>
      <c r="V416" s="82" t="n"/>
      <c r="W416" s="82" t="n"/>
      <c r="X416" s="82" t="n"/>
      <c r="Y416" s="82" t="n"/>
      <c r="Z416" s="82" t="n"/>
    </row>
    <row r="417" ht="15.75" customHeight="1" s="83">
      <c r="A417" s="82" t="n"/>
      <c r="B417" s="82" t="n"/>
      <c r="C417" s="82" t="n"/>
      <c r="D417" s="82" t="n"/>
      <c r="E417" s="81" t="n"/>
      <c r="F417" s="82" t="n"/>
      <c r="G417" s="82" t="n"/>
      <c r="H417" s="82" t="n"/>
      <c r="I417" s="82" t="n"/>
      <c r="J417" s="82" t="n"/>
      <c r="K417" s="82" t="n"/>
      <c r="L417" s="82" t="n"/>
      <c r="M417" s="82" t="n"/>
      <c r="N417" s="82" t="n"/>
      <c r="O417" s="82" t="n"/>
      <c r="P417" s="82" t="n"/>
      <c r="Q417" s="82" t="n"/>
      <c r="R417" s="82" t="n"/>
      <c r="S417" s="82" t="n"/>
      <c r="T417" s="82" t="n"/>
      <c r="U417" s="82" t="n"/>
      <c r="V417" s="82" t="n"/>
      <c r="W417" s="82" t="n"/>
      <c r="X417" s="82" t="n"/>
      <c r="Y417" s="82" t="n"/>
      <c r="Z417" s="82" t="n"/>
    </row>
    <row r="418" ht="15.75" customHeight="1" s="83">
      <c r="A418" s="82" t="n"/>
      <c r="B418" s="82" t="n"/>
      <c r="C418" s="82" t="n"/>
      <c r="D418" s="82" t="n"/>
      <c r="E418" s="81" t="n"/>
      <c r="F418" s="82" t="n"/>
      <c r="G418" s="82" t="n"/>
      <c r="H418" s="82" t="n"/>
      <c r="I418" s="82" t="n"/>
      <c r="J418" s="82" t="n"/>
      <c r="K418" s="82" t="n"/>
      <c r="L418" s="82" t="n"/>
      <c r="M418" s="82" t="n"/>
      <c r="N418" s="82" t="n"/>
      <c r="O418" s="82" t="n"/>
      <c r="P418" s="82" t="n"/>
      <c r="Q418" s="82" t="n"/>
      <c r="R418" s="82" t="n"/>
      <c r="S418" s="82" t="n"/>
      <c r="T418" s="82" t="n"/>
      <c r="U418" s="82" t="n"/>
      <c r="V418" s="82" t="n"/>
      <c r="W418" s="82" t="n"/>
      <c r="X418" s="82" t="n"/>
      <c r="Y418" s="82" t="n"/>
      <c r="Z418" s="82" t="n"/>
    </row>
    <row r="419" ht="15.75" customHeight="1" s="83">
      <c r="A419" s="82" t="n"/>
      <c r="B419" s="82" t="n"/>
      <c r="C419" s="82" t="n"/>
      <c r="D419" s="82" t="n"/>
      <c r="E419" s="81" t="n"/>
      <c r="F419" s="82" t="n"/>
      <c r="G419" s="82" t="n"/>
      <c r="H419" s="82" t="n"/>
      <c r="I419" s="82" t="n"/>
      <c r="J419" s="82" t="n"/>
      <c r="K419" s="82" t="n"/>
      <c r="L419" s="82" t="n"/>
      <c r="M419" s="82" t="n"/>
      <c r="N419" s="82" t="n"/>
      <c r="O419" s="82" t="n"/>
      <c r="P419" s="82" t="n"/>
      <c r="Q419" s="82" t="n"/>
      <c r="R419" s="82" t="n"/>
      <c r="S419" s="82" t="n"/>
      <c r="T419" s="82" t="n"/>
      <c r="U419" s="82" t="n"/>
      <c r="V419" s="82" t="n"/>
      <c r="W419" s="82" t="n"/>
      <c r="X419" s="82" t="n"/>
      <c r="Y419" s="82" t="n"/>
      <c r="Z419" s="82" t="n"/>
    </row>
    <row r="420" ht="15.75" customHeight="1" s="83">
      <c r="A420" s="82" t="n"/>
      <c r="B420" s="82" t="n"/>
      <c r="C420" s="82" t="n"/>
      <c r="D420" s="82" t="n"/>
      <c r="E420" s="81" t="n"/>
      <c r="F420" s="82" t="n"/>
      <c r="G420" s="82" t="n"/>
      <c r="H420" s="82" t="n"/>
      <c r="I420" s="82" t="n"/>
      <c r="J420" s="82" t="n"/>
      <c r="K420" s="82" t="n"/>
      <c r="L420" s="82" t="n"/>
      <c r="M420" s="82" t="n"/>
      <c r="N420" s="82" t="n"/>
      <c r="O420" s="82" t="n"/>
      <c r="P420" s="82" t="n"/>
      <c r="Q420" s="82" t="n"/>
      <c r="R420" s="82" t="n"/>
      <c r="S420" s="82" t="n"/>
      <c r="T420" s="82" t="n"/>
      <c r="U420" s="82" t="n"/>
      <c r="V420" s="82" t="n"/>
      <c r="W420" s="82" t="n"/>
      <c r="X420" s="82" t="n"/>
      <c r="Y420" s="82" t="n"/>
      <c r="Z420" s="82" t="n"/>
    </row>
    <row r="421" ht="15.75" customHeight="1" s="83">
      <c r="A421" s="82" t="n"/>
      <c r="B421" s="82" t="n"/>
      <c r="C421" s="82" t="n"/>
      <c r="D421" s="82" t="n"/>
      <c r="E421" s="81" t="n"/>
      <c r="F421" s="82" t="n"/>
      <c r="G421" s="82" t="n"/>
      <c r="H421" s="82" t="n"/>
      <c r="I421" s="82" t="n"/>
      <c r="J421" s="82" t="n"/>
      <c r="K421" s="82" t="n"/>
      <c r="L421" s="82" t="n"/>
      <c r="M421" s="82" t="n"/>
      <c r="N421" s="82" t="n"/>
      <c r="O421" s="82" t="n"/>
      <c r="P421" s="82" t="n"/>
      <c r="Q421" s="82" t="n"/>
      <c r="R421" s="82" t="n"/>
      <c r="S421" s="82" t="n"/>
      <c r="T421" s="82" t="n"/>
      <c r="U421" s="82" t="n"/>
      <c r="V421" s="82" t="n"/>
      <c r="W421" s="82" t="n"/>
      <c r="X421" s="82" t="n"/>
      <c r="Y421" s="82" t="n"/>
      <c r="Z421" s="82" t="n"/>
    </row>
    <row r="422" ht="15.75" customHeight="1" s="83">
      <c r="A422" s="82" t="n"/>
      <c r="B422" s="82" t="n"/>
      <c r="C422" s="82" t="n"/>
      <c r="D422" s="82" t="n"/>
      <c r="E422" s="81" t="n"/>
      <c r="F422" s="82" t="n"/>
      <c r="G422" s="82" t="n"/>
      <c r="H422" s="82" t="n"/>
      <c r="I422" s="82" t="n"/>
      <c r="J422" s="82" t="n"/>
      <c r="K422" s="82" t="n"/>
      <c r="L422" s="82" t="n"/>
      <c r="M422" s="82" t="n"/>
      <c r="N422" s="82" t="n"/>
      <c r="O422" s="82" t="n"/>
      <c r="P422" s="82" t="n"/>
      <c r="Q422" s="82" t="n"/>
      <c r="R422" s="82" t="n"/>
      <c r="S422" s="82" t="n"/>
      <c r="T422" s="82" t="n"/>
      <c r="U422" s="82" t="n"/>
      <c r="V422" s="82" t="n"/>
      <c r="W422" s="82" t="n"/>
      <c r="X422" s="82" t="n"/>
      <c r="Y422" s="82" t="n"/>
      <c r="Z422" s="82" t="n"/>
    </row>
    <row r="423" ht="15.75" customHeight="1" s="83">
      <c r="A423" s="82" t="n"/>
      <c r="B423" s="82" t="n"/>
      <c r="C423" s="82" t="n"/>
      <c r="D423" s="82" t="n"/>
      <c r="E423" s="81" t="n"/>
      <c r="F423" s="82" t="n"/>
      <c r="G423" s="82" t="n"/>
      <c r="H423" s="82" t="n"/>
      <c r="I423" s="82" t="n"/>
      <c r="J423" s="82" t="n"/>
      <c r="K423" s="82" t="n"/>
      <c r="L423" s="82" t="n"/>
      <c r="M423" s="82" t="n"/>
      <c r="N423" s="82" t="n"/>
      <c r="O423" s="82" t="n"/>
      <c r="P423" s="82" t="n"/>
      <c r="Q423" s="82" t="n"/>
      <c r="R423" s="82" t="n"/>
      <c r="S423" s="82" t="n"/>
      <c r="T423" s="82" t="n"/>
      <c r="U423" s="82" t="n"/>
      <c r="V423" s="82" t="n"/>
      <c r="W423" s="82" t="n"/>
      <c r="X423" s="82" t="n"/>
      <c r="Y423" s="82" t="n"/>
      <c r="Z423" s="82" t="n"/>
    </row>
    <row r="424" ht="15.75" customHeight="1" s="83">
      <c r="A424" s="82" t="n"/>
      <c r="B424" s="82" t="n"/>
      <c r="C424" s="82" t="n"/>
      <c r="D424" s="82" t="n"/>
      <c r="E424" s="81" t="n"/>
      <c r="F424" s="82" t="n"/>
      <c r="G424" s="82" t="n"/>
      <c r="H424" s="82" t="n"/>
      <c r="I424" s="82" t="n"/>
      <c r="J424" s="82" t="n"/>
      <c r="K424" s="82" t="n"/>
      <c r="L424" s="82" t="n"/>
      <c r="M424" s="82" t="n"/>
      <c r="N424" s="82" t="n"/>
      <c r="O424" s="82" t="n"/>
      <c r="P424" s="82" t="n"/>
      <c r="Q424" s="82" t="n"/>
      <c r="R424" s="82" t="n"/>
      <c r="S424" s="82" t="n"/>
      <c r="T424" s="82" t="n"/>
      <c r="U424" s="82" t="n"/>
      <c r="V424" s="82" t="n"/>
      <c r="W424" s="82" t="n"/>
      <c r="X424" s="82" t="n"/>
      <c r="Y424" s="82" t="n"/>
      <c r="Z424" s="82" t="n"/>
    </row>
    <row r="425" ht="15.75" customHeight="1" s="83">
      <c r="A425" s="82" t="n"/>
      <c r="B425" s="82" t="n"/>
      <c r="C425" s="82" t="n"/>
      <c r="D425" s="82" t="n"/>
      <c r="E425" s="81" t="n"/>
      <c r="F425" s="82" t="n"/>
      <c r="G425" s="82" t="n"/>
      <c r="H425" s="82" t="n"/>
      <c r="I425" s="82" t="n"/>
      <c r="J425" s="82" t="n"/>
      <c r="K425" s="82" t="n"/>
      <c r="L425" s="82" t="n"/>
      <c r="M425" s="82" t="n"/>
      <c r="N425" s="82" t="n"/>
      <c r="O425" s="82" t="n"/>
      <c r="P425" s="82" t="n"/>
      <c r="Q425" s="82" t="n"/>
      <c r="R425" s="82" t="n"/>
      <c r="S425" s="82" t="n"/>
      <c r="T425" s="82" t="n"/>
      <c r="U425" s="82" t="n"/>
      <c r="V425" s="82" t="n"/>
      <c r="W425" s="82" t="n"/>
      <c r="X425" s="82" t="n"/>
      <c r="Y425" s="82" t="n"/>
      <c r="Z425" s="82" t="n"/>
    </row>
    <row r="426" ht="15.75" customHeight="1" s="83">
      <c r="A426" s="82" t="n"/>
      <c r="B426" s="82" t="n"/>
      <c r="C426" s="82" t="n"/>
      <c r="D426" s="82" t="n"/>
      <c r="E426" s="81" t="n"/>
      <c r="F426" s="82" t="n"/>
      <c r="G426" s="82" t="n"/>
      <c r="H426" s="82" t="n"/>
      <c r="I426" s="82" t="n"/>
      <c r="J426" s="82" t="n"/>
      <c r="K426" s="82" t="n"/>
      <c r="L426" s="82" t="n"/>
      <c r="M426" s="82" t="n"/>
      <c r="N426" s="82" t="n"/>
      <c r="O426" s="82" t="n"/>
      <c r="P426" s="82" t="n"/>
      <c r="Q426" s="82" t="n"/>
      <c r="R426" s="82" t="n"/>
      <c r="S426" s="82" t="n"/>
      <c r="T426" s="82" t="n"/>
      <c r="U426" s="82" t="n"/>
      <c r="V426" s="82" t="n"/>
      <c r="W426" s="82" t="n"/>
      <c r="X426" s="82" t="n"/>
      <c r="Y426" s="82" t="n"/>
      <c r="Z426" s="82" t="n"/>
    </row>
    <row r="427" ht="15.75" customHeight="1" s="83">
      <c r="A427" s="82" t="n"/>
      <c r="B427" s="82" t="n"/>
      <c r="C427" s="82" t="n"/>
      <c r="D427" s="82" t="n"/>
      <c r="E427" s="81" t="n"/>
      <c r="F427" s="82" t="n"/>
      <c r="G427" s="82" t="n"/>
      <c r="H427" s="82" t="n"/>
      <c r="I427" s="82" t="n"/>
      <c r="J427" s="82" t="n"/>
      <c r="K427" s="82" t="n"/>
      <c r="L427" s="82" t="n"/>
      <c r="M427" s="82" t="n"/>
      <c r="N427" s="82" t="n"/>
      <c r="O427" s="82" t="n"/>
      <c r="P427" s="82" t="n"/>
      <c r="Q427" s="82" t="n"/>
      <c r="R427" s="82" t="n"/>
      <c r="S427" s="82" t="n"/>
      <c r="T427" s="82" t="n"/>
      <c r="U427" s="82" t="n"/>
      <c r="V427" s="82" t="n"/>
      <c r="W427" s="82" t="n"/>
      <c r="X427" s="82" t="n"/>
      <c r="Y427" s="82" t="n"/>
      <c r="Z427" s="82" t="n"/>
    </row>
    <row r="428" ht="15.75" customHeight="1" s="83">
      <c r="A428" s="82" t="n"/>
      <c r="B428" s="82" t="n"/>
      <c r="C428" s="82" t="n"/>
      <c r="D428" s="82" t="n"/>
      <c r="E428" s="81" t="n"/>
      <c r="F428" s="82" t="n"/>
      <c r="G428" s="82" t="n"/>
      <c r="H428" s="82" t="n"/>
      <c r="I428" s="82" t="n"/>
      <c r="J428" s="82" t="n"/>
      <c r="K428" s="82" t="n"/>
      <c r="L428" s="82" t="n"/>
      <c r="M428" s="82" t="n"/>
      <c r="N428" s="82" t="n"/>
      <c r="O428" s="82" t="n"/>
      <c r="P428" s="82" t="n"/>
      <c r="Q428" s="82" t="n"/>
      <c r="R428" s="82" t="n"/>
      <c r="S428" s="82" t="n"/>
      <c r="T428" s="82" t="n"/>
      <c r="U428" s="82" t="n"/>
      <c r="V428" s="82" t="n"/>
      <c r="W428" s="82" t="n"/>
      <c r="X428" s="82" t="n"/>
      <c r="Y428" s="82" t="n"/>
      <c r="Z428" s="82" t="n"/>
    </row>
    <row r="429" ht="15.75" customHeight="1" s="83">
      <c r="A429" s="82" t="n"/>
      <c r="B429" s="82" t="n"/>
      <c r="C429" s="82" t="n"/>
      <c r="D429" s="82" t="n"/>
      <c r="E429" s="81" t="n"/>
      <c r="F429" s="82" t="n"/>
      <c r="G429" s="82" t="n"/>
      <c r="H429" s="82" t="n"/>
      <c r="I429" s="82" t="n"/>
      <c r="J429" s="82" t="n"/>
      <c r="K429" s="82" t="n"/>
      <c r="L429" s="82" t="n"/>
      <c r="M429" s="82" t="n"/>
      <c r="N429" s="82" t="n"/>
      <c r="O429" s="82" t="n"/>
      <c r="P429" s="82" t="n"/>
      <c r="Q429" s="82" t="n"/>
      <c r="R429" s="82" t="n"/>
      <c r="S429" s="82" t="n"/>
      <c r="T429" s="82" t="n"/>
      <c r="U429" s="82" t="n"/>
      <c r="V429" s="82" t="n"/>
      <c r="W429" s="82" t="n"/>
      <c r="X429" s="82" t="n"/>
      <c r="Y429" s="82" t="n"/>
      <c r="Z429" s="82" t="n"/>
    </row>
    <row r="430" ht="15.75" customHeight="1" s="83">
      <c r="A430" s="82" t="n"/>
      <c r="B430" s="82" t="n"/>
      <c r="C430" s="82" t="n"/>
      <c r="D430" s="82" t="n"/>
      <c r="E430" s="81" t="n"/>
      <c r="F430" s="82" t="n"/>
      <c r="G430" s="82" t="n"/>
      <c r="H430" s="82" t="n"/>
      <c r="I430" s="82" t="n"/>
      <c r="J430" s="82" t="n"/>
      <c r="K430" s="82" t="n"/>
      <c r="L430" s="82" t="n"/>
      <c r="M430" s="82" t="n"/>
      <c r="N430" s="82" t="n"/>
      <c r="O430" s="82" t="n"/>
      <c r="P430" s="82" t="n"/>
      <c r="Q430" s="82" t="n"/>
      <c r="R430" s="82" t="n"/>
      <c r="S430" s="82" t="n"/>
      <c r="T430" s="82" t="n"/>
      <c r="U430" s="82" t="n"/>
      <c r="V430" s="82" t="n"/>
      <c r="W430" s="82" t="n"/>
      <c r="X430" s="82" t="n"/>
      <c r="Y430" s="82" t="n"/>
      <c r="Z430" s="82" t="n"/>
    </row>
    <row r="431" ht="15.75" customHeight="1" s="83">
      <c r="A431" s="82" t="n"/>
      <c r="B431" s="82" t="n"/>
      <c r="C431" s="82" t="n"/>
      <c r="D431" s="82" t="n"/>
      <c r="E431" s="81" t="n"/>
      <c r="F431" s="82" t="n"/>
      <c r="G431" s="82" t="n"/>
      <c r="H431" s="82" t="n"/>
      <c r="I431" s="82" t="n"/>
      <c r="J431" s="82" t="n"/>
      <c r="K431" s="82" t="n"/>
      <c r="L431" s="82" t="n"/>
      <c r="M431" s="82" t="n"/>
      <c r="N431" s="82" t="n"/>
      <c r="O431" s="82" t="n"/>
      <c r="P431" s="82" t="n"/>
      <c r="Q431" s="82" t="n"/>
      <c r="R431" s="82" t="n"/>
      <c r="S431" s="82" t="n"/>
      <c r="T431" s="82" t="n"/>
      <c r="U431" s="82" t="n"/>
      <c r="V431" s="82" t="n"/>
      <c r="W431" s="82" t="n"/>
      <c r="X431" s="82" t="n"/>
      <c r="Y431" s="82" t="n"/>
      <c r="Z431" s="82" t="n"/>
    </row>
    <row r="432" ht="15.75" customHeight="1" s="83">
      <c r="A432" s="82" t="n"/>
      <c r="B432" s="82" t="n"/>
      <c r="C432" s="82" t="n"/>
      <c r="D432" s="82" t="n"/>
      <c r="E432" s="81" t="n"/>
      <c r="F432" s="82" t="n"/>
      <c r="G432" s="82" t="n"/>
      <c r="H432" s="82" t="n"/>
      <c r="I432" s="82" t="n"/>
      <c r="J432" s="82" t="n"/>
      <c r="K432" s="82" t="n"/>
      <c r="L432" s="82" t="n"/>
      <c r="M432" s="82" t="n"/>
      <c r="N432" s="82" t="n"/>
      <c r="O432" s="82" t="n"/>
      <c r="P432" s="82" t="n"/>
      <c r="Q432" s="82" t="n"/>
      <c r="R432" s="82" t="n"/>
      <c r="S432" s="82" t="n"/>
      <c r="T432" s="82" t="n"/>
      <c r="U432" s="82" t="n"/>
      <c r="V432" s="82" t="n"/>
      <c r="W432" s="82" t="n"/>
      <c r="X432" s="82" t="n"/>
      <c r="Y432" s="82" t="n"/>
      <c r="Z432" s="82" t="n"/>
    </row>
    <row r="433" ht="15.75" customHeight="1" s="83">
      <c r="A433" s="82" t="n"/>
      <c r="B433" s="82" t="n"/>
      <c r="C433" s="82" t="n"/>
      <c r="D433" s="82" t="n"/>
      <c r="E433" s="81" t="n"/>
      <c r="F433" s="82" t="n"/>
      <c r="G433" s="82" t="n"/>
      <c r="H433" s="82" t="n"/>
      <c r="I433" s="82" t="n"/>
      <c r="J433" s="82" t="n"/>
      <c r="K433" s="82" t="n"/>
      <c r="L433" s="82" t="n"/>
      <c r="M433" s="82" t="n"/>
      <c r="N433" s="82" t="n"/>
      <c r="O433" s="82" t="n"/>
      <c r="P433" s="82" t="n"/>
      <c r="Q433" s="82" t="n"/>
      <c r="R433" s="82" t="n"/>
      <c r="S433" s="82" t="n"/>
      <c r="T433" s="82" t="n"/>
      <c r="U433" s="82" t="n"/>
      <c r="V433" s="82" t="n"/>
      <c r="W433" s="82" t="n"/>
      <c r="X433" s="82" t="n"/>
      <c r="Y433" s="82" t="n"/>
      <c r="Z433" s="82" t="n"/>
    </row>
    <row r="434" ht="15.75" customHeight="1" s="83">
      <c r="A434" s="82" t="n"/>
      <c r="B434" s="82" t="n"/>
      <c r="C434" s="82" t="n"/>
      <c r="D434" s="82" t="n"/>
      <c r="E434" s="81" t="n"/>
      <c r="F434" s="82" t="n"/>
      <c r="G434" s="82" t="n"/>
      <c r="H434" s="82" t="n"/>
      <c r="I434" s="82" t="n"/>
      <c r="J434" s="82" t="n"/>
      <c r="K434" s="82" t="n"/>
      <c r="L434" s="82" t="n"/>
      <c r="M434" s="82" t="n"/>
      <c r="N434" s="82" t="n"/>
      <c r="O434" s="82" t="n"/>
      <c r="P434" s="82" t="n"/>
      <c r="Q434" s="82" t="n"/>
      <c r="R434" s="82" t="n"/>
      <c r="S434" s="82" t="n"/>
      <c r="T434" s="82" t="n"/>
      <c r="U434" s="82" t="n"/>
      <c r="V434" s="82" t="n"/>
      <c r="W434" s="82" t="n"/>
      <c r="X434" s="82" t="n"/>
      <c r="Y434" s="82" t="n"/>
      <c r="Z434" s="82" t="n"/>
    </row>
    <row r="435" ht="15.75" customHeight="1" s="83">
      <c r="A435" s="82" t="n"/>
      <c r="B435" s="82" t="n"/>
      <c r="C435" s="82" t="n"/>
      <c r="D435" s="82" t="n"/>
      <c r="E435" s="81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  <c r="P435" s="82" t="n"/>
      <c r="Q435" s="82" t="n"/>
      <c r="R435" s="82" t="n"/>
      <c r="S435" s="82" t="n"/>
      <c r="T435" s="82" t="n"/>
      <c r="U435" s="82" t="n"/>
      <c r="V435" s="82" t="n"/>
      <c r="W435" s="82" t="n"/>
      <c r="X435" s="82" t="n"/>
      <c r="Y435" s="82" t="n"/>
      <c r="Z435" s="82" t="n"/>
    </row>
    <row r="436" ht="15.75" customHeight="1" s="83">
      <c r="A436" s="82" t="n"/>
      <c r="B436" s="82" t="n"/>
      <c r="C436" s="82" t="n"/>
      <c r="D436" s="82" t="n"/>
      <c r="E436" s="81" t="n"/>
      <c r="F436" s="82" t="n"/>
      <c r="G436" s="82" t="n"/>
      <c r="H436" s="82" t="n"/>
      <c r="I436" s="82" t="n"/>
      <c r="J436" s="82" t="n"/>
      <c r="K436" s="82" t="n"/>
      <c r="L436" s="82" t="n"/>
      <c r="M436" s="82" t="n"/>
      <c r="N436" s="82" t="n"/>
      <c r="O436" s="82" t="n"/>
      <c r="P436" s="82" t="n"/>
      <c r="Q436" s="82" t="n"/>
      <c r="R436" s="82" t="n"/>
      <c r="S436" s="82" t="n"/>
      <c r="T436" s="82" t="n"/>
      <c r="U436" s="82" t="n"/>
      <c r="V436" s="82" t="n"/>
      <c r="W436" s="82" t="n"/>
      <c r="X436" s="82" t="n"/>
      <c r="Y436" s="82" t="n"/>
      <c r="Z436" s="82" t="n"/>
    </row>
    <row r="437" ht="15.75" customHeight="1" s="83">
      <c r="A437" s="82" t="n"/>
      <c r="B437" s="82" t="n"/>
      <c r="C437" s="82" t="n"/>
      <c r="D437" s="82" t="n"/>
      <c r="E437" s="81" t="n"/>
      <c r="F437" s="82" t="n"/>
      <c r="G437" s="82" t="n"/>
      <c r="H437" s="82" t="n"/>
      <c r="I437" s="82" t="n"/>
      <c r="J437" s="82" t="n"/>
      <c r="K437" s="82" t="n"/>
      <c r="L437" s="82" t="n"/>
      <c r="M437" s="82" t="n"/>
      <c r="N437" s="82" t="n"/>
      <c r="O437" s="82" t="n"/>
      <c r="P437" s="82" t="n"/>
      <c r="Q437" s="82" t="n"/>
      <c r="R437" s="82" t="n"/>
      <c r="S437" s="82" t="n"/>
      <c r="T437" s="82" t="n"/>
      <c r="U437" s="82" t="n"/>
      <c r="V437" s="82" t="n"/>
      <c r="W437" s="82" t="n"/>
      <c r="X437" s="82" t="n"/>
      <c r="Y437" s="82" t="n"/>
      <c r="Z437" s="82" t="n"/>
    </row>
    <row r="438" ht="15.75" customHeight="1" s="83">
      <c r="A438" s="82" t="n"/>
      <c r="B438" s="82" t="n"/>
      <c r="C438" s="82" t="n"/>
      <c r="D438" s="82" t="n"/>
      <c r="E438" s="81" t="n"/>
      <c r="F438" s="82" t="n"/>
      <c r="G438" s="82" t="n"/>
      <c r="H438" s="82" t="n"/>
      <c r="I438" s="82" t="n"/>
      <c r="J438" s="82" t="n"/>
      <c r="K438" s="82" t="n"/>
      <c r="L438" s="82" t="n"/>
      <c r="M438" s="82" t="n"/>
      <c r="N438" s="82" t="n"/>
      <c r="O438" s="82" t="n"/>
      <c r="P438" s="82" t="n"/>
      <c r="Q438" s="82" t="n"/>
      <c r="R438" s="82" t="n"/>
      <c r="S438" s="82" t="n"/>
      <c r="T438" s="82" t="n"/>
      <c r="U438" s="82" t="n"/>
      <c r="V438" s="82" t="n"/>
      <c r="W438" s="82" t="n"/>
      <c r="X438" s="82" t="n"/>
      <c r="Y438" s="82" t="n"/>
      <c r="Z438" s="82" t="n"/>
    </row>
    <row r="439" ht="15.75" customHeight="1" s="83">
      <c r="A439" s="82" t="n"/>
      <c r="B439" s="82" t="n"/>
      <c r="C439" s="82" t="n"/>
      <c r="D439" s="82" t="n"/>
      <c r="E439" s="81" t="n"/>
      <c r="F439" s="82" t="n"/>
      <c r="G439" s="82" t="n"/>
      <c r="H439" s="82" t="n"/>
      <c r="I439" s="82" t="n"/>
      <c r="J439" s="82" t="n"/>
      <c r="K439" s="82" t="n"/>
      <c r="L439" s="82" t="n"/>
      <c r="M439" s="82" t="n"/>
      <c r="N439" s="82" t="n"/>
      <c r="O439" s="82" t="n"/>
      <c r="P439" s="82" t="n"/>
      <c r="Q439" s="82" t="n"/>
      <c r="R439" s="82" t="n"/>
      <c r="S439" s="82" t="n"/>
      <c r="T439" s="82" t="n"/>
      <c r="U439" s="82" t="n"/>
      <c r="V439" s="82" t="n"/>
      <c r="W439" s="82" t="n"/>
      <c r="X439" s="82" t="n"/>
      <c r="Y439" s="82" t="n"/>
      <c r="Z439" s="82" t="n"/>
    </row>
    <row r="440" ht="15.75" customHeight="1" s="83">
      <c r="A440" s="82" t="n"/>
      <c r="B440" s="82" t="n"/>
      <c r="C440" s="82" t="n"/>
      <c r="D440" s="82" t="n"/>
      <c r="E440" s="81" t="n"/>
      <c r="F440" s="82" t="n"/>
      <c r="G440" s="82" t="n"/>
      <c r="H440" s="82" t="n"/>
      <c r="I440" s="82" t="n"/>
      <c r="J440" s="82" t="n"/>
      <c r="K440" s="82" t="n"/>
      <c r="L440" s="82" t="n"/>
      <c r="M440" s="82" t="n"/>
      <c r="N440" s="82" t="n"/>
      <c r="O440" s="82" t="n"/>
      <c r="P440" s="82" t="n"/>
      <c r="Q440" s="82" t="n"/>
      <c r="R440" s="82" t="n"/>
      <c r="S440" s="82" t="n"/>
      <c r="T440" s="82" t="n"/>
      <c r="U440" s="82" t="n"/>
      <c r="V440" s="82" t="n"/>
      <c r="W440" s="82" t="n"/>
      <c r="X440" s="82" t="n"/>
      <c r="Y440" s="82" t="n"/>
      <c r="Z440" s="82" t="n"/>
    </row>
    <row r="441" ht="15.75" customHeight="1" s="83">
      <c r="A441" s="82" t="n"/>
      <c r="B441" s="82" t="n"/>
      <c r="C441" s="82" t="n"/>
      <c r="D441" s="82" t="n"/>
      <c r="E441" s="81" t="n"/>
      <c r="F441" s="82" t="n"/>
      <c r="G441" s="82" t="n"/>
      <c r="H441" s="82" t="n"/>
      <c r="I441" s="82" t="n"/>
      <c r="J441" s="82" t="n"/>
      <c r="K441" s="82" t="n"/>
      <c r="L441" s="82" t="n"/>
      <c r="M441" s="82" t="n"/>
      <c r="N441" s="82" t="n"/>
      <c r="O441" s="82" t="n"/>
      <c r="P441" s="82" t="n"/>
      <c r="Q441" s="82" t="n"/>
      <c r="R441" s="82" t="n"/>
      <c r="S441" s="82" t="n"/>
      <c r="T441" s="82" t="n"/>
      <c r="U441" s="82" t="n"/>
      <c r="V441" s="82" t="n"/>
      <c r="W441" s="82" t="n"/>
      <c r="X441" s="82" t="n"/>
      <c r="Y441" s="82" t="n"/>
      <c r="Z441" s="82" t="n"/>
    </row>
    <row r="442" ht="15.75" customHeight="1" s="83">
      <c r="A442" s="82" t="n"/>
      <c r="B442" s="82" t="n"/>
      <c r="C442" s="82" t="n"/>
      <c r="D442" s="82" t="n"/>
      <c r="E442" s="81" t="n"/>
      <c r="F442" s="82" t="n"/>
      <c r="G442" s="82" t="n"/>
      <c r="H442" s="82" t="n"/>
      <c r="I442" s="82" t="n"/>
      <c r="J442" s="82" t="n"/>
      <c r="K442" s="82" t="n"/>
      <c r="L442" s="82" t="n"/>
      <c r="M442" s="82" t="n"/>
      <c r="N442" s="82" t="n"/>
      <c r="O442" s="82" t="n"/>
      <c r="P442" s="82" t="n"/>
      <c r="Q442" s="82" t="n"/>
      <c r="R442" s="82" t="n"/>
      <c r="S442" s="82" t="n"/>
      <c r="T442" s="82" t="n"/>
      <c r="U442" s="82" t="n"/>
      <c r="V442" s="82" t="n"/>
      <c r="W442" s="82" t="n"/>
      <c r="X442" s="82" t="n"/>
      <c r="Y442" s="82" t="n"/>
      <c r="Z442" s="82" t="n"/>
    </row>
    <row r="443" ht="15.75" customHeight="1" s="83">
      <c r="A443" s="82" t="n"/>
      <c r="B443" s="82" t="n"/>
      <c r="C443" s="82" t="n"/>
      <c r="D443" s="82" t="n"/>
      <c r="E443" s="81" t="n"/>
      <c r="F443" s="82" t="n"/>
      <c r="G443" s="82" t="n"/>
      <c r="H443" s="82" t="n"/>
      <c r="I443" s="82" t="n"/>
      <c r="J443" s="82" t="n"/>
      <c r="K443" s="82" t="n"/>
      <c r="L443" s="82" t="n"/>
      <c r="M443" s="82" t="n"/>
      <c r="N443" s="82" t="n"/>
      <c r="O443" s="82" t="n"/>
      <c r="P443" s="82" t="n"/>
      <c r="Q443" s="82" t="n"/>
      <c r="R443" s="82" t="n"/>
      <c r="S443" s="82" t="n"/>
      <c r="T443" s="82" t="n"/>
      <c r="U443" s="82" t="n"/>
      <c r="V443" s="82" t="n"/>
      <c r="W443" s="82" t="n"/>
      <c r="X443" s="82" t="n"/>
      <c r="Y443" s="82" t="n"/>
      <c r="Z443" s="82" t="n"/>
    </row>
    <row r="444" ht="15.75" customHeight="1" s="83">
      <c r="A444" s="82" t="n"/>
      <c r="B444" s="82" t="n"/>
      <c r="C444" s="82" t="n"/>
      <c r="D444" s="82" t="n"/>
      <c r="E444" s="81" t="n"/>
      <c r="F444" s="82" t="n"/>
      <c r="G444" s="82" t="n"/>
      <c r="H444" s="82" t="n"/>
      <c r="I444" s="82" t="n"/>
      <c r="J444" s="82" t="n"/>
      <c r="K444" s="82" t="n"/>
      <c r="L444" s="82" t="n"/>
      <c r="M444" s="82" t="n"/>
      <c r="N444" s="82" t="n"/>
      <c r="O444" s="82" t="n"/>
      <c r="P444" s="82" t="n"/>
      <c r="Q444" s="82" t="n"/>
      <c r="R444" s="82" t="n"/>
      <c r="S444" s="82" t="n"/>
      <c r="T444" s="82" t="n"/>
      <c r="U444" s="82" t="n"/>
      <c r="V444" s="82" t="n"/>
      <c r="W444" s="82" t="n"/>
      <c r="X444" s="82" t="n"/>
      <c r="Y444" s="82" t="n"/>
      <c r="Z444" s="82" t="n"/>
    </row>
    <row r="445" ht="15.75" customHeight="1" s="83">
      <c r="A445" s="82" t="n"/>
      <c r="B445" s="82" t="n"/>
      <c r="C445" s="82" t="n"/>
      <c r="D445" s="82" t="n"/>
      <c r="E445" s="81" t="n"/>
      <c r="F445" s="82" t="n"/>
      <c r="G445" s="82" t="n"/>
      <c r="H445" s="82" t="n"/>
      <c r="I445" s="82" t="n"/>
      <c r="J445" s="82" t="n"/>
      <c r="K445" s="82" t="n"/>
      <c r="L445" s="82" t="n"/>
      <c r="M445" s="82" t="n"/>
      <c r="N445" s="82" t="n"/>
      <c r="O445" s="82" t="n"/>
      <c r="P445" s="82" t="n"/>
      <c r="Q445" s="82" t="n"/>
      <c r="R445" s="82" t="n"/>
      <c r="S445" s="82" t="n"/>
      <c r="T445" s="82" t="n"/>
      <c r="U445" s="82" t="n"/>
      <c r="V445" s="82" t="n"/>
      <c r="W445" s="82" t="n"/>
      <c r="X445" s="82" t="n"/>
      <c r="Y445" s="82" t="n"/>
      <c r="Z445" s="82" t="n"/>
    </row>
    <row r="446" ht="15.75" customHeight="1" s="83">
      <c r="A446" s="82" t="n"/>
      <c r="B446" s="82" t="n"/>
      <c r="C446" s="82" t="n"/>
      <c r="D446" s="82" t="n"/>
      <c r="E446" s="81" t="n"/>
      <c r="F446" s="82" t="n"/>
      <c r="G446" s="82" t="n"/>
      <c r="H446" s="82" t="n"/>
      <c r="I446" s="82" t="n"/>
      <c r="J446" s="82" t="n"/>
      <c r="K446" s="82" t="n"/>
      <c r="L446" s="82" t="n"/>
      <c r="M446" s="82" t="n"/>
      <c r="N446" s="82" t="n"/>
      <c r="O446" s="82" t="n"/>
      <c r="P446" s="82" t="n"/>
      <c r="Q446" s="82" t="n"/>
      <c r="R446" s="82" t="n"/>
      <c r="S446" s="82" t="n"/>
      <c r="T446" s="82" t="n"/>
      <c r="U446" s="82" t="n"/>
      <c r="V446" s="82" t="n"/>
      <c r="W446" s="82" t="n"/>
      <c r="X446" s="82" t="n"/>
      <c r="Y446" s="82" t="n"/>
      <c r="Z446" s="82" t="n"/>
    </row>
    <row r="447" ht="15.75" customHeight="1" s="83">
      <c r="A447" s="82" t="n"/>
      <c r="B447" s="82" t="n"/>
      <c r="C447" s="82" t="n"/>
      <c r="D447" s="82" t="n"/>
      <c r="E447" s="81" t="n"/>
      <c r="F447" s="82" t="n"/>
      <c r="G447" s="82" t="n"/>
      <c r="H447" s="82" t="n"/>
      <c r="I447" s="82" t="n"/>
      <c r="J447" s="82" t="n"/>
      <c r="K447" s="82" t="n"/>
      <c r="L447" s="82" t="n"/>
      <c r="M447" s="82" t="n"/>
      <c r="N447" s="82" t="n"/>
      <c r="O447" s="82" t="n"/>
      <c r="P447" s="82" t="n"/>
      <c r="Q447" s="82" t="n"/>
      <c r="R447" s="82" t="n"/>
      <c r="S447" s="82" t="n"/>
      <c r="T447" s="82" t="n"/>
      <c r="U447" s="82" t="n"/>
      <c r="V447" s="82" t="n"/>
      <c r="W447" s="82" t="n"/>
      <c r="X447" s="82" t="n"/>
      <c r="Y447" s="82" t="n"/>
      <c r="Z447" s="82" t="n"/>
    </row>
    <row r="448" ht="15.75" customHeight="1" s="83">
      <c r="A448" s="82" t="n"/>
      <c r="B448" s="82" t="n"/>
      <c r="C448" s="82" t="n"/>
      <c r="D448" s="82" t="n"/>
      <c r="E448" s="81" t="n"/>
      <c r="F448" s="82" t="n"/>
      <c r="G448" s="82" t="n"/>
      <c r="H448" s="82" t="n"/>
      <c r="I448" s="82" t="n"/>
      <c r="J448" s="82" t="n"/>
      <c r="K448" s="82" t="n"/>
      <c r="L448" s="82" t="n"/>
      <c r="M448" s="82" t="n"/>
      <c r="N448" s="82" t="n"/>
      <c r="O448" s="82" t="n"/>
      <c r="P448" s="82" t="n"/>
      <c r="Q448" s="82" t="n"/>
      <c r="R448" s="82" t="n"/>
      <c r="S448" s="82" t="n"/>
      <c r="T448" s="82" t="n"/>
      <c r="U448" s="82" t="n"/>
      <c r="V448" s="82" t="n"/>
      <c r="W448" s="82" t="n"/>
      <c r="X448" s="82" t="n"/>
      <c r="Y448" s="82" t="n"/>
      <c r="Z448" s="82" t="n"/>
    </row>
    <row r="449" ht="15.75" customHeight="1" s="83">
      <c r="A449" s="82" t="n"/>
      <c r="B449" s="82" t="n"/>
      <c r="C449" s="82" t="n"/>
      <c r="D449" s="82" t="n"/>
      <c r="E449" s="81" t="n"/>
      <c r="F449" s="82" t="n"/>
      <c r="G449" s="82" t="n"/>
      <c r="H449" s="82" t="n"/>
      <c r="I449" s="82" t="n"/>
      <c r="J449" s="82" t="n"/>
      <c r="K449" s="82" t="n"/>
      <c r="L449" s="82" t="n"/>
      <c r="M449" s="82" t="n"/>
      <c r="N449" s="82" t="n"/>
      <c r="O449" s="82" t="n"/>
      <c r="P449" s="82" t="n"/>
      <c r="Q449" s="82" t="n"/>
      <c r="R449" s="82" t="n"/>
      <c r="S449" s="82" t="n"/>
      <c r="T449" s="82" t="n"/>
      <c r="U449" s="82" t="n"/>
      <c r="V449" s="82" t="n"/>
      <c r="W449" s="82" t="n"/>
      <c r="X449" s="82" t="n"/>
      <c r="Y449" s="82" t="n"/>
      <c r="Z449" s="82" t="n"/>
    </row>
    <row r="450" ht="15.75" customHeight="1" s="83">
      <c r="A450" s="82" t="n"/>
      <c r="B450" s="82" t="n"/>
      <c r="C450" s="82" t="n"/>
      <c r="D450" s="82" t="n"/>
      <c r="E450" s="81" t="n"/>
      <c r="F450" s="82" t="n"/>
      <c r="G450" s="82" t="n"/>
      <c r="H450" s="82" t="n"/>
      <c r="I450" s="82" t="n"/>
      <c r="J450" s="82" t="n"/>
      <c r="K450" s="82" t="n"/>
      <c r="L450" s="82" t="n"/>
      <c r="M450" s="82" t="n"/>
      <c r="N450" s="82" t="n"/>
      <c r="O450" s="82" t="n"/>
      <c r="P450" s="82" t="n"/>
      <c r="Q450" s="82" t="n"/>
      <c r="R450" s="82" t="n"/>
      <c r="S450" s="82" t="n"/>
      <c r="T450" s="82" t="n"/>
      <c r="U450" s="82" t="n"/>
      <c r="V450" s="82" t="n"/>
      <c r="W450" s="82" t="n"/>
      <c r="X450" s="82" t="n"/>
      <c r="Y450" s="82" t="n"/>
      <c r="Z450" s="82" t="n"/>
    </row>
    <row r="451" ht="15.75" customHeight="1" s="83">
      <c r="A451" s="82" t="n"/>
      <c r="B451" s="82" t="n"/>
      <c r="C451" s="82" t="n"/>
      <c r="D451" s="82" t="n"/>
      <c r="E451" s="81" t="n"/>
      <c r="F451" s="82" t="n"/>
      <c r="G451" s="82" t="n"/>
      <c r="H451" s="82" t="n"/>
      <c r="I451" s="82" t="n"/>
      <c r="J451" s="82" t="n"/>
      <c r="K451" s="82" t="n"/>
      <c r="L451" s="82" t="n"/>
      <c r="M451" s="82" t="n"/>
      <c r="N451" s="82" t="n"/>
      <c r="O451" s="82" t="n"/>
      <c r="P451" s="82" t="n"/>
      <c r="Q451" s="82" t="n"/>
      <c r="R451" s="82" t="n"/>
      <c r="S451" s="82" t="n"/>
      <c r="T451" s="82" t="n"/>
      <c r="U451" s="82" t="n"/>
      <c r="V451" s="82" t="n"/>
      <c r="W451" s="82" t="n"/>
      <c r="X451" s="82" t="n"/>
      <c r="Y451" s="82" t="n"/>
      <c r="Z451" s="82" t="n"/>
    </row>
    <row r="452" ht="15.75" customHeight="1" s="83">
      <c r="A452" s="82" t="n"/>
      <c r="B452" s="82" t="n"/>
      <c r="C452" s="82" t="n"/>
      <c r="D452" s="82" t="n"/>
      <c r="E452" s="81" t="n"/>
      <c r="F452" s="82" t="n"/>
      <c r="G452" s="82" t="n"/>
      <c r="H452" s="82" t="n"/>
      <c r="I452" s="82" t="n"/>
      <c r="J452" s="82" t="n"/>
      <c r="K452" s="82" t="n"/>
      <c r="L452" s="82" t="n"/>
      <c r="M452" s="82" t="n"/>
      <c r="N452" s="82" t="n"/>
      <c r="O452" s="82" t="n"/>
      <c r="P452" s="82" t="n"/>
      <c r="Q452" s="82" t="n"/>
      <c r="R452" s="82" t="n"/>
      <c r="S452" s="82" t="n"/>
      <c r="T452" s="82" t="n"/>
      <c r="U452" s="82" t="n"/>
      <c r="V452" s="82" t="n"/>
      <c r="W452" s="82" t="n"/>
      <c r="X452" s="82" t="n"/>
      <c r="Y452" s="82" t="n"/>
      <c r="Z452" s="82" t="n"/>
    </row>
    <row r="453" ht="15.75" customHeight="1" s="83">
      <c r="A453" s="82" t="n"/>
      <c r="B453" s="82" t="n"/>
      <c r="C453" s="82" t="n"/>
      <c r="D453" s="82" t="n"/>
      <c r="E453" s="81" t="n"/>
      <c r="F453" s="82" t="n"/>
      <c r="G453" s="82" t="n"/>
      <c r="H453" s="82" t="n"/>
      <c r="I453" s="82" t="n"/>
      <c r="J453" s="82" t="n"/>
      <c r="K453" s="82" t="n"/>
      <c r="L453" s="82" t="n"/>
      <c r="M453" s="82" t="n"/>
      <c r="N453" s="82" t="n"/>
      <c r="O453" s="82" t="n"/>
      <c r="P453" s="82" t="n"/>
      <c r="Q453" s="82" t="n"/>
      <c r="R453" s="82" t="n"/>
      <c r="S453" s="82" t="n"/>
      <c r="T453" s="82" t="n"/>
      <c r="U453" s="82" t="n"/>
      <c r="V453" s="82" t="n"/>
      <c r="W453" s="82" t="n"/>
      <c r="X453" s="82" t="n"/>
      <c r="Y453" s="82" t="n"/>
      <c r="Z453" s="82" t="n"/>
    </row>
    <row r="454" ht="15.75" customHeight="1" s="83">
      <c r="A454" s="82" t="n"/>
      <c r="B454" s="82" t="n"/>
      <c r="C454" s="82" t="n"/>
      <c r="D454" s="82" t="n"/>
      <c r="E454" s="81" t="n"/>
      <c r="F454" s="82" t="n"/>
      <c r="G454" s="82" t="n"/>
      <c r="H454" s="82" t="n"/>
      <c r="I454" s="82" t="n"/>
      <c r="J454" s="82" t="n"/>
      <c r="K454" s="82" t="n"/>
      <c r="L454" s="82" t="n"/>
      <c r="M454" s="82" t="n"/>
      <c r="N454" s="82" t="n"/>
      <c r="O454" s="82" t="n"/>
      <c r="P454" s="82" t="n"/>
      <c r="Q454" s="82" t="n"/>
      <c r="R454" s="82" t="n"/>
      <c r="S454" s="82" t="n"/>
      <c r="T454" s="82" t="n"/>
      <c r="U454" s="82" t="n"/>
      <c r="V454" s="82" t="n"/>
      <c r="W454" s="82" t="n"/>
      <c r="X454" s="82" t="n"/>
      <c r="Y454" s="82" t="n"/>
      <c r="Z454" s="82" t="n"/>
    </row>
    <row r="455" ht="15.75" customHeight="1" s="83">
      <c r="A455" s="82" t="n"/>
      <c r="B455" s="82" t="n"/>
      <c r="C455" s="82" t="n"/>
      <c r="D455" s="82" t="n"/>
      <c r="E455" s="81" t="n"/>
      <c r="F455" s="82" t="n"/>
      <c r="G455" s="82" t="n"/>
      <c r="H455" s="82" t="n"/>
      <c r="I455" s="82" t="n"/>
      <c r="J455" s="82" t="n"/>
      <c r="K455" s="82" t="n"/>
      <c r="L455" s="82" t="n"/>
      <c r="M455" s="82" t="n"/>
      <c r="N455" s="82" t="n"/>
      <c r="O455" s="82" t="n"/>
      <c r="P455" s="82" t="n"/>
      <c r="Q455" s="82" t="n"/>
      <c r="R455" s="82" t="n"/>
      <c r="S455" s="82" t="n"/>
      <c r="T455" s="82" t="n"/>
      <c r="U455" s="82" t="n"/>
      <c r="V455" s="82" t="n"/>
      <c r="W455" s="82" t="n"/>
      <c r="X455" s="82" t="n"/>
      <c r="Y455" s="82" t="n"/>
      <c r="Z455" s="82" t="n"/>
    </row>
    <row r="456" ht="15.75" customHeight="1" s="83">
      <c r="A456" s="82" t="n"/>
      <c r="B456" s="82" t="n"/>
      <c r="C456" s="82" t="n"/>
      <c r="D456" s="82" t="n"/>
      <c r="E456" s="81" t="n"/>
      <c r="F456" s="82" t="n"/>
      <c r="G456" s="82" t="n"/>
      <c r="H456" s="82" t="n"/>
      <c r="I456" s="82" t="n"/>
      <c r="J456" s="82" t="n"/>
      <c r="K456" s="82" t="n"/>
      <c r="L456" s="82" t="n"/>
      <c r="M456" s="82" t="n"/>
      <c r="N456" s="82" t="n"/>
      <c r="O456" s="82" t="n"/>
      <c r="P456" s="82" t="n"/>
      <c r="Q456" s="82" t="n"/>
      <c r="R456" s="82" t="n"/>
      <c r="S456" s="82" t="n"/>
      <c r="T456" s="82" t="n"/>
      <c r="U456" s="82" t="n"/>
      <c r="V456" s="82" t="n"/>
      <c r="W456" s="82" t="n"/>
      <c r="X456" s="82" t="n"/>
      <c r="Y456" s="82" t="n"/>
      <c r="Z456" s="82" t="n"/>
    </row>
    <row r="457" ht="15.75" customHeight="1" s="83">
      <c r="A457" s="82" t="n"/>
      <c r="B457" s="82" t="n"/>
      <c r="C457" s="82" t="n"/>
      <c r="D457" s="82" t="n"/>
      <c r="E457" s="81" t="n"/>
      <c r="F457" s="82" t="n"/>
      <c r="G457" s="82" t="n"/>
      <c r="H457" s="82" t="n"/>
      <c r="I457" s="82" t="n"/>
      <c r="J457" s="82" t="n"/>
      <c r="K457" s="82" t="n"/>
      <c r="L457" s="82" t="n"/>
      <c r="M457" s="82" t="n"/>
      <c r="N457" s="82" t="n"/>
      <c r="O457" s="82" t="n"/>
      <c r="P457" s="82" t="n"/>
      <c r="Q457" s="82" t="n"/>
      <c r="R457" s="82" t="n"/>
      <c r="S457" s="82" t="n"/>
      <c r="T457" s="82" t="n"/>
      <c r="U457" s="82" t="n"/>
      <c r="V457" s="82" t="n"/>
      <c r="W457" s="82" t="n"/>
      <c r="X457" s="82" t="n"/>
      <c r="Y457" s="82" t="n"/>
      <c r="Z457" s="82" t="n"/>
    </row>
    <row r="458" ht="15.75" customHeight="1" s="83">
      <c r="A458" s="82" t="n"/>
      <c r="B458" s="82" t="n"/>
      <c r="C458" s="82" t="n"/>
      <c r="D458" s="82" t="n"/>
      <c r="E458" s="81" t="n"/>
      <c r="F458" s="82" t="n"/>
      <c r="G458" s="82" t="n"/>
      <c r="H458" s="82" t="n"/>
      <c r="I458" s="82" t="n"/>
      <c r="J458" s="82" t="n"/>
      <c r="K458" s="82" t="n"/>
      <c r="L458" s="82" t="n"/>
      <c r="M458" s="82" t="n"/>
      <c r="N458" s="82" t="n"/>
      <c r="O458" s="82" t="n"/>
      <c r="P458" s="82" t="n"/>
      <c r="Q458" s="82" t="n"/>
      <c r="R458" s="82" t="n"/>
      <c r="S458" s="82" t="n"/>
      <c r="T458" s="82" t="n"/>
      <c r="U458" s="82" t="n"/>
      <c r="V458" s="82" t="n"/>
      <c r="W458" s="82" t="n"/>
      <c r="X458" s="82" t="n"/>
      <c r="Y458" s="82" t="n"/>
      <c r="Z458" s="82" t="n"/>
    </row>
    <row r="459" ht="15.75" customHeight="1" s="83">
      <c r="A459" s="82" t="n"/>
      <c r="B459" s="82" t="n"/>
      <c r="C459" s="82" t="n"/>
      <c r="D459" s="82" t="n"/>
      <c r="E459" s="81" t="n"/>
      <c r="F459" s="82" t="n"/>
      <c r="G459" s="82" t="n"/>
      <c r="H459" s="82" t="n"/>
      <c r="I459" s="82" t="n"/>
      <c r="J459" s="82" t="n"/>
      <c r="K459" s="82" t="n"/>
      <c r="L459" s="82" t="n"/>
      <c r="M459" s="82" t="n"/>
      <c r="N459" s="82" t="n"/>
      <c r="O459" s="82" t="n"/>
      <c r="P459" s="82" t="n"/>
      <c r="Q459" s="82" t="n"/>
      <c r="R459" s="82" t="n"/>
      <c r="S459" s="82" t="n"/>
      <c r="T459" s="82" t="n"/>
      <c r="U459" s="82" t="n"/>
      <c r="V459" s="82" t="n"/>
      <c r="W459" s="82" t="n"/>
      <c r="X459" s="82" t="n"/>
      <c r="Y459" s="82" t="n"/>
      <c r="Z459" s="82" t="n"/>
    </row>
    <row r="460" ht="15.75" customHeight="1" s="83">
      <c r="A460" s="82" t="n"/>
      <c r="B460" s="82" t="n"/>
      <c r="C460" s="82" t="n"/>
      <c r="D460" s="82" t="n"/>
      <c r="E460" s="81" t="n"/>
      <c r="F460" s="82" t="n"/>
      <c r="G460" s="82" t="n"/>
      <c r="H460" s="82" t="n"/>
      <c r="I460" s="82" t="n"/>
      <c r="J460" s="82" t="n"/>
      <c r="K460" s="82" t="n"/>
      <c r="L460" s="82" t="n"/>
      <c r="M460" s="82" t="n"/>
      <c r="N460" s="82" t="n"/>
      <c r="O460" s="82" t="n"/>
      <c r="P460" s="82" t="n"/>
      <c r="Q460" s="82" t="n"/>
      <c r="R460" s="82" t="n"/>
      <c r="S460" s="82" t="n"/>
      <c r="T460" s="82" t="n"/>
      <c r="U460" s="82" t="n"/>
      <c r="V460" s="82" t="n"/>
      <c r="W460" s="82" t="n"/>
      <c r="X460" s="82" t="n"/>
      <c r="Y460" s="82" t="n"/>
      <c r="Z460" s="82" t="n"/>
    </row>
    <row r="461" ht="15.75" customHeight="1" s="83">
      <c r="A461" s="82" t="n"/>
      <c r="B461" s="82" t="n"/>
      <c r="C461" s="82" t="n"/>
      <c r="D461" s="82" t="n"/>
      <c r="E461" s="81" t="n"/>
      <c r="F461" s="82" t="n"/>
      <c r="G461" s="82" t="n"/>
      <c r="H461" s="82" t="n"/>
      <c r="I461" s="82" t="n"/>
      <c r="J461" s="82" t="n"/>
      <c r="K461" s="82" t="n"/>
      <c r="L461" s="82" t="n"/>
      <c r="M461" s="82" t="n"/>
      <c r="N461" s="82" t="n"/>
      <c r="O461" s="82" t="n"/>
      <c r="P461" s="82" t="n"/>
      <c r="Q461" s="82" t="n"/>
      <c r="R461" s="82" t="n"/>
      <c r="S461" s="82" t="n"/>
      <c r="T461" s="82" t="n"/>
      <c r="U461" s="82" t="n"/>
      <c r="V461" s="82" t="n"/>
      <c r="W461" s="82" t="n"/>
      <c r="X461" s="82" t="n"/>
      <c r="Y461" s="82" t="n"/>
      <c r="Z461" s="82" t="n"/>
    </row>
    <row r="462" ht="15.75" customHeight="1" s="83">
      <c r="A462" s="82" t="n"/>
      <c r="B462" s="82" t="n"/>
      <c r="C462" s="82" t="n"/>
      <c r="D462" s="82" t="n"/>
      <c r="E462" s="81" t="n"/>
      <c r="F462" s="82" t="n"/>
      <c r="G462" s="82" t="n"/>
      <c r="H462" s="82" t="n"/>
      <c r="I462" s="82" t="n"/>
      <c r="J462" s="82" t="n"/>
      <c r="K462" s="82" t="n"/>
      <c r="L462" s="82" t="n"/>
      <c r="M462" s="82" t="n"/>
      <c r="N462" s="82" t="n"/>
      <c r="O462" s="82" t="n"/>
      <c r="P462" s="82" t="n"/>
      <c r="Q462" s="82" t="n"/>
      <c r="R462" s="82" t="n"/>
      <c r="S462" s="82" t="n"/>
      <c r="T462" s="82" t="n"/>
      <c r="U462" s="82" t="n"/>
      <c r="V462" s="82" t="n"/>
      <c r="W462" s="82" t="n"/>
      <c r="X462" s="82" t="n"/>
      <c r="Y462" s="82" t="n"/>
      <c r="Z462" s="82" t="n"/>
    </row>
    <row r="463" ht="15.75" customHeight="1" s="83">
      <c r="A463" s="82" t="n"/>
      <c r="B463" s="82" t="n"/>
      <c r="C463" s="82" t="n"/>
      <c r="D463" s="82" t="n"/>
      <c r="E463" s="81" t="n"/>
      <c r="F463" s="82" t="n"/>
      <c r="G463" s="82" t="n"/>
      <c r="H463" s="82" t="n"/>
      <c r="I463" s="82" t="n"/>
      <c r="J463" s="82" t="n"/>
      <c r="K463" s="82" t="n"/>
      <c r="L463" s="82" t="n"/>
      <c r="M463" s="82" t="n"/>
      <c r="N463" s="82" t="n"/>
      <c r="O463" s="82" t="n"/>
      <c r="P463" s="82" t="n"/>
      <c r="Q463" s="82" t="n"/>
      <c r="R463" s="82" t="n"/>
      <c r="S463" s="82" t="n"/>
      <c r="T463" s="82" t="n"/>
      <c r="U463" s="82" t="n"/>
      <c r="V463" s="82" t="n"/>
      <c r="W463" s="82" t="n"/>
      <c r="X463" s="82" t="n"/>
      <c r="Y463" s="82" t="n"/>
      <c r="Z463" s="82" t="n"/>
    </row>
    <row r="464" ht="15.75" customHeight="1" s="83">
      <c r="A464" s="82" t="n"/>
      <c r="B464" s="82" t="n"/>
      <c r="C464" s="82" t="n"/>
      <c r="D464" s="82" t="n"/>
      <c r="E464" s="81" t="n"/>
      <c r="F464" s="82" t="n"/>
      <c r="G464" s="82" t="n"/>
      <c r="H464" s="82" t="n"/>
      <c r="I464" s="82" t="n"/>
      <c r="J464" s="82" t="n"/>
      <c r="K464" s="82" t="n"/>
      <c r="L464" s="82" t="n"/>
      <c r="M464" s="82" t="n"/>
      <c r="N464" s="82" t="n"/>
      <c r="O464" s="82" t="n"/>
      <c r="P464" s="82" t="n"/>
      <c r="Q464" s="82" t="n"/>
      <c r="R464" s="82" t="n"/>
      <c r="S464" s="82" t="n"/>
      <c r="T464" s="82" t="n"/>
      <c r="U464" s="82" t="n"/>
      <c r="V464" s="82" t="n"/>
      <c r="W464" s="82" t="n"/>
      <c r="X464" s="82" t="n"/>
      <c r="Y464" s="82" t="n"/>
      <c r="Z464" s="82" t="n"/>
    </row>
    <row r="465" ht="15.75" customHeight="1" s="83">
      <c r="A465" s="82" t="n"/>
      <c r="B465" s="82" t="n"/>
      <c r="C465" s="82" t="n"/>
      <c r="D465" s="82" t="n"/>
      <c r="E465" s="81" t="n"/>
      <c r="F465" s="82" t="n"/>
      <c r="G465" s="82" t="n"/>
      <c r="H465" s="82" t="n"/>
      <c r="I465" s="82" t="n"/>
      <c r="J465" s="82" t="n"/>
      <c r="K465" s="82" t="n"/>
      <c r="L465" s="82" t="n"/>
      <c r="M465" s="82" t="n"/>
      <c r="N465" s="82" t="n"/>
      <c r="O465" s="82" t="n"/>
      <c r="P465" s="82" t="n"/>
      <c r="Q465" s="82" t="n"/>
      <c r="R465" s="82" t="n"/>
      <c r="S465" s="82" t="n"/>
      <c r="T465" s="82" t="n"/>
      <c r="U465" s="82" t="n"/>
      <c r="V465" s="82" t="n"/>
      <c r="W465" s="82" t="n"/>
      <c r="X465" s="82" t="n"/>
      <c r="Y465" s="82" t="n"/>
      <c r="Z465" s="82" t="n"/>
    </row>
    <row r="466" ht="15.75" customHeight="1" s="83">
      <c r="A466" s="82" t="n"/>
      <c r="B466" s="82" t="n"/>
      <c r="C466" s="82" t="n"/>
      <c r="D466" s="82" t="n"/>
      <c r="E466" s="81" t="n"/>
      <c r="F466" s="82" t="n"/>
      <c r="G466" s="82" t="n"/>
      <c r="H466" s="82" t="n"/>
      <c r="I466" s="82" t="n"/>
      <c r="J466" s="82" t="n"/>
      <c r="K466" s="82" t="n"/>
      <c r="L466" s="82" t="n"/>
      <c r="M466" s="82" t="n"/>
      <c r="N466" s="82" t="n"/>
      <c r="O466" s="82" t="n"/>
      <c r="P466" s="82" t="n"/>
      <c r="Q466" s="82" t="n"/>
      <c r="R466" s="82" t="n"/>
      <c r="S466" s="82" t="n"/>
      <c r="T466" s="82" t="n"/>
      <c r="U466" s="82" t="n"/>
      <c r="V466" s="82" t="n"/>
      <c r="W466" s="82" t="n"/>
      <c r="X466" s="82" t="n"/>
      <c r="Y466" s="82" t="n"/>
      <c r="Z466" s="82" t="n"/>
    </row>
    <row r="467" ht="15.75" customHeight="1" s="83">
      <c r="A467" s="82" t="n"/>
      <c r="B467" s="82" t="n"/>
      <c r="C467" s="82" t="n"/>
      <c r="D467" s="82" t="n"/>
      <c r="E467" s="81" t="n"/>
      <c r="F467" s="82" t="n"/>
      <c r="G467" s="82" t="n"/>
      <c r="H467" s="82" t="n"/>
      <c r="I467" s="82" t="n"/>
      <c r="J467" s="82" t="n"/>
      <c r="K467" s="82" t="n"/>
      <c r="L467" s="82" t="n"/>
      <c r="M467" s="82" t="n"/>
      <c r="N467" s="82" t="n"/>
      <c r="O467" s="82" t="n"/>
      <c r="P467" s="82" t="n"/>
      <c r="Q467" s="82" t="n"/>
      <c r="R467" s="82" t="n"/>
      <c r="S467" s="82" t="n"/>
      <c r="T467" s="82" t="n"/>
      <c r="U467" s="82" t="n"/>
      <c r="V467" s="82" t="n"/>
      <c r="W467" s="82" t="n"/>
      <c r="X467" s="82" t="n"/>
      <c r="Y467" s="82" t="n"/>
      <c r="Z467" s="82" t="n"/>
    </row>
    <row r="468" ht="15.75" customHeight="1" s="83">
      <c r="A468" s="82" t="n"/>
      <c r="B468" s="82" t="n"/>
      <c r="C468" s="82" t="n"/>
      <c r="D468" s="82" t="n"/>
      <c r="E468" s="81" t="n"/>
      <c r="F468" s="82" t="n"/>
      <c r="G468" s="82" t="n"/>
      <c r="H468" s="82" t="n"/>
      <c r="I468" s="82" t="n"/>
      <c r="J468" s="82" t="n"/>
      <c r="K468" s="82" t="n"/>
      <c r="L468" s="82" t="n"/>
      <c r="M468" s="82" t="n"/>
      <c r="N468" s="82" t="n"/>
      <c r="O468" s="82" t="n"/>
      <c r="P468" s="82" t="n"/>
      <c r="Q468" s="82" t="n"/>
      <c r="R468" s="82" t="n"/>
      <c r="S468" s="82" t="n"/>
      <c r="T468" s="82" t="n"/>
      <c r="U468" s="82" t="n"/>
      <c r="V468" s="82" t="n"/>
      <c r="W468" s="82" t="n"/>
      <c r="X468" s="82" t="n"/>
      <c r="Y468" s="82" t="n"/>
      <c r="Z468" s="82" t="n"/>
    </row>
    <row r="469" ht="15.75" customHeight="1" s="83">
      <c r="A469" s="82" t="n"/>
      <c r="B469" s="82" t="n"/>
      <c r="C469" s="82" t="n"/>
      <c r="D469" s="82" t="n"/>
      <c r="E469" s="81" t="n"/>
      <c r="F469" s="82" t="n"/>
      <c r="G469" s="82" t="n"/>
      <c r="H469" s="82" t="n"/>
      <c r="I469" s="82" t="n"/>
      <c r="J469" s="82" t="n"/>
      <c r="K469" s="82" t="n"/>
      <c r="L469" s="82" t="n"/>
      <c r="M469" s="82" t="n"/>
      <c r="N469" s="82" t="n"/>
      <c r="O469" s="82" t="n"/>
      <c r="P469" s="82" t="n"/>
      <c r="Q469" s="82" t="n"/>
      <c r="R469" s="82" t="n"/>
      <c r="S469" s="82" t="n"/>
      <c r="T469" s="82" t="n"/>
      <c r="U469" s="82" t="n"/>
      <c r="V469" s="82" t="n"/>
      <c r="W469" s="82" t="n"/>
      <c r="X469" s="82" t="n"/>
      <c r="Y469" s="82" t="n"/>
      <c r="Z469" s="82" t="n"/>
    </row>
    <row r="470" ht="15.75" customHeight="1" s="83">
      <c r="A470" s="82" t="n"/>
      <c r="B470" s="82" t="n"/>
      <c r="C470" s="82" t="n"/>
      <c r="D470" s="82" t="n"/>
      <c r="E470" s="81" t="n"/>
      <c r="F470" s="82" t="n"/>
      <c r="G470" s="82" t="n"/>
      <c r="H470" s="82" t="n"/>
      <c r="I470" s="82" t="n"/>
      <c r="J470" s="82" t="n"/>
      <c r="K470" s="82" t="n"/>
      <c r="L470" s="82" t="n"/>
      <c r="M470" s="82" t="n"/>
      <c r="N470" s="82" t="n"/>
      <c r="O470" s="82" t="n"/>
      <c r="P470" s="82" t="n"/>
      <c r="Q470" s="82" t="n"/>
      <c r="R470" s="82" t="n"/>
      <c r="S470" s="82" t="n"/>
      <c r="T470" s="82" t="n"/>
      <c r="U470" s="82" t="n"/>
      <c r="V470" s="82" t="n"/>
      <c r="W470" s="82" t="n"/>
      <c r="X470" s="82" t="n"/>
      <c r="Y470" s="82" t="n"/>
      <c r="Z470" s="82" t="n"/>
    </row>
    <row r="471" ht="15.75" customHeight="1" s="83">
      <c r="A471" s="82" t="n"/>
      <c r="B471" s="82" t="n"/>
      <c r="C471" s="82" t="n"/>
      <c r="D471" s="82" t="n"/>
      <c r="E471" s="81" t="n"/>
      <c r="F471" s="82" t="n"/>
      <c r="G471" s="82" t="n"/>
      <c r="H471" s="82" t="n"/>
      <c r="I471" s="82" t="n"/>
      <c r="J471" s="82" t="n"/>
      <c r="K471" s="82" t="n"/>
      <c r="L471" s="82" t="n"/>
      <c r="M471" s="82" t="n"/>
      <c r="N471" s="82" t="n"/>
      <c r="O471" s="82" t="n"/>
      <c r="P471" s="82" t="n"/>
      <c r="Q471" s="82" t="n"/>
      <c r="R471" s="82" t="n"/>
      <c r="S471" s="82" t="n"/>
      <c r="T471" s="82" t="n"/>
      <c r="U471" s="82" t="n"/>
      <c r="V471" s="82" t="n"/>
      <c r="W471" s="82" t="n"/>
      <c r="X471" s="82" t="n"/>
      <c r="Y471" s="82" t="n"/>
      <c r="Z471" s="82" t="n"/>
    </row>
    <row r="472" ht="15.75" customHeight="1" s="83">
      <c r="A472" s="82" t="n"/>
      <c r="B472" s="82" t="n"/>
      <c r="C472" s="82" t="n"/>
      <c r="D472" s="82" t="n"/>
      <c r="E472" s="81" t="n"/>
      <c r="F472" s="82" t="n"/>
      <c r="G472" s="82" t="n"/>
      <c r="H472" s="82" t="n"/>
      <c r="I472" s="82" t="n"/>
      <c r="J472" s="82" t="n"/>
      <c r="K472" s="82" t="n"/>
      <c r="L472" s="82" t="n"/>
      <c r="M472" s="82" t="n"/>
      <c r="N472" s="82" t="n"/>
      <c r="O472" s="82" t="n"/>
      <c r="P472" s="82" t="n"/>
      <c r="Q472" s="82" t="n"/>
      <c r="R472" s="82" t="n"/>
      <c r="S472" s="82" t="n"/>
      <c r="T472" s="82" t="n"/>
      <c r="U472" s="82" t="n"/>
      <c r="V472" s="82" t="n"/>
      <c r="W472" s="82" t="n"/>
      <c r="X472" s="82" t="n"/>
      <c r="Y472" s="82" t="n"/>
      <c r="Z472" s="82" t="n"/>
    </row>
    <row r="473" ht="15.75" customHeight="1" s="83">
      <c r="A473" s="82" t="n"/>
      <c r="B473" s="82" t="n"/>
      <c r="C473" s="82" t="n"/>
      <c r="D473" s="82" t="n"/>
      <c r="E473" s="81" t="n"/>
      <c r="F473" s="82" t="n"/>
      <c r="G473" s="82" t="n"/>
      <c r="H473" s="82" t="n"/>
      <c r="I473" s="82" t="n"/>
      <c r="J473" s="82" t="n"/>
      <c r="K473" s="82" t="n"/>
      <c r="L473" s="82" t="n"/>
      <c r="M473" s="82" t="n"/>
      <c r="N473" s="82" t="n"/>
      <c r="O473" s="82" t="n"/>
      <c r="P473" s="82" t="n"/>
      <c r="Q473" s="82" t="n"/>
      <c r="R473" s="82" t="n"/>
      <c r="S473" s="82" t="n"/>
      <c r="T473" s="82" t="n"/>
      <c r="U473" s="82" t="n"/>
      <c r="V473" s="82" t="n"/>
      <c r="W473" s="82" t="n"/>
      <c r="X473" s="82" t="n"/>
      <c r="Y473" s="82" t="n"/>
      <c r="Z473" s="82" t="n"/>
    </row>
    <row r="474" ht="15.75" customHeight="1" s="83">
      <c r="A474" s="82" t="n"/>
      <c r="B474" s="82" t="n"/>
      <c r="C474" s="82" t="n"/>
      <c r="D474" s="82" t="n"/>
      <c r="E474" s="81" t="n"/>
      <c r="F474" s="82" t="n"/>
      <c r="G474" s="82" t="n"/>
      <c r="H474" s="82" t="n"/>
      <c r="I474" s="82" t="n"/>
      <c r="J474" s="82" t="n"/>
      <c r="K474" s="82" t="n"/>
      <c r="L474" s="82" t="n"/>
      <c r="M474" s="82" t="n"/>
      <c r="N474" s="82" t="n"/>
      <c r="O474" s="82" t="n"/>
      <c r="P474" s="82" t="n"/>
      <c r="Q474" s="82" t="n"/>
      <c r="R474" s="82" t="n"/>
      <c r="S474" s="82" t="n"/>
      <c r="T474" s="82" t="n"/>
      <c r="U474" s="82" t="n"/>
      <c r="V474" s="82" t="n"/>
      <c r="W474" s="82" t="n"/>
      <c r="X474" s="82" t="n"/>
      <c r="Y474" s="82" t="n"/>
      <c r="Z474" s="82" t="n"/>
    </row>
    <row r="475" ht="15.75" customHeight="1" s="83">
      <c r="A475" s="82" t="n"/>
      <c r="B475" s="82" t="n"/>
      <c r="C475" s="82" t="n"/>
      <c r="D475" s="82" t="n"/>
      <c r="E475" s="81" t="n"/>
      <c r="F475" s="82" t="n"/>
      <c r="G475" s="82" t="n"/>
      <c r="H475" s="82" t="n"/>
      <c r="I475" s="82" t="n"/>
      <c r="J475" s="82" t="n"/>
      <c r="K475" s="82" t="n"/>
      <c r="L475" s="82" t="n"/>
      <c r="M475" s="82" t="n"/>
      <c r="N475" s="82" t="n"/>
      <c r="O475" s="82" t="n"/>
      <c r="P475" s="82" t="n"/>
      <c r="Q475" s="82" t="n"/>
      <c r="R475" s="82" t="n"/>
      <c r="S475" s="82" t="n"/>
      <c r="T475" s="82" t="n"/>
      <c r="U475" s="82" t="n"/>
      <c r="V475" s="82" t="n"/>
      <c r="W475" s="82" t="n"/>
      <c r="X475" s="82" t="n"/>
      <c r="Y475" s="82" t="n"/>
      <c r="Z475" s="82" t="n"/>
    </row>
    <row r="476" ht="15.75" customHeight="1" s="83">
      <c r="A476" s="82" t="n"/>
      <c r="B476" s="82" t="n"/>
      <c r="C476" s="82" t="n"/>
      <c r="D476" s="82" t="n"/>
      <c r="E476" s="81" t="n"/>
      <c r="F476" s="82" t="n"/>
      <c r="G476" s="82" t="n"/>
      <c r="H476" s="82" t="n"/>
      <c r="I476" s="82" t="n"/>
      <c r="J476" s="82" t="n"/>
      <c r="K476" s="82" t="n"/>
      <c r="L476" s="82" t="n"/>
      <c r="M476" s="82" t="n"/>
      <c r="N476" s="82" t="n"/>
      <c r="O476" s="82" t="n"/>
      <c r="P476" s="82" t="n"/>
      <c r="Q476" s="82" t="n"/>
      <c r="R476" s="82" t="n"/>
      <c r="S476" s="82" t="n"/>
      <c r="T476" s="82" t="n"/>
      <c r="U476" s="82" t="n"/>
      <c r="V476" s="82" t="n"/>
      <c r="W476" s="82" t="n"/>
      <c r="X476" s="82" t="n"/>
      <c r="Y476" s="82" t="n"/>
      <c r="Z476" s="82" t="n"/>
    </row>
    <row r="477" ht="15.75" customHeight="1" s="83">
      <c r="A477" s="82" t="n"/>
      <c r="B477" s="82" t="n"/>
      <c r="C477" s="82" t="n"/>
      <c r="D477" s="82" t="n"/>
      <c r="E477" s="81" t="n"/>
      <c r="F477" s="82" t="n"/>
      <c r="G477" s="82" t="n"/>
      <c r="H477" s="82" t="n"/>
      <c r="I477" s="82" t="n"/>
      <c r="J477" s="82" t="n"/>
      <c r="K477" s="82" t="n"/>
      <c r="L477" s="82" t="n"/>
      <c r="M477" s="82" t="n"/>
      <c r="N477" s="82" t="n"/>
      <c r="O477" s="82" t="n"/>
      <c r="P477" s="82" t="n"/>
      <c r="Q477" s="82" t="n"/>
      <c r="R477" s="82" t="n"/>
      <c r="S477" s="82" t="n"/>
      <c r="T477" s="82" t="n"/>
      <c r="U477" s="82" t="n"/>
      <c r="V477" s="82" t="n"/>
      <c r="W477" s="82" t="n"/>
      <c r="X477" s="82" t="n"/>
      <c r="Y477" s="82" t="n"/>
      <c r="Z477" s="82" t="n"/>
    </row>
    <row r="478" ht="15.75" customHeight="1" s="83">
      <c r="A478" s="82" t="n"/>
      <c r="B478" s="82" t="n"/>
      <c r="C478" s="82" t="n"/>
      <c r="D478" s="82" t="n"/>
      <c r="E478" s="81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  <c r="P478" s="82" t="n"/>
      <c r="Q478" s="82" t="n"/>
      <c r="R478" s="82" t="n"/>
      <c r="S478" s="82" t="n"/>
      <c r="T478" s="82" t="n"/>
      <c r="U478" s="82" t="n"/>
      <c r="V478" s="82" t="n"/>
      <c r="W478" s="82" t="n"/>
      <c r="X478" s="82" t="n"/>
      <c r="Y478" s="82" t="n"/>
      <c r="Z478" s="82" t="n"/>
    </row>
    <row r="479" ht="15.75" customHeight="1" s="83">
      <c r="A479" s="82" t="n"/>
      <c r="B479" s="82" t="n"/>
      <c r="C479" s="82" t="n"/>
      <c r="D479" s="82" t="n"/>
      <c r="E479" s="81" t="n"/>
      <c r="F479" s="82" t="n"/>
      <c r="G479" s="82" t="n"/>
      <c r="H479" s="82" t="n"/>
      <c r="I479" s="82" t="n"/>
      <c r="J479" s="82" t="n"/>
      <c r="K479" s="82" t="n"/>
      <c r="L479" s="82" t="n"/>
      <c r="M479" s="82" t="n"/>
      <c r="N479" s="82" t="n"/>
      <c r="O479" s="82" t="n"/>
      <c r="P479" s="82" t="n"/>
      <c r="Q479" s="82" t="n"/>
      <c r="R479" s="82" t="n"/>
      <c r="S479" s="82" t="n"/>
      <c r="T479" s="82" t="n"/>
      <c r="U479" s="82" t="n"/>
      <c r="V479" s="82" t="n"/>
      <c r="W479" s="82" t="n"/>
      <c r="X479" s="82" t="n"/>
      <c r="Y479" s="82" t="n"/>
      <c r="Z479" s="82" t="n"/>
    </row>
    <row r="480" ht="15.75" customHeight="1" s="83">
      <c r="A480" s="82" t="n"/>
      <c r="B480" s="82" t="n"/>
      <c r="C480" s="82" t="n"/>
      <c r="D480" s="82" t="n"/>
      <c r="E480" s="81" t="n"/>
      <c r="F480" s="82" t="n"/>
      <c r="G480" s="82" t="n"/>
      <c r="H480" s="82" t="n"/>
      <c r="I480" s="82" t="n"/>
      <c r="J480" s="82" t="n"/>
      <c r="K480" s="82" t="n"/>
      <c r="L480" s="82" t="n"/>
      <c r="M480" s="82" t="n"/>
      <c r="N480" s="82" t="n"/>
      <c r="O480" s="82" t="n"/>
      <c r="P480" s="82" t="n"/>
      <c r="Q480" s="82" t="n"/>
      <c r="R480" s="82" t="n"/>
      <c r="S480" s="82" t="n"/>
      <c r="T480" s="82" t="n"/>
      <c r="U480" s="82" t="n"/>
      <c r="V480" s="82" t="n"/>
      <c r="W480" s="82" t="n"/>
      <c r="X480" s="82" t="n"/>
      <c r="Y480" s="82" t="n"/>
      <c r="Z480" s="82" t="n"/>
    </row>
    <row r="481" ht="15.75" customHeight="1" s="83">
      <c r="A481" s="82" t="n"/>
      <c r="B481" s="82" t="n"/>
      <c r="C481" s="82" t="n"/>
      <c r="D481" s="82" t="n"/>
      <c r="E481" s="81" t="n"/>
      <c r="F481" s="82" t="n"/>
      <c r="G481" s="82" t="n"/>
      <c r="H481" s="82" t="n"/>
      <c r="I481" s="82" t="n"/>
      <c r="J481" s="82" t="n"/>
      <c r="K481" s="82" t="n"/>
      <c r="L481" s="82" t="n"/>
      <c r="M481" s="82" t="n"/>
      <c r="N481" s="82" t="n"/>
      <c r="O481" s="82" t="n"/>
      <c r="P481" s="82" t="n"/>
      <c r="Q481" s="82" t="n"/>
      <c r="R481" s="82" t="n"/>
      <c r="S481" s="82" t="n"/>
      <c r="T481" s="82" t="n"/>
      <c r="U481" s="82" t="n"/>
      <c r="V481" s="82" t="n"/>
      <c r="W481" s="82" t="n"/>
      <c r="X481" s="82" t="n"/>
      <c r="Y481" s="82" t="n"/>
      <c r="Z481" s="82" t="n"/>
    </row>
    <row r="482" ht="15.75" customHeight="1" s="83">
      <c r="A482" s="82" t="n"/>
      <c r="B482" s="82" t="n"/>
      <c r="C482" s="82" t="n"/>
      <c r="D482" s="82" t="n"/>
      <c r="E482" s="81" t="n"/>
      <c r="F482" s="82" t="n"/>
      <c r="G482" s="82" t="n"/>
      <c r="H482" s="82" t="n"/>
      <c r="I482" s="82" t="n"/>
      <c r="J482" s="82" t="n"/>
      <c r="K482" s="82" t="n"/>
      <c r="L482" s="82" t="n"/>
      <c r="M482" s="82" t="n"/>
      <c r="N482" s="82" t="n"/>
      <c r="O482" s="82" t="n"/>
      <c r="P482" s="82" t="n"/>
      <c r="Q482" s="82" t="n"/>
      <c r="R482" s="82" t="n"/>
      <c r="S482" s="82" t="n"/>
      <c r="T482" s="82" t="n"/>
      <c r="U482" s="82" t="n"/>
      <c r="V482" s="82" t="n"/>
      <c r="W482" s="82" t="n"/>
      <c r="X482" s="82" t="n"/>
      <c r="Y482" s="82" t="n"/>
      <c r="Z482" s="82" t="n"/>
    </row>
    <row r="483" ht="15.75" customHeight="1" s="83">
      <c r="A483" s="82" t="n"/>
      <c r="B483" s="82" t="n"/>
      <c r="C483" s="82" t="n"/>
      <c r="D483" s="82" t="n"/>
      <c r="E483" s="81" t="n"/>
      <c r="F483" s="82" t="n"/>
      <c r="G483" s="82" t="n"/>
      <c r="H483" s="82" t="n"/>
      <c r="I483" s="82" t="n"/>
      <c r="J483" s="82" t="n"/>
      <c r="K483" s="82" t="n"/>
      <c r="L483" s="82" t="n"/>
      <c r="M483" s="82" t="n"/>
      <c r="N483" s="82" t="n"/>
      <c r="O483" s="82" t="n"/>
      <c r="P483" s="82" t="n"/>
      <c r="Q483" s="82" t="n"/>
      <c r="R483" s="82" t="n"/>
      <c r="S483" s="82" t="n"/>
      <c r="T483" s="82" t="n"/>
      <c r="U483" s="82" t="n"/>
      <c r="V483" s="82" t="n"/>
      <c r="W483" s="82" t="n"/>
      <c r="X483" s="82" t="n"/>
      <c r="Y483" s="82" t="n"/>
      <c r="Z483" s="82" t="n"/>
    </row>
    <row r="484" ht="15.75" customHeight="1" s="83">
      <c r="A484" s="82" t="n"/>
      <c r="B484" s="82" t="n"/>
      <c r="C484" s="82" t="n"/>
      <c r="D484" s="82" t="n"/>
      <c r="E484" s="81" t="n"/>
      <c r="F484" s="82" t="n"/>
      <c r="G484" s="82" t="n"/>
      <c r="H484" s="82" t="n"/>
      <c r="I484" s="82" t="n"/>
      <c r="J484" s="82" t="n"/>
      <c r="K484" s="82" t="n"/>
      <c r="L484" s="82" t="n"/>
      <c r="M484" s="82" t="n"/>
      <c r="N484" s="82" t="n"/>
      <c r="O484" s="82" t="n"/>
      <c r="P484" s="82" t="n"/>
      <c r="Q484" s="82" t="n"/>
      <c r="R484" s="82" t="n"/>
      <c r="S484" s="82" t="n"/>
      <c r="T484" s="82" t="n"/>
      <c r="U484" s="82" t="n"/>
      <c r="V484" s="82" t="n"/>
      <c r="W484" s="82" t="n"/>
      <c r="X484" s="82" t="n"/>
      <c r="Y484" s="82" t="n"/>
      <c r="Z484" s="82" t="n"/>
    </row>
    <row r="485" ht="15.75" customHeight="1" s="83">
      <c r="A485" s="82" t="n"/>
      <c r="B485" s="82" t="n"/>
      <c r="C485" s="82" t="n"/>
      <c r="D485" s="82" t="n"/>
      <c r="E485" s="81" t="n"/>
      <c r="F485" s="82" t="n"/>
      <c r="G485" s="82" t="n"/>
      <c r="H485" s="82" t="n"/>
      <c r="I485" s="82" t="n"/>
      <c r="J485" s="82" t="n"/>
      <c r="K485" s="82" t="n"/>
      <c r="L485" s="82" t="n"/>
      <c r="M485" s="82" t="n"/>
      <c r="N485" s="82" t="n"/>
      <c r="O485" s="82" t="n"/>
      <c r="P485" s="82" t="n"/>
      <c r="Q485" s="82" t="n"/>
      <c r="R485" s="82" t="n"/>
      <c r="S485" s="82" t="n"/>
      <c r="T485" s="82" t="n"/>
      <c r="U485" s="82" t="n"/>
      <c r="V485" s="82" t="n"/>
      <c r="W485" s="82" t="n"/>
      <c r="X485" s="82" t="n"/>
      <c r="Y485" s="82" t="n"/>
      <c r="Z485" s="82" t="n"/>
    </row>
    <row r="486" ht="15.75" customHeight="1" s="83">
      <c r="A486" s="82" t="n"/>
      <c r="B486" s="82" t="n"/>
      <c r="C486" s="82" t="n"/>
      <c r="D486" s="82" t="n"/>
      <c r="E486" s="81" t="n"/>
      <c r="F486" s="82" t="n"/>
      <c r="G486" s="82" t="n"/>
      <c r="H486" s="82" t="n"/>
      <c r="I486" s="82" t="n"/>
      <c r="J486" s="82" t="n"/>
      <c r="K486" s="82" t="n"/>
      <c r="L486" s="82" t="n"/>
      <c r="M486" s="82" t="n"/>
      <c r="N486" s="82" t="n"/>
      <c r="O486" s="82" t="n"/>
      <c r="P486" s="82" t="n"/>
      <c r="Q486" s="82" t="n"/>
      <c r="R486" s="82" t="n"/>
      <c r="S486" s="82" t="n"/>
      <c r="T486" s="82" t="n"/>
      <c r="U486" s="82" t="n"/>
      <c r="V486" s="82" t="n"/>
      <c r="W486" s="82" t="n"/>
      <c r="X486" s="82" t="n"/>
      <c r="Y486" s="82" t="n"/>
      <c r="Z486" s="82" t="n"/>
    </row>
    <row r="487" ht="15.75" customHeight="1" s="83">
      <c r="A487" s="82" t="n"/>
      <c r="B487" s="82" t="n"/>
      <c r="C487" s="82" t="n"/>
      <c r="D487" s="82" t="n"/>
      <c r="E487" s="81" t="n"/>
      <c r="F487" s="82" t="n"/>
      <c r="G487" s="82" t="n"/>
      <c r="H487" s="82" t="n"/>
      <c r="I487" s="82" t="n"/>
      <c r="J487" s="82" t="n"/>
      <c r="K487" s="82" t="n"/>
      <c r="L487" s="82" t="n"/>
      <c r="M487" s="82" t="n"/>
      <c r="N487" s="82" t="n"/>
      <c r="O487" s="82" t="n"/>
      <c r="P487" s="82" t="n"/>
      <c r="Q487" s="82" t="n"/>
      <c r="R487" s="82" t="n"/>
      <c r="S487" s="82" t="n"/>
      <c r="T487" s="82" t="n"/>
      <c r="U487" s="82" t="n"/>
      <c r="V487" s="82" t="n"/>
      <c r="W487" s="82" t="n"/>
      <c r="X487" s="82" t="n"/>
      <c r="Y487" s="82" t="n"/>
      <c r="Z487" s="82" t="n"/>
    </row>
    <row r="488" ht="15.75" customHeight="1" s="83">
      <c r="A488" s="82" t="n"/>
      <c r="B488" s="82" t="n"/>
      <c r="C488" s="82" t="n"/>
      <c r="D488" s="82" t="n"/>
      <c r="E488" s="81" t="n"/>
      <c r="F488" s="82" t="n"/>
      <c r="G488" s="82" t="n"/>
      <c r="H488" s="82" t="n"/>
      <c r="I488" s="82" t="n"/>
      <c r="J488" s="82" t="n"/>
      <c r="K488" s="82" t="n"/>
      <c r="L488" s="82" t="n"/>
      <c r="M488" s="82" t="n"/>
      <c r="N488" s="82" t="n"/>
      <c r="O488" s="82" t="n"/>
      <c r="P488" s="82" t="n"/>
      <c r="Q488" s="82" t="n"/>
      <c r="R488" s="82" t="n"/>
      <c r="S488" s="82" t="n"/>
      <c r="T488" s="82" t="n"/>
      <c r="U488" s="82" t="n"/>
      <c r="V488" s="82" t="n"/>
      <c r="W488" s="82" t="n"/>
      <c r="X488" s="82" t="n"/>
      <c r="Y488" s="82" t="n"/>
      <c r="Z488" s="82" t="n"/>
    </row>
    <row r="489" ht="15.75" customHeight="1" s="83">
      <c r="A489" s="82" t="n"/>
      <c r="B489" s="82" t="n"/>
      <c r="C489" s="82" t="n"/>
      <c r="D489" s="82" t="n"/>
      <c r="E489" s="81" t="n"/>
      <c r="F489" s="82" t="n"/>
      <c r="G489" s="82" t="n"/>
      <c r="H489" s="82" t="n"/>
      <c r="I489" s="82" t="n"/>
      <c r="J489" s="82" t="n"/>
      <c r="K489" s="82" t="n"/>
      <c r="L489" s="82" t="n"/>
      <c r="M489" s="82" t="n"/>
      <c r="N489" s="82" t="n"/>
      <c r="O489" s="82" t="n"/>
      <c r="P489" s="82" t="n"/>
      <c r="Q489" s="82" t="n"/>
      <c r="R489" s="82" t="n"/>
      <c r="S489" s="82" t="n"/>
      <c r="T489" s="82" t="n"/>
      <c r="U489" s="82" t="n"/>
      <c r="V489" s="82" t="n"/>
      <c r="W489" s="82" t="n"/>
      <c r="X489" s="82" t="n"/>
      <c r="Y489" s="82" t="n"/>
      <c r="Z489" s="82" t="n"/>
    </row>
    <row r="490" ht="15.75" customHeight="1" s="83">
      <c r="A490" s="82" t="n"/>
      <c r="B490" s="82" t="n"/>
      <c r="C490" s="82" t="n"/>
      <c r="D490" s="82" t="n"/>
      <c r="E490" s="81" t="n"/>
      <c r="F490" s="82" t="n"/>
      <c r="G490" s="82" t="n"/>
      <c r="H490" s="82" t="n"/>
      <c r="I490" s="82" t="n"/>
      <c r="J490" s="82" t="n"/>
      <c r="K490" s="82" t="n"/>
      <c r="L490" s="82" t="n"/>
      <c r="M490" s="82" t="n"/>
      <c r="N490" s="82" t="n"/>
      <c r="O490" s="82" t="n"/>
      <c r="P490" s="82" t="n"/>
      <c r="Q490" s="82" t="n"/>
      <c r="R490" s="82" t="n"/>
      <c r="S490" s="82" t="n"/>
      <c r="T490" s="82" t="n"/>
      <c r="U490" s="82" t="n"/>
      <c r="V490" s="82" t="n"/>
      <c r="W490" s="82" t="n"/>
      <c r="X490" s="82" t="n"/>
      <c r="Y490" s="82" t="n"/>
      <c r="Z490" s="82" t="n"/>
    </row>
    <row r="491" ht="15.75" customHeight="1" s="83">
      <c r="A491" s="82" t="n"/>
      <c r="B491" s="82" t="n"/>
      <c r="C491" s="82" t="n"/>
      <c r="D491" s="82" t="n"/>
      <c r="E491" s="81" t="n"/>
      <c r="F491" s="82" t="n"/>
      <c r="G491" s="82" t="n"/>
      <c r="H491" s="82" t="n"/>
      <c r="I491" s="82" t="n"/>
      <c r="J491" s="82" t="n"/>
      <c r="K491" s="82" t="n"/>
      <c r="L491" s="82" t="n"/>
      <c r="M491" s="82" t="n"/>
      <c r="N491" s="82" t="n"/>
      <c r="O491" s="82" t="n"/>
      <c r="P491" s="82" t="n"/>
      <c r="Q491" s="82" t="n"/>
      <c r="R491" s="82" t="n"/>
      <c r="S491" s="82" t="n"/>
      <c r="T491" s="82" t="n"/>
      <c r="U491" s="82" t="n"/>
      <c r="V491" s="82" t="n"/>
      <c r="W491" s="82" t="n"/>
      <c r="X491" s="82" t="n"/>
      <c r="Y491" s="82" t="n"/>
      <c r="Z491" s="82" t="n"/>
    </row>
    <row r="492" ht="15.75" customHeight="1" s="83">
      <c r="A492" s="82" t="n"/>
      <c r="B492" s="82" t="n"/>
      <c r="C492" s="82" t="n"/>
      <c r="D492" s="82" t="n"/>
      <c r="E492" s="81" t="n"/>
      <c r="F492" s="82" t="n"/>
      <c r="G492" s="82" t="n"/>
      <c r="H492" s="82" t="n"/>
      <c r="I492" s="82" t="n"/>
      <c r="J492" s="82" t="n"/>
      <c r="K492" s="82" t="n"/>
      <c r="L492" s="82" t="n"/>
      <c r="M492" s="82" t="n"/>
      <c r="N492" s="82" t="n"/>
      <c r="O492" s="82" t="n"/>
      <c r="P492" s="82" t="n"/>
      <c r="Q492" s="82" t="n"/>
      <c r="R492" s="82" t="n"/>
      <c r="S492" s="82" t="n"/>
      <c r="T492" s="82" t="n"/>
      <c r="U492" s="82" t="n"/>
      <c r="V492" s="82" t="n"/>
      <c r="W492" s="82" t="n"/>
      <c r="X492" s="82" t="n"/>
      <c r="Y492" s="82" t="n"/>
      <c r="Z492" s="82" t="n"/>
    </row>
    <row r="493" ht="15.75" customHeight="1" s="83">
      <c r="A493" s="82" t="n"/>
      <c r="B493" s="82" t="n"/>
      <c r="C493" s="82" t="n"/>
      <c r="D493" s="82" t="n"/>
      <c r="E493" s="81" t="n"/>
      <c r="F493" s="82" t="n"/>
      <c r="G493" s="82" t="n"/>
      <c r="H493" s="82" t="n"/>
      <c r="I493" s="82" t="n"/>
      <c r="J493" s="82" t="n"/>
      <c r="K493" s="82" t="n"/>
      <c r="L493" s="82" t="n"/>
      <c r="M493" s="82" t="n"/>
      <c r="N493" s="82" t="n"/>
      <c r="O493" s="82" t="n"/>
      <c r="P493" s="82" t="n"/>
      <c r="Q493" s="82" t="n"/>
      <c r="R493" s="82" t="n"/>
      <c r="S493" s="82" t="n"/>
      <c r="T493" s="82" t="n"/>
      <c r="U493" s="82" t="n"/>
      <c r="V493" s="82" t="n"/>
      <c r="W493" s="82" t="n"/>
      <c r="X493" s="82" t="n"/>
      <c r="Y493" s="82" t="n"/>
      <c r="Z493" s="82" t="n"/>
    </row>
    <row r="494" ht="15.75" customHeight="1" s="83">
      <c r="A494" s="82" t="n"/>
      <c r="B494" s="82" t="n"/>
      <c r="C494" s="82" t="n"/>
      <c r="D494" s="82" t="n"/>
      <c r="E494" s="81" t="n"/>
      <c r="F494" s="82" t="n"/>
      <c r="G494" s="82" t="n"/>
      <c r="H494" s="82" t="n"/>
      <c r="I494" s="82" t="n"/>
      <c r="J494" s="82" t="n"/>
      <c r="K494" s="82" t="n"/>
      <c r="L494" s="82" t="n"/>
      <c r="M494" s="82" t="n"/>
      <c r="N494" s="82" t="n"/>
      <c r="O494" s="82" t="n"/>
      <c r="P494" s="82" t="n"/>
      <c r="Q494" s="82" t="n"/>
      <c r="R494" s="82" t="n"/>
      <c r="S494" s="82" t="n"/>
      <c r="T494" s="82" t="n"/>
      <c r="U494" s="82" t="n"/>
      <c r="V494" s="82" t="n"/>
      <c r="W494" s="82" t="n"/>
      <c r="X494" s="82" t="n"/>
      <c r="Y494" s="82" t="n"/>
      <c r="Z494" s="82" t="n"/>
    </row>
    <row r="495" ht="15.75" customHeight="1" s="83">
      <c r="A495" s="82" t="n"/>
      <c r="B495" s="82" t="n"/>
      <c r="C495" s="82" t="n"/>
      <c r="D495" s="82" t="n"/>
      <c r="E495" s="81" t="n"/>
      <c r="F495" s="82" t="n"/>
      <c r="G495" s="82" t="n"/>
      <c r="H495" s="82" t="n"/>
      <c r="I495" s="82" t="n"/>
      <c r="J495" s="82" t="n"/>
      <c r="K495" s="82" t="n"/>
      <c r="L495" s="82" t="n"/>
      <c r="M495" s="82" t="n"/>
      <c r="N495" s="82" t="n"/>
      <c r="O495" s="82" t="n"/>
      <c r="P495" s="82" t="n"/>
      <c r="Q495" s="82" t="n"/>
      <c r="R495" s="82" t="n"/>
      <c r="S495" s="82" t="n"/>
      <c r="T495" s="82" t="n"/>
      <c r="U495" s="82" t="n"/>
      <c r="V495" s="82" t="n"/>
      <c r="W495" s="82" t="n"/>
      <c r="X495" s="82" t="n"/>
      <c r="Y495" s="82" t="n"/>
      <c r="Z495" s="82" t="n"/>
    </row>
    <row r="496" ht="15.75" customHeight="1" s="83">
      <c r="A496" s="82" t="n"/>
      <c r="B496" s="82" t="n"/>
      <c r="C496" s="82" t="n"/>
      <c r="D496" s="82" t="n"/>
      <c r="E496" s="81" t="n"/>
      <c r="F496" s="82" t="n"/>
      <c r="G496" s="82" t="n"/>
      <c r="H496" s="82" t="n"/>
      <c r="I496" s="82" t="n"/>
      <c r="J496" s="82" t="n"/>
      <c r="K496" s="82" t="n"/>
      <c r="L496" s="82" t="n"/>
      <c r="M496" s="82" t="n"/>
      <c r="N496" s="82" t="n"/>
      <c r="O496" s="82" t="n"/>
      <c r="P496" s="82" t="n"/>
      <c r="Q496" s="82" t="n"/>
      <c r="R496" s="82" t="n"/>
      <c r="S496" s="82" t="n"/>
      <c r="T496" s="82" t="n"/>
      <c r="U496" s="82" t="n"/>
      <c r="V496" s="82" t="n"/>
      <c r="W496" s="82" t="n"/>
      <c r="X496" s="82" t="n"/>
      <c r="Y496" s="82" t="n"/>
      <c r="Z496" s="82" t="n"/>
    </row>
    <row r="497" ht="15.75" customHeight="1" s="83">
      <c r="A497" s="82" t="n"/>
      <c r="B497" s="82" t="n"/>
      <c r="C497" s="82" t="n"/>
      <c r="D497" s="82" t="n"/>
      <c r="E497" s="81" t="n"/>
      <c r="F497" s="82" t="n"/>
      <c r="G497" s="82" t="n"/>
      <c r="H497" s="82" t="n"/>
      <c r="I497" s="82" t="n"/>
      <c r="J497" s="82" t="n"/>
      <c r="K497" s="82" t="n"/>
      <c r="L497" s="82" t="n"/>
      <c r="M497" s="82" t="n"/>
      <c r="N497" s="82" t="n"/>
      <c r="O497" s="82" t="n"/>
      <c r="P497" s="82" t="n"/>
      <c r="Q497" s="82" t="n"/>
      <c r="R497" s="82" t="n"/>
      <c r="S497" s="82" t="n"/>
      <c r="T497" s="82" t="n"/>
      <c r="U497" s="82" t="n"/>
      <c r="V497" s="82" t="n"/>
      <c r="W497" s="82" t="n"/>
      <c r="X497" s="82" t="n"/>
      <c r="Y497" s="82" t="n"/>
      <c r="Z497" s="82" t="n"/>
    </row>
    <row r="498" ht="15.75" customHeight="1" s="83">
      <c r="A498" s="82" t="n"/>
      <c r="B498" s="82" t="n"/>
      <c r="C498" s="82" t="n"/>
      <c r="D498" s="82" t="n"/>
      <c r="E498" s="81" t="n"/>
      <c r="F498" s="82" t="n"/>
      <c r="G498" s="82" t="n"/>
      <c r="H498" s="82" t="n"/>
      <c r="I498" s="82" t="n"/>
      <c r="J498" s="82" t="n"/>
      <c r="K498" s="82" t="n"/>
      <c r="L498" s="82" t="n"/>
      <c r="M498" s="82" t="n"/>
      <c r="N498" s="82" t="n"/>
      <c r="O498" s="82" t="n"/>
      <c r="P498" s="82" t="n"/>
      <c r="Q498" s="82" t="n"/>
      <c r="R498" s="82" t="n"/>
      <c r="S498" s="82" t="n"/>
      <c r="T498" s="82" t="n"/>
      <c r="U498" s="82" t="n"/>
      <c r="V498" s="82" t="n"/>
      <c r="W498" s="82" t="n"/>
      <c r="X498" s="82" t="n"/>
      <c r="Y498" s="82" t="n"/>
      <c r="Z498" s="82" t="n"/>
    </row>
    <row r="499" ht="15.75" customHeight="1" s="83">
      <c r="A499" s="82" t="n"/>
      <c r="B499" s="82" t="n"/>
      <c r="C499" s="82" t="n"/>
      <c r="D499" s="82" t="n"/>
      <c r="E499" s="81" t="n"/>
      <c r="F499" s="82" t="n"/>
      <c r="G499" s="82" t="n"/>
      <c r="H499" s="82" t="n"/>
      <c r="I499" s="82" t="n"/>
      <c r="J499" s="82" t="n"/>
      <c r="K499" s="82" t="n"/>
      <c r="L499" s="82" t="n"/>
      <c r="M499" s="82" t="n"/>
      <c r="N499" s="82" t="n"/>
      <c r="O499" s="82" t="n"/>
      <c r="P499" s="82" t="n"/>
      <c r="Q499" s="82" t="n"/>
      <c r="R499" s="82" t="n"/>
      <c r="S499" s="82" t="n"/>
      <c r="T499" s="82" t="n"/>
      <c r="U499" s="82" t="n"/>
      <c r="V499" s="82" t="n"/>
      <c r="W499" s="82" t="n"/>
      <c r="X499" s="82" t="n"/>
      <c r="Y499" s="82" t="n"/>
      <c r="Z499" s="82" t="n"/>
    </row>
    <row r="500" ht="15.75" customHeight="1" s="83">
      <c r="A500" s="82" t="n"/>
      <c r="B500" s="82" t="n"/>
      <c r="C500" s="82" t="n"/>
      <c r="D500" s="82" t="n"/>
      <c r="E500" s="81" t="n"/>
      <c r="F500" s="82" t="n"/>
      <c r="G500" s="82" t="n"/>
      <c r="H500" s="82" t="n"/>
      <c r="I500" s="82" t="n"/>
      <c r="J500" s="82" t="n"/>
      <c r="K500" s="82" t="n"/>
      <c r="L500" s="82" t="n"/>
      <c r="M500" s="82" t="n"/>
      <c r="N500" s="82" t="n"/>
      <c r="O500" s="82" t="n"/>
      <c r="P500" s="82" t="n"/>
      <c r="Q500" s="82" t="n"/>
      <c r="R500" s="82" t="n"/>
      <c r="S500" s="82" t="n"/>
      <c r="T500" s="82" t="n"/>
      <c r="U500" s="82" t="n"/>
      <c r="V500" s="82" t="n"/>
      <c r="W500" s="82" t="n"/>
      <c r="X500" s="82" t="n"/>
      <c r="Y500" s="82" t="n"/>
      <c r="Z500" s="82" t="n"/>
    </row>
    <row r="501" ht="15.75" customHeight="1" s="83">
      <c r="A501" s="82" t="n"/>
      <c r="B501" s="82" t="n"/>
      <c r="C501" s="82" t="n"/>
      <c r="D501" s="82" t="n"/>
      <c r="E501" s="81" t="n"/>
      <c r="F501" s="82" t="n"/>
      <c r="G501" s="82" t="n"/>
      <c r="H501" s="82" t="n"/>
      <c r="I501" s="82" t="n"/>
      <c r="J501" s="82" t="n"/>
      <c r="K501" s="82" t="n"/>
      <c r="L501" s="82" t="n"/>
      <c r="M501" s="82" t="n"/>
      <c r="N501" s="82" t="n"/>
      <c r="O501" s="82" t="n"/>
      <c r="P501" s="82" t="n"/>
      <c r="Q501" s="82" t="n"/>
      <c r="R501" s="82" t="n"/>
      <c r="S501" s="82" t="n"/>
      <c r="T501" s="82" t="n"/>
      <c r="U501" s="82" t="n"/>
      <c r="V501" s="82" t="n"/>
      <c r="W501" s="82" t="n"/>
      <c r="X501" s="82" t="n"/>
      <c r="Y501" s="82" t="n"/>
      <c r="Z501" s="82" t="n"/>
    </row>
    <row r="502" ht="15.75" customHeight="1" s="83">
      <c r="A502" s="82" t="n"/>
      <c r="B502" s="82" t="n"/>
      <c r="C502" s="82" t="n"/>
      <c r="D502" s="82" t="n"/>
      <c r="E502" s="81" t="n"/>
      <c r="F502" s="82" t="n"/>
      <c r="G502" s="82" t="n"/>
      <c r="H502" s="82" t="n"/>
      <c r="I502" s="82" t="n"/>
      <c r="J502" s="82" t="n"/>
      <c r="K502" s="82" t="n"/>
      <c r="L502" s="82" t="n"/>
      <c r="M502" s="82" t="n"/>
      <c r="N502" s="82" t="n"/>
      <c r="O502" s="82" t="n"/>
      <c r="P502" s="82" t="n"/>
      <c r="Q502" s="82" t="n"/>
      <c r="R502" s="82" t="n"/>
      <c r="S502" s="82" t="n"/>
      <c r="T502" s="82" t="n"/>
      <c r="U502" s="82" t="n"/>
      <c r="V502" s="82" t="n"/>
      <c r="W502" s="82" t="n"/>
      <c r="X502" s="82" t="n"/>
      <c r="Y502" s="82" t="n"/>
      <c r="Z502" s="82" t="n"/>
    </row>
    <row r="503" ht="15.75" customHeight="1" s="83">
      <c r="A503" s="82" t="n"/>
      <c r="B503" s="82" t="n"/>
      <c r="C503" s="82" t="n"/>
      <c r="D503" s="82" t="n"/>
      <c r="E503" s="81" t="n"/>
      <c r="F503" s="82" t="n"/>
      <c r="G503" s="82" t="n"/>
      <c r="H503" s="82" t="n"/>
      <c r="I503" s="82" t="n"/>
      <c r="J503" s="82" t="n"/>
      <c r="K503" s="82" t="n"/>
      <c r="L503" s="82" t="n"/>
      <c r="M503" s="82" t="n"/>
      <c r="N503" s="82" t="n"/>
      <c r="O503" s="82" t="n"/>
      <c r="P503" s="82" t="n"/>
      <c r="Q503" s="82" t="n"/>
      <c r="R503" s="82" t="n"/>
      <c r="S503" s="82" t="n"/>
      <c r="T503" s="82" t="n"/>
      <c r="U503" s="82" t="n"/>
      <c r="V503" s="82" t="n"/>
      <c r="W503" s="82" t="n"/>
      <c r="X503" s="82" t="n"/>
      <c r="Y503" s="82" t="n"/>
      <c r="Z503" s="82" t="n"/>
    </row>
    <row r="504" ht="15.75" customHeight="1" s="83">
      <c r="A504" s="82" t="n"/>
      <c r="B504" s="82" t="n"/>
      <c r="C504" s="82" t="n"/>
      <c r="D504" s="82" t="n"/>
      <c r="E504" s="81" t="n"/>
      <c r="F504" s="82" t="n"/>
      <c r="G504" s="82" t="n"/>
      <c r="H504" s="82" t="n"/>
      <c r="I504" s="82" t="n"/>
      <c r="J504" s="82" t="n"/>
      <c r="K504" s="82" t="n"/>
      <c r="L504" s="82" t="n"/>
      <c r="M504" s="82" t="n"/>
      <c r="N504" s="82" t="n"/>
      <c r="O504" s="82" t="n"/>
      <c r="P504" s="82" t="n"/>
      <c r="Q504" s="82" t="n"/>
      <c r="R504" s="82" t="n"/>
      <c r="S504" s="82" t="n"/>
      <c r="T504" s="82" t="n"/>
      <c r="U504" s="82" t="n"/>
      <c r="V504" s="82" t="n"/>
      <c r="W504" s="82" t="n"/>
      <c r="X504" s="82" t="n"/>
      <c r="Y504" s="82" t="n"/>
      <c r="Z504" s="82" t="n"/>
    </row>
    <row r="505" ht="15.75" customHeight="1" s="83">
      <c r="A505" s="82" t="n"/>
      <c r="B505" s="82" t="n"/>
      <c r="C505" s="82" t="n"/>
      <c r="D505" s="82" t="n"/>
      <c r="E505" s="81" t="n"/>
      <c r="F505" s="82" t="n"/>
      <c r="G505" s="82" t="n"/>
      <c r="H505" s="82" t="n"/>
      <c r="I505" s="82" t="n"/>
      <c r="J505" s="82" t="n"/>
      <c r="K505" s="82" t="n"/>
      <c r="L505" s="82" t="n"/>
      <c r="M505" s="82" t="n"/>
      <c r="N505" s="82" t="n"/>
      <c r="O505" s="82" t="n"/>
      <c r="P505" s="82" t="n"/>
      <c r="Q505" s="82" t="n"/>
      <c r="R505" s="82" t="n"/>
      <c r="S505" s="82" t="n"/>
      <c r="T505" s="82" t="n"/>
      <c r="U505" s="82" t="n"/>
      <c r="V505" s="82" t="n"/>
      <c r="W505" s="82" t="n"/>
      <c r="X505" s="82" t="n"/>
      <c r="Y505" s="82" t="n"/>
      <c r="Z505" s="82" t="n"/>
    </row>
    <row r="506" ht="15.75" customHeight="1" s="83">
      <c r="A506" s="82" t="n"/>
      <c r="B506" s="82" t="n"/>
      <c r="C506" s="82" t="n"/>
      <c r="D506" s="82" t="n"/>
      <c r="E506" s="81" t="n"/>
      <c r="F506" s="82" t="n"/>
      <c r="G506" s="82" t="n"/>
      <c r="H506" s="82" t="n"/>
      <c r="I506" s="82" t="n"/>
      <c r="J506" s="82" t="n"/>
      <c r="K506" s="82" t="n"/>
      <c r="L506" s="82" t="n"/>
      <c r="M506" s="82" t="n"/>
      <c r="N506" s="82" t="n"/>
      <c r="O506" s="82" t="n"/>
      <c r="P506" s="82" t="n"/>
      <c r="Q506" s="82" t="n"/>
      <c r="R506" s="82" t="n"/>
      <c r="S506" s="82" t="n"/>
      <c r="T506" s="82" t="n"/>
      <c r="U506" s="82" t="n"/>
      <c r="V506" s="82" t="n"/>
      <c r="W506" s="82" t="n"/>
      <c r="X506" s="82" t="n"/>
      <c r="Y506" s="82" t="n"/>
      <c r="Z506" s="82" t="n"/>
    </row>
    <row r="507" ht="15.75" customHeight="1" s="83">
      <c r="A507" s="82" t="n"/>
      <c r="B507" s="82" t="n"/>
      <c r="C507" s="82" t="n"/>
      <c r="D507" s="82" t="n"/>
      <c r="E507" s="81" t="n"/>
      <c r="F507" s="82" t="n"/>
      <c r="G507" s="82" t="n"/>
      <c r="H507" s="82" t="n"/>
      <c r="I507" s="82" t="n"/>
      <c r="J507" s="82" t="n"/>
      <c r="K507" s="82" t="n"/>
      <c r="L507" s="82" t="n"/>
      <c r="M507" s="82" t="n"/>
      <c r="N507" s="82" t="n"/>
      <c r="O507" s="82" t="n"/>
      <c r="P507" s="82" t="n"/>
      <c r="Q507" s="82" t="n"/>
      <c r="R507" s="82" t="n"/>
      <c r="S507" s="82" t="n"/>
      <c r="T507" s="82" t="n"/>
      <c r="U507" s="82" t="n"/>
      <c r="V507" s="82" t="n"/>
      <c r="W507" s="82" t="n"/>
      <c r="X507" s="82" t="n"/>
      <c r="Y507" s="82" t="n"/>
      <c r="Z507" s="82" t="n"/>
    </row>
    <row r="508" ht="15.75" customHeight="1" s="83">
      <c r="A508" s="82" t="n"/>
      <c r="B508" s="82" t="n"/>
      <c r="C508" s="82" t="n"/>
      <c r="D508" s="82" t="n"/>
      <c r="E508" s="81" t="n"/>
      <c r="F508" s="82" t="n"/>
      <c r="G508" s="82" t="n"/>
      <c r="H508" s="82" t="n"/>
      <c r="I508" s="82" t="n"/>
      <c r="J508" s="82" t="n"/>
      <c r="K508" s="82" t="n"/>
      <c r="L508" s="82" t="n"/>
      <c r="M508" s="82" t="n"/>
      <c r="N508" s="82" t="n"/>
      <c r="O508" s="82" t="n"/>
      <c r="P508" s="82" t="n"/>
      <c r="Q508" s="82" t="n"/>
      <c r="R508" s="82" t="n"/>
      <c r="S508" s="82" t="n"/>
      <c r="T508" s="82" t="n"/>
      <c r="U508" s="82" t="n"/>
      <c r="V508" s="82" t="n"/>
      <c r="W508" s="82" t="n"/>
      <c r="X508" s="82" t="n"/>
      <c r="Y508" s="82" t="n"/>
      <c r="Z508" s="82" t="n"/>
    </row>
    <row r="509" ht="15.75" customHeight="1" s="83">
      <c r="A509" s="82" t="n"/>
      <c r="B509" s="82" t="n"/>
      <c r="C509" s="82" t="n"/>
      <c r="D509" s="82" t="n"/>
      <c r="E509" s="81" t="n"/>
      <c r="F509" s="82" t="n"/>
      <c r="G509" s="82" t="n"/>
      <c r="H509" s="82" t="n"/>
      <c r="I509" s="82" t="n"/>
      <c r="J509" s="82" t="n"/>
      <c r="K509" s="82" t="n"/>
      <c r="L509" s="82" t="n"/>
      <c r="M509" s="82" t="n"/>
      <c r="N509" s="82" t="n"/>
      <c r="O509" s="82" t="n"/>
      <c r="P509" s="82" t="n"/>
      <c r="Q509" s="82" t="n"/>
      <c r="R509" s="82" t="n"/>
      <c r="S509" s="82" t="n"/>
      <c r="T509" s="82" t="n"/>
      <c r="U509" s="82" t="n"/>
      <c r="V509" s="82" t="n"/>
      <c r="W509" s="82" t="n"/>
      <c r="X509" s="82" t="n"/>
      <c r="Y509" s="82" t="n"/>
      <c r="Z509" s="82" t="n"/>
    </row>
    <row r="510" ht="15.75" customHeight="1" s="83">
      <c r="A510" s="82" t="n"/>
      <c r="B510" s="82" t="n"/>
      <c r="C510" s="82" t="n"/>
      <c r="D510" s="82" t="n"/>
      <c r="E510" s="81" t="n"/>
      <c r="F510" s="82" t="n"/>
      <c r="G510" s="82" t="n"/>
      <c r="H510" s="82" t="n"/>
      <c r="I510" s="82" t="n"/>
      <c r="J510" s="82" t="n"/>
      <c r="K510" s="82" t="n"/>
      <c r="L510" s="82" t="n"/>
      <c r="M510" s="82" t="n"/>
      <c r="N510" s="82" t="n"/>
      <c r="O510" s="82" t="n"/>
      <c r="P510" s="82" t="n"/>
      <c r="Q510" s="82" t="n"/>
      <c r="R510" s="82" t="n"/>
      <c r="S510" s="82" t="n"/>
      <c r="T510" s="82" t="n"/>
      <c r="U510" s="82" t="n"/>
      <c r="V510" s="82" t="n"/>
      <c r="W510" s="82" t="n"/>
      <c r="X510" s="82" t="n"/>
      <c r="Y510" s="82" t="n"/>
      <c r="Z510" s="82" t="n"/>
    </row>
    <row r="511" ht="15.75" customHeight="1" s="83">
      <c r="A511" s="82" t="n"/>
      <c r="B511" s="82" t="n"/>
      <c r="C511" s="82" t="n"/>
      <c r="D511" s="82" t="n"/>
      <c r="E511" s="81" t="n"/>
      <c r="F511" s="82" t="n"/>
      <c r="G511" s="82" t="n"/>
      <c r="H511" s="82" t="n"/>
      <c r="I511" s="82" t="n"/>
      <c r="J511" s="82" t="n"/>
      <c r="K511" s="82" t="n"/>
      <c r="L511" s="82" t="n"/>
      <c r="M511" s="82" t="n"/>
      <c r="N511" s="82" t="n"/>
      <c r="O511" s="82" t="n"/>
      <c r="P511" s="82" t="n"/>
      <c r="Q511" s="82" t="n"/>
      <c r="R511" s="82" t="n"/>
      <c r="S511" s="82" t="n"/>
      <c r="T511" s="82" t="n"/>
      <c r="U511" s="82" t="n"/>
      <c r="V511" s="82" t="n"/>
      <c r="W511" s="82" t="n"/>
      <c r="X511" s="82" t="n"/>
      <c r="Y511" s="82" t="n"/>
      <c r="Z511" s="82" t="n"/>
    </row>
    <row r="512" ht="15.75" customHeight="1" s="83">
      <c r="A512" s="82" t="n"/>
      <c r="B512" s="82" t="n"/>
      <c r="C512" s="82" t="n"/>
      <c r="D512" s="82" t="n"/>
      <c r="E512" s="81" t="n"/>
      <c r="F512" s="82" t="n"/>
      <c r="G512" s="82" t="n"/>
      <c r="H512" s="82" t="n"/>
      <c r="I512" s="82" t="n"/>
      <c r="J512" s="82" t="n"/>
      <c r="K512" s="82" t="n"/>
      <c r="L512" s="82" t="n"/>
      <c r="M512" s="82" t="n"/>
      <c r="N512" s="82" t="n"/>
      <c r="O512" s="82" t="n"/>
      <c r="P512" s="82" t="n"/>
      <c r="Q512" s="82" t="n"/>
      <c r="R512" s="82" t="n"/>
      <c r="S512" s="82" t="n"/>
      <c r="T512" s="82" t="n"/>
      <c r="U512" s="82" t="n"/>
      <c r="V512" s="82" t="n"/>
      <c r="W512" s="82" t="n"/>
      <c r="X512" s="82" t="n"/>
      <c r="Y512" s="82" t="n"/>
      <c r="Z512" s="82" t="n"/>
    </row>
    <row r="513" ht="15.75" customHeight="1" s="83">
      <c r="A513" s="82" t="n"/>
      <c r="B513" s="82" t="n"/>
      <c r="C513" s="82" t="n"/>
      <c r="D513" s="82" t="n"/>
      <c r="E513" s="81" t="n"/>
      <c r="F513" s="82" t="n"/>
      <c r="G513" s="82" t="n"/>
      <c r="H513" s="82" t="n"/>
      <c r="I513" s="82" t="n"/>
      <c r="J513" s="82" t="n"/>
      <c r="K513" s="82" t="n"/>
      <c r="L513" s="82" t="n"/>
      <c r="M513" s="82" t="n"/>
      <c r="N513" s="82" t="n"/>
      <c r="O513" s="82" t="n"/>
      <c r="P513" s="82" t="n"/>
      <c r="Q513" s="82" t="n"/>
      <c r="R513" s="82" t="n"/>
      <c r="S513" s="82" t="n"/>
      <c r="T513" s="82" t="n"/>
      <c r="U513" s="82" t="n"/>
      <c r="V513" s="82" t="n"/>
      <c r="W513" s="82" t="n"/>
      <c r="X513" s="82" t="n"/>
      <c r="Y513" s="82" t="n"/>
      <c r="Z513" s="82" t="n"/>
    </row>
    <row r="514" ht="15.75" customHeight="1" s="83">
      <c r="A514" s="82" t="n"/>
      <c r="B514" s="82" t="n"/>
      <c r="C514" s="82" t="n"/>
      <c r="D514" s="82" t="n"/>
      <c r="E514" s="81" t="n"/>
      <c r="F514" s="82" t="n"/>
      <c r="G514" s="82" t="n"/>
      <c r="H514" s="82" t="n"/>
      <c r="I514" s="82" t="n"/>
      <c r="J514" s="82" t="n"/>
      <c r="K514" s="82" t="n"/>
      <c r="L514" s="82" t="n"/>
      <c r="M514" s="82" t="n"/>
      <c r="N514" s="82" t="n"/>
      <c r="O514" s="82" t="n"/>
      <c r="P514" s="82" t="n"/>
      <c r="Q514" s="82" t="n"/>
      <c r="R514" s="82" t="n"/>
      <c r="S514" s="82" t="n"/>
      <c r="T514" s="82" t="n"/>
      <c r="U514" s="82" t="n"/>
      <c r="V514" s="82" t="n"/>
      <c r="W514" s="82" t="n"/>
      <c r="X514" s="82" t="n"/>
      <c r="Y514" s="82" t="n"/>
      <c r="Z514" s="82" t="n"/>
    </row>
    <row r="515" ht="15.75" customHeight="1" s="83">
      <c r="A515" s="82" t="n"/>
      <c r="B515" s="82" t="n"/>
      <c r="C515" s="82" t="n"/>
      <c r="D515" s="82" t="n"/>
      <c r="E515" s="81" t="n"/>
      <c r="F515" s="82" t="n"/>
      <c r="G515" s="82" t="n"/>
      <c r="H515" s="82" t="n"/>
      <c r="I515" s="82" t="n"/>
      <c r="J515" s="82" t="n"/>
      <c r="K515" s="82" t="n"/>
      <c r="L515" s="82" t="n"/>
      <c r="M515" s="82" t="n"/>
      <c r="N515" s="82" t="n"/>
      <c r="O515" s="82" t="n"/>
      <c r="P515" s="82" t="n"/>
      <c r="Q515" s="82" t="n"/>
      <c r="R515" s="82" t="n"/>
      <c r="S515" s="82" t="n"/>
      <c r="T515" s="82" t="n"/>
      <c r="U515" s="82" t="n"/>
      <c r="V515" s="82" t="n"/>
      <c r="W515" s="82" t="n"/>
      <c r="X515" s="82" t="n"/>
      <c r="Y515" s="82" t="n"/>
      <c r="Z515" s="82" t="n"/>
    </row>
    <row r="516" ht="15.75" customHeight="1" s="83">
      <c r="A516" s="82" t="n"/>
      <c r="B516" s="82" t="n"/>
      <c r="C516" s="82" t="n"/>
      <c r="D516" s="82" t="n"/>
      <c r="E516" s="81" t="n"/>
      <c r="F516" s="82" t="n"/>
      <c r="G516" s="82" t="n"/>
      <c r="H516" s="82" t="n"/>
      <c r="I516" s="82" t="n"/>
      <c r="J516" s="82" t="n"/>
      <c r="K516" s="82" t="n"/>
      <c r="L516" s="82" t="n"/>
      <c r="M516" s="82" t="n"/>
      <c r="N516" s="82" t="n"/>
      <c r="O516" s="82" t="n"/>
      <c r="P516" s="82" t="n"/>
      <c r="Q516" s="82" t="n"/>
      <c r="R516" s="82" t="n"/>
      <c r="S516" s="82" t="n"/>
      <c r="T516" s="82" t="n"/>
      <c r="U516" s="82" t="n"/>
      <c r="V516" s="82" t="n"/>
      <c r="W516" s="82" t="n"/>
      <c r="X516" s="82" t="n"/>
      <c r="Y516" s="82" t="n"/>
      <c r="Z516" s="82" t="n"/>
    </row>
    <row r="517" ht="15.75" customHeight="1" s="83">
      <c r="A517" s="82" t="n"/>
      <c r="B517" s="82" t="n"/>
      <c r="C517" s="82" t="n"/>
      <c r="D517" s="82" t="n"/>
      <c r="E517" s="81" t="n"/>
      <c r="F517" s="82" t="n"/>
      <c r="G517" s="82" t="n"/>
      <c r="H517" s="82" t="n"/>
      <c r="I517" s="82" t="n"/>
      <c r="J517" s="82" t="n"/>
      <c r="K517" s="82" t="n"/>
      <c r="L517" s="82" t="n"/>
      <c r="M517" s="82" t="n"/>
      <c r="N517" s="82" t="n"/>
      <c r="O517" s="82" t="n"/>
      <c r="P517" s="82" t="n"/>
      <c r="Q517" s="82" t="n"/>
      <c r="R517" s="82" t="n"/>
      <c r="S517" s="82" t="n"/>
      <c r="T517" s="82" t="n"/>
      <c r="U517" s="82" t="n"/>
      <c r="V517" s="82" t="n"/>
      <c r="W517" s="82" t="n"/>
      <c r="X517" s="82" t="n"/>
      <c r="Y517" s="82" t="n"/>
      <c r="Z517" s="82" t="n"/>
    </row>
    <row r="518" ht="15.75" customHeight="1" s="83">
      <c r="A518" s="82" t="n"/>
      <c r="B518" s="82" t="n"/>
      <c r="C518" s="82" t="n"/>
      <c r="D518" s="82" t="n"/>
      <c r="E518" s="81" t="n"/>
      <c r="F518" s="82" t="n"/>
      <c r="G518" s="82" t="n"/>
      <c r="H518" s="82" t="n"/>
      <c r="I518" s="82" t="n"/>
      <c r="J518" s="82" t="n"/>
      <c r="K518" s="82" t="n"/>
      <c r="L518" s="82" t="n"/>
      <c r="M518" s="82" t="n"/>
      <c r="N518" s="82" t="n"/>
      <c r="O518" s="82" t="n"/>
      <c r="P518" s="82" t="n"/>
      <c r="Q518" s="82" t="n"/>
      <c r="R518" s="82" t="n"/>
      <c r="S518" s="82" t="n"/>
      <c r="T518" s="82" t="n"/>
      <c r="U518" s="82" t="n"/>
      <c r="V518" s="82" t="n"/>
      <c r="W518" s="82" t="n"/>
      <c r="X518" s="82" t="n"/>
      <c r="Y518" s="82" t="n"/>
      <c r="Z518" s="82" t="n"/>
    </row>
    <row r="519" ht="15.75" customHeight="1" s="83">
      <c r="A519" s="82" t="n"/>
      <c r="B519" s="82" t="n"/>
      <c r="C519" s="82" t="n"/>
      <c r="D519" s="82" t="n"/>
      <c r="E519" s="81" t="n"/>
      <c r="F519" s="82" t="n"/>
      <c r="G519" s="82" t="n"/>
      <c r="H519" s="82" t="n"/>
      <c r="I519" s="82" t="n"/>
      <c r="J519" s="82" t="n"/>
      <c r="K519" s="82" t="n"/>
      <c r="L519" s="82" t="n"/>
      <c r="M519" s="82" t="n"/>
      <c r="N519" s="82" t="n"/>
      <c r="O519" s="82" t="n"/>
      <c r="P519" s="82" t="n"/>
      <c r="Q519" s="82" t="n"/>
      <c r="R519" s="82" t="n"/>
      <c r="S519" s="82" t="n"/>
      <c r="T519" s="82" t="n"/>
      <c r="U519" s="82" t="n"/>
      <c r="V519" s="82" t="n"/>
      <c r="W519" s="82" t="n"/>
      <c r="X519" s="82" t="n"/>
      <c r="Y519" s="82" t="n"/>
      <c r="Z519" s="82" t="n"/>
    </row>
    <row r="520" ht="15.75" customHeight="1" s="83">
      <c r="A520" s="82" t="n"/>
      <c r="B520" s="82" t="n"/>
      <c r="C520" s="82" t="n"/>
      <c r="D520" s="82" t="n"/>
      <c r="E520" s="81" t="n"/>
      <c r="F520" s="82" t="n"/>
      <c r="G520" s="82" t="n"/>
      <c r="H520" s="82" t="n"/>
      <c r="I520" s="82" t="n"/>
      <c r="J520" s="82" t="n"/>
      <c r="K520" s="82" t="n"/>
      <c r="L520" s="82" t="n"/>
      <c r="M520" s="82" t="n"/>
      <c r="N520" s="82" t="n"/>
      <c r="O520" s="82" t="n"/>
      <c r="P520" s="82" t="n"/>
      <c r="Q520" s="82" t="n"/>
      <c r="R520" s="82" t="n"/>
      <c r="S520" s="82" t="n"/>
      <c r="T520" s="82" t="n"/>
      <c r="U520" s="82" t="n"/>
      <c r="V520" s="82" t="n"/>
      <c r="W520" s="82" t="n"/>
      <c r="X520" s="82" t="n"/>
      <c r="Y520" s="82" t="n"/>
      <c r="Z520" s="82" t="n"/>
    </row>
    <row r="521" ht="15.75" customHeight="1" s="83">
      <c r="A521" s="82" t="n"/>
      <c r="B521" s="82" t="n"/>
      <c r="C521" s="82" t="n"/>
      <c r="D521" s="82" t="n"/>
      <c r="E521" s="81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  <c r="P521" s="82" t="n"/>
      <c r="Q521" s="82" t="n"/>
      <c r="R521" s="82" t="n"/>
      <c r="S521" s="82" t="n"/>
      <c r="T521" s="82" t="n"/>
      <c r="U521" s="82" t="n"/>
      <c r="V521" s="82" t="n"/>
      <c r="W521" s="82" t="n"/>
      <c r="X521" s="82" t="n"/>
      <c r="Y521" s="82" t="n"/>
      <c r="Z521" s="82" t="n"/>
    </row>
    <row r="522" ht="15.75" customHeight="1" s="83">
      <c r="A522" s="82" t="n"/>
      <c r="B522" s="82" t="n"/>
      <c r="C522" s="82" t="n"/>
      <c r="D522" s="82" t="n"/>
      <c r="E522" s="81" t="n"/>
      <c r="F522" s="82" t="n"/>
      <c r="G522" s="82" t="n"/>
      <c r="H522" s="82" t="n"/>
      <c r="I522" s="82" t="n"/>
      <c r="J522" s="82" t="n"/>
      <c r="K522" s="82" t="n"/>
      <c r="L522" s="82" t="n"/>
      <c r="M522" s="82" t="n"/>
      <c r="N522" s="82" t="n"/>
      <c r="O522" s="82" t="n"/>
      <c r="P522" s="82" t="n"/>
      <c r="Q522" s="82" t="n"/>
      <c r="R522" s="82" t="n"/>
      <c r="S522" s="82" t="n"/>
      <c r="T522" s="82" t="n"/>
      <c r="U522" s="82" t="n"/>
      <c r="V522" s="82" t="n"/>
      <c r="W522" s="82" t="n"/>
      <c r="X522" s="82" t="n"/>
      <c r="Y522" s="82" t="n"/>
      <c r="Z522" s="82" t="n"/>
    </row>
    <row r="523" ht="15.75" customHeight="1" s="83">
      <c r="A523" s="82" t="n"/>
      <c r="B523" s="82" t="n"/>
      <c r="C523" s="82" t="n"/>
      <c r="D523" s="82" t="n"/>
      <c r="E523" s="81" t="n"/>
      <c r="F523" s="82" t="n"/>
      <c r="G523" s="82" t="n"/>
      <c r="H523" s="82" t="n"/>
      <c r="I523" s="82" t="n"/>
      <c r="J523" s="82" t="n"/>
      <c r="K523" s="82" t="n"/>
      <c r="L523" s="82" t="n"/>
      <c r="M523" s="82" t="n"/>
      <c r="N523" s="82" t="n"/>
      <c r="O523" s="82" t="n"/>
      <c r="P523" s="82" t="n"/>
      <c r="Q523" s="82" t="n"/>
      <c r="R523" s="82" t="n"/>
      <c r="S523" s="82" t="n"/>
      <c r="T523" s="82" t="n"/>
      <c r="U523" s="82" t="n"/>
      <c r="V523" s="82" t="n"/>
      <c r="W523" s="82" t="n"/>
      <c r="X523" s="82" t="n"/>
      <c r="Y523" s="82" t="n"/>
      <c r="Z523" s="82" t="n"/>
    </row>
    <row r="524" ht="15.75" customHeight="1" s="83">
      <c r="A524" s="82" t="n"/>
      <c r="B524" s="82" t="n"/>
      <c r="C524" s="82" t="n"/>
      <c r="D524" s="82" t="n"/>
      <c r="E524" s="81" t="n"/>
      <c r="F524" s="82" t="n"/>
      <c r="G524" s="82" t="n"/>
      <c r="H524" s="82" t="n"/>
      <c r="I524" s="82" t="n"/>
      <c r="J524" s="82" t="n"/>
      <c r="K524" s="82" t="n"/>
      <c r="L524" s="82" t="n"/>
      <c r="M524" s="82" t="n"/>
      <c r="N524" s="82" t="n"/>
      <c r="O524" s="82" t="n"/>
      <c r="P524" s="82" t="n"/>
      <c r="Q524" s="82" t="n"/>
      <c r="R524" s="82" t="n"/>
      <c r="S524" s="82" t="n"/>
      <c r="T524" s="82" t="n"/>
      <c r="U524" s="82" t="n"/>
      <c r="V524" s="82" t="n"/>
      <c r="W524" s="82" t="n"/>
      <c r="X524" s="82" t="n"/>
      <c r="Y524" s="82" t="n"/>
      <c r="Z524" s="82" t="n"/>
    </row>
    <row r="525" ht="15.75" customHeight="1" s="83">
      <c r="A525" s="82" t="n"/>
      <c r="B525" s="82" t="n"/>
      <c r="C525" s="82" t="n"/>
      <c r="D525" s="82" t="n"/>
      <c r="E525" s="81" t="n"/>
      <c r="F525" s="82" t="n"/>
      <c r="G525" s="82" t="n"/>
      <c r="H525" s="82" t="n"/>
      <c r="I525" s="82" t="n"/>
      <c r="J525" s="82" t="n"/>
      <c r="K525" s="82" t="n"/>
      <c r="L525" s="82" t="n"/>
      <c r="M525" s="82" t="n"/>
      <c r="N525" s="82" t="n"/>
      <c r="O525" s="82" t="n"/>
      <c r="P525" s="82" t="n"/>
      <c r="Q525" s="82" t="n"/>
      <c r="R525" s="82" t="n"/>
      <c r="S525" s="82" t="n"/>
      <c r="T525" s="82" t="n"/>
      <c r="U525" s="82" t="n"/>
      <c r="V525" s="82" t="n"/>
      <c r="W525" s="82" t="n"/>
      <c r="X525" s="82" t="n"/>
      <c r="Y525" s="82" t="n"/>
      <c r="Z525" s="82" t="n"/>
    </row>
    <row r="526" ht="15.75" customHeight="1" s="83">
      <c r="A526" s="82" t="n"/>
      <c r="B526" s="82" t="n"/>
      <c r="C526" s="82" t="n"/>
      <c r="D526" s="82" t="n"/>
      <c r="E526" s="81" t="n"/>
      <c r="F526" s="82" t="n"/>
      <c r="G526" s="82" t="n"/>
      <c r="H526" s="82" t="n"/>
      <c r="I526" s="82" t="n"/>
      <c r="J526" s="82" t="n"/>
      <c r="K526" s="82" t="n"/>
      <c r="L526" s="82" t="n"/>
      <c r="M526" s="82" t="n"/>
      <c r="N526" s="82" t="n"/>
      <c r="O526" s="82" t="n"/>
      <c r="P526" s="82" t="n"/>
      <c r="Q526" s="82" t="n"/>
      <c r="R526" s="82" t="n"/>
      <c r="S526" s="82" t="n"/>
      <c r="T526" s="82" t="n"/>
      <c r="U526" s="82" t="n"/>
      <c r="V526" s="82" t="n"/>
      <c r="W526" s="82" t="n"/>
      <c r="X526" s="82" t="n"/>
      <c r="Y526" s="82" t="n"/>
      <c r="Z526" s="82" t="n"/>
    </row>
    <row r="527" ht="15.75" customHeight="1" s="83">
      <c r="A527" s="82" t="n"/>
      <c r="B527" s="82" t="n"/>
      <c r="C527" s="82" t="n"/>
      <c r="D527" s="82" t="n"/>
      <c r="E527" s="81" t="n"/>
      <c r="F527" s="82" t="n"/>
      <c r="G527" s="82" t="n"/>
      <c r="H527" s="82" t="n"/>
      <c r="I527" s="82" t="n"/>
      <c r="J527" s="82" t="n"/>
      <c r="K527" s="82" t="n"/>
      <c r="L527" s="82" t="n"/>
      <c r="M527" s="82" t="n"/>
      <c r="N527" s="82" t="n"/>
      <c r="O527" s="82" t="n"/>
      <c r="P527" s="82" t="n"/>
      <c r="Q527" s="82" t="n"/>
      <c r="R527" s="82" t="n"/>
      <c r="S527" s="82" t="n"/>
      <c r="T527" s="82" t="n"/>
      <c r="U527" s="82" t="n"/>
      <c r="V527" s="82" t="n"/>
      <c r="W527" s="82" t="n"/>
      <c r="X527" s="82" t="n"/>
      <c r="Y527" s="82" t="n"/>
      <c r="Z527" s="82" t="n"/>
    </row>
    <row r="528" ht="15.75" customHeight="1" s="83">
      <c r="A528" s="82" t="n"/>
      <c r="B528" s="82" t="n"/>
      <c r="C528" s="82" t="n"/>
      <c r="D528" s="82" t="n"/>
      <c r="E528" s="81" t="n"/>
      <c r="F528" s="82" t="n"/>
      <c r="G528" s="82" t="n"/>
      <c r="H528" s="82" t="n"/>
      <c r="I528" s="82" t="n"/>
      <c r="J528" s="82" t="n"/>
      <c r="K528" s="82" t="n"/>
      <c r="L528" s="82" t="n"/>
      <c r="M528" s="82" t="n"/>
      <c r="N528" s="82" t="n"/>
      <c r="O528" s="82" t="n"/>
      <c r="P528" s="82" t="n"/>
      <c r="Q528" s="82" t="n"/>
      <c r="R528" s="82" t="n"/>
      <c r="S528" s="82" t="n"/>
      <c r="T528" s="82" t="n"/>
      <c r="U528" s="82" t="n"/>
      <c r="V528" s="82" t="n"/>
      <c r="W528" s="82" t="n"/>
      <c r="X528" s="82" t="n"/>
      <c r="Y528" s="82" t="n"/>
      <c r="Z528" s="82" t="n"/>
    </row>
    <row r="529" ht="15.75" customHeight="1" s="83">
      <c r="A529" s="82" t="n"/>
      <c r="B529" s="82" t="n"/>
      <c r="C529" s="82" t="n"/>
      <c r="D529" s="82" t="n"/>
      <c r="E529" s="81" t="n"/>
      <c r="F529" s="82" t="n"/>
      <c r="G529" s="82" t="n"/>
      <c r="H529" s="82" t="n"/>
      <c r="I529" s="82" t="n"/>
      <c r="J529" s="82" t="n"/>
      <c r="K529" s="82" t="n"/>
      <c r="L529" s="82" t="n"/>
      <c r="M529" s="82" t="n"/>
      <c r="N529" s="82" t="n"/>
      <c r="O529" s="82" t="n"/>
      <c r="P529" s="82" t="n"/>
      <c r="Q529" s="82" t="n"/>
      <c r="R529" s="82" t="n"/>
      <c r="S529" s="82" t="n"/>
      <c r="T529" s="82" t="n"/>
      <c r="U529" s="82" t="n"/>
      <c r="V529" s="82" t="n"/>
      <c r="W529" s="82" t="n"/>
      <c r="X529" s="82" t="n"/>
      <c r="Y529" s="82" t="n"/>
      <c r="Z529" s="82" t="n"/>
    </row>
    <row r="530" ht="15.75" customHeight="1" s="83">
      <c r="A530" s="82" t="n"/>
      <c r="B530" s="82" t="n"/>
      <c r="C530" s="82" t="n"/>
      <c r="D530" s="82" t="n"/>
      <c r="E530" s="81" t="n"/>
      <c r="F530" s="82" t="n"/>
      <c r="G530" s="82" t="n"/>
      <c r="H530" s="82" t="n"/>
      <c r="I530" s="82" t="n"/>
      <c r="J530" s="82" t="n"/>
      <c r="K530" s="82" t="n"/>
      <c r="L530" s="82" t="n"/>
      <c r="M530" s="82" t="n"/>
      <c r="N530" s="82" t="n"/>
      <c r="O530" s="82" t="n"/>
      <c r="P530" s="82" t="n"/>
      <c r="Q530" s="82" t="n"/>
      <c r="R530" s="82" t="n"/>
      <c r="S530" s="82" t="n"/>
      <c r="T530" s="82" t="n"/>
      <c r="U530" s="82" t="n"/>
      <c r="V530" s="82" t="n"/>
      <c r="W530" s="82" t="n"/>
      <c r="X530" s="82" t="n"/>
      <c r="Y530" s="82" t="n"/>
      <c r="Z530" s="82" t="n"/>
    </row>
    <row r="531" ht="15.75" customHeight="1" s="83">
      <c r="A531" s="82" t="n"/>
      <c r="B531" s="82" t="n"/>
      <c r="C531" s="82" t="n"/>
      <c r="D531" s="82" t="n"/>
      <c r="E531" s="81" t="n"/>
      <c r="F531" s="82" t="n"/>
      <c r="G531" s="82" t="n"/>
      <c r="H531" s="82" t="n"/>
      <c r="I531" s="82" t="n"/>
      <c r="J531" s="82" t="n"/>
      <c r="K531" s="82" t="n"/>
      <c r="L531" s="82" t="n"/>
      <c r="M531" s="82" t="n"/>
      <c r="N531" s="82" t="n"/>
      <c r="O531" s="82" t="n"/>
      <c r="P531" s="82" t="n"/>
      <c r="Q531" s="82" t="n"/>
      <c r="R531" s="82" t="n"/>
      <c r="S531" s="82" t="n"/>
      <c r="T531" s="82" t="n"/>
      <c r="U531" s="82" t="n"/>
      <c r="V531" s="82" t="n"/>
      <c r="W531" s="82" t="n"/>
      <c r="X531" s="82" t="n"/>
      <c r="Y531" s="82" t="n"/>
      <c r="Z531" s="82" t="n"/>
    </row>
    <row r="532" ht="15.75" customHeight="1" s="83">
      <c r="A532" s="82" t="n"/>
      <c r="B532" s="82" t="n"/>
      <c r="C532" s="82" t="n"/>
      <c r="D532" s="82" t="n"/>
      <c r="E532" s="81" t="n"/>
      <c r="F532" s="82" t="n"/>
      <c r="G532" s="82" t="n"/>
      <c r="H532" s="82" t="n"/>
      <c r="I532" s="82" t="n"/>
      <c r="J532" s="82" t="n"/>
      <c r="K532" s="82" t="n"/>
      <c r="L532" s="82" t="n"/>
      <c r="M532" s="82" t="n"/>
      <c r="N532" s="82" t="n"/>
      <c r="O532" s="82" t="n"/>
      <c r="P532" s="82" t="n"/>
      <c r="Q532" s="82" t="n"/>
      <c r="R532" s="82" t="n"/>
      <c r="S532" s="82" t="n"/>
      <c r="T532" s="82" t="n"/>
      <c r="U532" s="82" t="n"/>
      <c r="V532" s="82" t="n"/>
      <c r="W532" s="82" t="n"/>
      <c r="X532" s="82" t="n"/>
      <c r="Y532" s="82" t="n"/>
      <c r="Z532" s="82" t="n"/>
    </row>
    <row r="533" ht="15.75" customHeight="1" s="83">
      <c r="A533" s="82" t="n"/>
      <c r="B533" s="82" t="n"/>
      <c r="C533" s="82" t="n"/>
      <c r="D533" s="82" t="n"/>
      <c r="E533" s="81" t="n"/>
      <c r="F533" s="82" t="n"/>
      <c r="G533" s="82" t="n"/>
      <c r="H533" s="82" t="n"/>
      <c r="I533" s="82" t="n"/>
      <c r="J533" s="82" t="n"/>
      <c r="K533" s="82" t="n"/>
      <c r="L533" s="82" t="n"/>
      <c r="M533" s="82" t="n"/>
      <c r="N533" s="82" t="n"/>
      <c r="O533" s="82" t="n"/>
      <c r="P533" s="82" t="n"/>
      <c r="Q533" s="82" t="n"/>
      <c r="R533" s="82" t="n"/>
      <c r="S533" s="82" t="n"/>
      <c r="T533" s="82" t="n"/>
      <c r="U533" s="82" t="n"/>
      <c r="V533" s="82" t="n"/>
      <c r="W533" s="82" t="n"/>
      <c r="X533" s="82" t="n"/>
      <c r="Y533" s="82" t="n"/>
      <c r="Z533" s="82" t="n"/>
    </row>
    <row r="534" ht="15.75" customHeight="1" s="83">
      <c r="A534" s="82" t="n"/>
      <c r="B534" s="82" t="n"/>
      <c r="C534" s="82" t="n"/>
      <c r="D534" s="82" t="n"/>
      <c r="E534" s="81" t="n"/>
      <c r="F534" s="82" t="n"/>
      <c r="G534" s="82" t="n"/>
      <c r="H534" s="82" t="n"/>
      <c r="I534" s="82" t="n"/>
      <c r="J534" s="82" t="n"/>
      <c r="K534" s="82" t="n"/>
      <c r="L534" s="82" t="n"/>
      <c r="M534" s="82" t="n"/>
      <c r="N534" s="82" t="n"/>
      <c r="O534" s="82" t="n"/>
      <c r="P534" s="82" t="n"/>
      <c r="Q534" s="82" t="n"/>
      <c r="R534" s="82" t="n"/>
      <c r="S534" s="82" t="n"/>
      <c r="T534" s="82" t="n"/>
      <c r="U534" s="82" t="n"/>
      <c r="V534" s="82" t="n"/>
      <c r="W534" s="82" t="n"/>
      <c r="X534" s="82" t="n"/>
      <c r="Y534" s="82" t="n"/>
      <c r="Z534" s="82" t="n"/>
    </row>
    <row r="535" ht="15.75" customHeight="1" s="83">
      <c r="A535" s="82" t="n"/>
      <c r="B535" s="82" t="n"/>
      <c r="C535" s="82" t="n"/>
      <c r="D535" s="82" t="n"/>
      <c r="E535" s="81" t="n"/>
      <c r="F535" s="82" t="n"/>
      <c r="G535" s="82" t="n"/>
      <c r="H535" s="82" t="n"/>
      <c r="I535" s="82" t="n"/>
      <c r="J535" s="82" t="n"/>
      <c r="K535" s="82" t="n"/>
      <c r="L535" s="82" t="n"/>
      <c r="M535" s="82" t="n"/>
      <c r="N535" s="82" t="n"/>
      <c r="O535" s="82" t="n"/>
      <c r="P535" s="82" t="n"/>
      <c r="Q535" s="82" t="n"/>
      <c r="R535" s="82" t="n"/>
      <c r="S535" s="82" t="n"/>
      <c r="T535" s="82" t="n"/>
      <c r="U535" s="82" t="n"/>
      <c r="V535" s="82" t="n"/>
      <c r="W535" s="82" t="n"/>
      <c r="X535" s="82" t="n"/>
      <c r="Y535" s="82" t="n"/>
      <c r="Z535" s="82" t="n"/>
    </row>
    <row r="536" ht="15.75" customHeight="1" s="83">
      <c r="A536" s="82" t="n"/>
      <c r="B536" s="82" t="n"/>
      <c r="C536" s="82" t="n"/>
      <c r="D536" s="82" t="n"/>
      <c r="E536" s="81" t="n"/>
      <c r="F536" s="82" t="n"/>
      <c r="G536" s="82" t="n"/>
      <c r="H536" s="82" t="n"/>
      <c r="I536" s="82" t="n"/>
      <c r="J536" s="82" t="n"/>
      <c r="K536" s="82" t="n"/>
      <c r="L536" s="82" t="n"/>
      <c r="M536" s="82" t="n"/>
      <c r="N536" s="82" t="n"/>
      <c r="O536" s="82" t="n"/>
      <c r="P536" s="82" t="n"/>
      <c r="Q536" s="82" t="n"/>
      <c r="R536" s="82" t="n"/>
      <c r="S536" s="82" t="n"/>
      <c r="T536" s="82" t="n"/>
      <c r="U536" s="82" t="n"/>
      <c r="V536" s="82" t="n"/>
      <c r="W536" s="82" t="n"/>
      <c r="X536" s="82" t="n"/>
      <c r="Y536" s="82" t="n"/>
      <c r="Z536" s="82" t="n"/>
    </row>
    <row r="537" ht="15.75" customHeight="1" s="83">
      <c r="A537" s="82" t="n"/>
      <c r="B537" s="82" t="n"/>
      <c r="C537" s="82" t="n"/>
      <c r="D537" s="82" t="n"/>
      <c r="E537" s="81" t="n"/>
      <c r="F537" s="82" t="n"/>
      <c r="G537" s="82" t="n"/>
      <c r="H537" s="82" t="n"/>
      <c r="I537" s="82" t="n"/>
      <c r="J537" s="82" t="n"/>
      <c r="K537" s="82" t="n"/>
      <c r="L537" s="82" t="n"/>
      <c r="M537" s="82" t="n"/>
      <c r="N537" s="82" t="n"/>
      <c r="O537" s="82" t="n"/>
      <c r="P537" s="82" t="n"/>
      <c r="Q537" s="82" t="n"/>
      <c r="R537" s="82" t="n"/>
      <c r="S537" s="82" t="n"/>
      <c r="T537" s="82" t="n"/>
      <c r="U537" s="82" t="n"/>
      <c r="V537" s="82" t="n"/>
      <c r="W537" s="82" t="n"/>
      <c r="X537" s="82" t="n"/>
      <c r="Y537" s="82" t="n"/>
      <c r="Z537" s="82" t="n"/>
    </row>
    <row r="538" ht="15.75" customHeight="1" s="83">
      <c r="A538" s="82" t="n"/>
      <c r="B538" s="82" t="n"/>
      <c r="C538" s="82" t="n"/>
      <c r="D538" s="82" t="n"/>
      <c r="E538" s="81" t="n"/>
      <c r="F538" s="82" t="n"/>
      <c r="G538" s="82" t="n"/>
      <c r="H538" s="82" t="n"/>
      <c r="I538" s="82" t="n"/>
      <c r="J538" s="82" t="n"/>
      <c r="K538" s="82" t="n"/>
      <c r="L538" s="82" t="n"/>
      <c r="M538" s="82" t="n"/>
      <c r="N538" s="82" t="n"/>
      <c r="O538" s="82" t="n"/>
      <c r="P538" s="82" t="n"/>
      <c r="Q538" s="82" t="n"/>
      <c r="R538" s="82" t="n"/>
      <c r="S538" s="82" t="n"/>
      <c r="T538" s="82" t="n"/>
      <c r="U538" s="82" t="n"/>
      <c r="V538" s="82" t="n"/>
      <c r="W538" s="82" t="n"/>
      <c r="X538" s="82" t="n"/>
      <c r="Y538" s="82" t="n"/>
      <c r="Z538" s="82" t="n"/>
    </row>
    <row r="539" ht="15.75" customHeight="1" s="83">
      <c r="A539" s="82" t="n"/>
      <c r="B539" s="82" t="n"/>
      <c r="C539" s="82" t="n"/>
      <c r="D539" s="82" t="n"/>
      <c r="E539" s="81" t="n"/>
      <c r="F539" s="82" t="n"/>
      <c r="G539" s="82" t="n"/>
      <c r="H539" s="82" t="n"/>
      <c r="I539" s="82" t="n"/>
      <c r="J539" s="82" t="n"/>
      <c r="K539" s="82" t="n"/>
      <c r="L539" s="82" t="n"/>
      <c r="M539" s="82" t="n"/>
      <c r="N539" s="82" t="n"/>
      <c r="O539" s="82" t="n"/>
      <c r="P539" s="82" t="n"/>
      <c r="Q539" s="82" t="n"/>
      <c r="R539" s="82" t="n"/>
      <c r="S539" s="82" t="n"/>
      <c r="T539" s="82" t="n"/>
      <c r="U539" s="82" t="n"/>
      <c r="V539" s="82" t="n"/>
      <c r="W539" s="82" t="n"/>
      <c r="X539" s="82" t="n"/>
      <c r="Y539" s="82" t="n"/>
      <c r="Z539" s="82" t="n"/>
    </row>
    <row r="540" ht="15.75" customHeight="1" s="83">
      <c r="A540" s="82" t="n"/>
      <c r="B540" s="82" t="n"/>
      <c r="C540" s="82" t="n"/>
      <c r="D540" s="82" t="n"/>
      <c r="E540" s="81" t="n"/>
      <c r="F540" s="82" t="n"/>
      <c r="G540" s="82" t="n"/>
      <c r="H540" s="82" t="n"/>
      <c r="I540" s="82" t="n"/>
      <c r="J540" s="82" t="n"/>
      <c r="K540" s="82" t="n"/>
      <c r="L540" s="82" t="n"/>
      <c r="M540" s="82" t="n"/>
      <c r="N540" s="82" t="n"/>
      <c r="O540" s="82" t="n"/>
      <c r="P540" s="82" t="n"/>
      <c r="Q540" s="82" t="n"/>
      <c r="R540" s="82" t="n"/>
      <c r="S540" s="82" t="n"/>
      <c r="T540" s="82" t="n"/>
      <c r="U540" s="82" t="n"/>
      <c r="V540" s="82" t="n"/>
      <c r="W540" s="82" t="n"/>
      <c r="X540" s="82" t="n"/>
      <c r="Y540" s="82" t="n"/>
      <c r="Z540" s="82" t="n"/>
    </row>
    <row r="541" ht="15.75" customHeight="1" s="83">
      <c r="A541" s="82" t="n"/>
      <c r="B541" s="82" t="n"/>
      <c r="C541" s="82" t="n"/>
      <c r="D541" s="82" t="n"/>
      <c r="E541" s="81" t="n"/>
      <c r="F541" s="82" t="n"/>
      <c r="G541" s="82" t="n"/>
      <c r="H541" s="82" t="n"/>
      <c r="I541" s="82" t="n"/>
      <c r="J541" s="82" t="n"/>
      <c r="K541" s="82" t="n"/>
      <c r="L541" s="82" t="n"/>
      <c r="M541" s="82" t="n"/>
      <c r="N541" s="82" t="n"/>
      <c r="O541" s="82" t="n"/>
      <c r="P541" s="82" t="n"/>
      <c r="Q541" s="82" t="n"/>
      <c r="R541" s="82" t="n"/>
      <c r="S541" s="82" t="n"/>
      <c r="T541" s="82" t="n"/>
      <c r="U541" s="82" t="n"/>
      <c r="V541" s="82" t="n"/>
      <c r="W541" s="82" t="n"/>
      <c r="X541" s="82" t="n"/>
      <c r="Y541" s="82" t="n"/>
      <c r="Z541" s="82" t="n"/>
    </row>
    <row r="542" ht="15.75" customHeight="1" s="83">
      <c r="A542" s="82" t="n"/>
      <c r="B542" s="82" t="n"/>
      <c r="C542" s="82" t="n"/>
      <c r="D542" s="82" t="n"/>
      <c r="E542" s="81" t="n"/>
      <c r="F542" s="82" t="n"/>
      <c r="G542" s="82" t="n"/>
      <c r="H542" s="82" t="n"/>
      <c r="I542" s="82" t="n"/>
      <c r="J542" s="82" t="n"/>
      <c r="K542" s="82" t="n"/>
      <c r="L542" s="82" t="n"/>
      <c r="M542" s="82" t="n"/>
      <c r="N542" s="82" t="n"/>
      <c r="O542" s="82" t="n"/>
      <c r="P542" s="82" t="n"/>
      <c r="Q542" s="82" t="n"/>
      <c r="R542" s="82" t="n"/>
      <c r="S542" s="82" t="n"/>
      <c r="T542" s="82" t="n"/>
      <c r="U542" s="82" t="n"/>
      <c r="V542" s="82" t="n"/>
      <c r="W542" s="82" t="n"/>
      <c r="X542" s="82" t="n"/>
      <c r="Y542" s="82" t="n"/>
      <c r="Z542" s="82" t="n"/>
    </row>
    <row r="543" ht="15.75" customHeight="1" s="83">
      <c r="A543" s="82" t="n"/>
      <c r="B543" s="82" t="n"/>
      <c r="C543" s="82" t="n"/>
      <c r="D543" s="82" t="n"/>
      <c r="E543" s="81" t="n"/>
      <c r="F543" s="82" t="n"/>
      <c r="G543" s="82" t="n"/>
      <c r="H543" s="82" t="n"/>
      <c r="I543" s="82" t="n"/>
      <c r="J543" s="82" t="n"/>
      <c r="K543" s="82" t="n"/>
      <c r="L543" s="82" t="n"/>
      <c r="M543" s="82" t="n"/>
      <c r="N543" s="82" t="n"/>
      <c r="O543" s="82" t="n"/>
      <c r="P543" s="82" t="n"/>
      <c r="Q543" s="82" t="n"/>
      <c r="R543" s="82" t="n"/>
      <c r="S543" s="82" t="n"/>
      <c r="T543" s="82" t="n"/>
      <c r="U543" s="82" t="n"/>
      <c r="V543" s="82" t="n"/>
      <c r="W543" s="82" t="n"/>
      <c r="X543" s="82" t="n"/>
      <c r="Y543" s="82" t="n"/>
      <c r="Z543" s="82" t="n"/>
    </row>
    <row r="544" ht="15.75" customHeight="1" s="83">
      <c r="A544" s="82" t="n"/>
      <c r="B544" s="82" t="n"/>
      <c r="C544" s="82" t="n"/>
      <c r="D544" s="82" t="n"/>
      <c r="E544" s="81" t="n"/>
      <c r="F544" s="82" t="n"/>
      <c r="G544" s="82" t="n"/>
      <c r="H544" s="82" t="n"/>
      <c r="I544" s="82" t="n"/>
      <c r="J544" s="82" t="n"/>
      <c r="K544" s="82" t="n"/>
      <c r="L544" s="82" t="n"/>
      <c r="M544" s="82" t="n"/>
      <c r="N544" s="82" t="n"/>
      <c r="O544" s="82" t="n"/>
      <c r="P544" s="82" t="n"/>
      <c r="Q544" s="82" t="n"/>
      <c r="R544" s="82" t="n"/>
      <c r="S544" s="82" t="n"/>
      <c r="T544" s="82" t="n"/>
      <c r="U544" s="82" t="n"/>
      <c r="V544" s="82" t="n"/>
      <c r="W544" s="82" t="n"/>
      <c r="X544" s="82" t="n"/>
      <c r="Y544" s="82" t="n"/>
      <c r="Z544" s="82" t="n"/>
    </row>
    <row r="545" ht="15.75" customHeight="1" s="83">
      <c r="A545" s="82" t="n"/>
      <c r="B545" s="82" t="n"/>
      <c r="C545" s="82" t="n"/>
      <c r="D545" s="82" t="n"/>
      <c r="E545" s="81" t="n"/>
      <c r="F545" s="82" t="n"/>
      <c r="G545" s="82" t="n"/>
      <c r="H545" s="82" t="n"/>
      <c r="I545" s="82" t="n"/>
      <c r="J545" s="82" t="n"/>
      <c r="K545" s="82" t="n"/>
      <c r="L545" s="82" t="n"/>
      <c r="M545" s="82" t="n"/>
      <c r="N545" s="82" t="n"/>
      <c r="O545" s="82" t="n"/>
      <c r="P545" s="82" t="n"/>
      <c r="Q545" s="82" t="n"/>
      <c r="R545" s="82" t="n"/>
      <c r="S545" s="82" t="n"/>
      <c r="T545" s="82" t="n"/>
      <c r="U545" s="82" t="n"/>
      <c r="V545" s="82" t="n"/>
      <c r="W545" s="82" t="n"/>
      <c r="X545" s="82" t="n"/>
      <c r="Y545" s="82" t="n"/>
      <c r="Z545" s="82" t="n"/>
    </row>
    <row r="546" ht="15.75" customHeight="1" s="83">
      <c r="A546" s="82" t="n"/>
      <c r="B546" s="82" t="n"/>
      <c r="C546" s="82" t="n"/>
      <c r="D546" s="82" t="n"/>
      <c r="E546" s="81" t="n"/>
      <c r="F546" s="82" t="n"/>
      <c r="G546" s="82" t="n"/>
      <c r="H546" s="82" t="n"/>
      <c r="I546" s="82" t="n"/>
      <c r="J546" s="82" t="n"/>
      <c r="K546" s="82" t="n"/>
      <c r="L546" s="82" t="n"/>
      <c r="M546" s="82" t="n"/>
      <c r="N546" s="82" t="n"/>
      <c r="O546" s="82" t="n"/>
      <c r="P546" s="82" t="n"/>
      <c r="Q546" s="82" t="n"/>
      <c r="R546" s="82" t="n"/>
      <c r="S546" s="82" t="n"/>
      <c r="T546" s="82" t="n"/>
      <c r="U546" s="82" t="n"/>
      <c r="V546" s="82" t="n"/>
      <c r="W546" s="82" t="n"/>
      <c r="X546" s="82" t="n"/>
      <c r="Y546" s="82" t="n"/>
      <c r="Z546" s="82" t="n"/>
    </row>
    <row r="547" ht="15.75" customHeight="1" s="83">
      <c r="A547" s="82" t="n"/>
      <c r="B547" s="82" t="n"/>
      <c r="C547" s="82" t="n"/>
      <c r="D547" s="82" t="n"/>
      <c r="E547" s="81" t="n"/>
      <c r="F547" s="82" t="n"/>
      <c r="G547" s="82" t="n"/>
      <c r="H547" s="82" t="n"/>
      <c r="I547" s="82" t="n"/>
      <c r="J547" s="82" t="n"/>
      <c r="K547" s="82" t="n"/>
      <c r="L547" s="82" t="n"/>
      <c r="M547" s="82" t="n"/>
      <c r="N547" s="82" t="n"/>
      <c r="O547" s="82" t="n"/>
      <c r="P547" s="82" t="n"/>
      <c r="Q547" s="82" t="n"/>
      <c r="R547" s="82" t="n"/>
      <c r="S547" s="82" t="n"/>
      <c r="T547" s="82" t="n"/>
      <c r="U547" s="82" t="n"/>
      <c r="V547" s="82" t="n"/>
      <c r="W547" s="82" t="n"/>
      <c r="X547" s="82" t="n"/>
      <c r="Y547" s="82" t="n"/>
      <c r="Z547" s="82" t="n"/>
    </row>
    <row r="548" ht="15.75" customHeight="1" s="83">
      <c r="A548" s="82" t="n"/>
      <c r="B548" s="82" t="n"/>
      <c r="C548" s="82" t="n"/>
      <c r="D548" s="82" t="n"/>
      <c r="E548" s="81" t="n"/>
      <c r="F548" s="82" t="n"/>
      <c r="G548" s="82" t="n"/>
      <c r="H548" s="82" t="n"/>
      <c r="I548" s="82" t="n"/>
      <c r="J548" s="82" t="n"/>
      <c r="K548" s="82" t="n"/>
      <c r="L548" s="82" t="n"/>
      <c r="M548" s="82" t="n"/>
      <c r="N548" s="82" t="n"/>
      <c r="O548" s="82" t="n"/>
      <c r="P548" s="82" t="n"/>
      <c r="Q548" s="82" t="n"/>
      <c r="R548" s="82" t="n"/>
      <c r="S548" s="82" t="n"/>
      <c r="T548" s="82" t="n"/>
      <c r="U548" s="82" t="n"/>
      <c r="V548" s="82" t="n"/>
      <c r="W548" s="82" t="n"/>
      <c r="X548" s="82" t="n"/>
      <c r="Y548" s="82" t="n"/>
      <c r="Z548" s="82" t="n"/>
    </row>
    <row r="549" ht="15.75" customHeight="1" s="83">
      <c r="A549" s="82" t="n"/>
      <c r="B549" s="82" t="n"/>
      <c r="C549" s="82" t="n"/>
      <c r="D549" s="82" t="n"/>
      <c r="E549" s="81" t="n"/>
      <c r="F549" s="82" t="n"/>
      <c r="G549" s="82" t="n"/>
      <c r="H549" s="82" t="n"/>
      <c r="I549" s="82" t="n"/>
      <c r="J549" s="82" t="n"/>
      <c r="K549" s="82" t="n"/>
      <c r="L549" s="82" t="n"/>
      <c r="M549" s="82" t="n"/>
      <c r="N549" s="82" t="n"/>
      <c r="O549" s="82" t="n"/>
      <c r="P549" s="82" t="n"/>
      <c r="Q549" s="82" t="n"/>
      <c r="R549" s="82" t="n"/>
      <c r="S549" s="82" t="n"/>
      <c r="T549" s="82" t="n"/>
      <c r="U549" s="82" t="n"/>
      <c r="V549" s="82" t="n"/>
      <c r="W549" s="82" t="n"/>
      <c r="X549" s="82" t="n"/>
      <c r="Y549" s="82" t="n"/>
      <c r="Z549" s="82" t="n"/>
    </row>
    <row r="550" ht="15.75" customHeight="1" s="83">
      <c r="A550" s="82" t="n"/>
      <c r="B550" s="82" t="n"/>
      <c r="C550" s="82" t="n"/>
      <c r="D550" s="82" t="n"/>
      <c r="E550" s="81" t="n"/>
      <c r="F550" s="82" t="n"/>
      <c r="G550" s="82" t="n"/>
      <c r="H550" s="82" t="n"/>
      <c r="I550" s="82" t="n"/>
      <c r="J550" s="82" t="n"/>
      <c r="K550" s="82" t="n"/>
      <c r="L550" s="82" t="n"/>
      <c r="M550" s="82" t="n"/>
      <c r="N550" s="82" t="n"/>
      <c r="O550" s="82" t="n"/>
      <c r="P550" s="82" t="n"/>
      <c r="Q550" s="82" t="n"/>
      <c r="R550" s="82" t="n"/>
      <c r="S550" s="82" t="n"/>
      <c r="T550" s="82" t="n"/>
      <c r="U550" s="82" t="n"/>
      <c r="V550" s="82" t="n"/>
      <c r="W550" s="82" t="n"/>
      <c r="X550" s="82" t="n"/>
      <c r="Y550" s="82" t="n"/>
      <c r="Z550" s="82" t="n"/>
    </row>
    <row r="551" ht="15.75" customHeight="1" s="83">
      <c r="A551" s="82" t="n"/>
      <c r="B551" s="82" t="n"/>
      <c r="C551" s="82" t="n"/>
      <c r="D551" s="82" t="n"/>
      <c r="E551" s="81" t="n"/>
      <c r="F551" s="82" t="n"/>
      <c r="G551" s="82" t="n"/>
      <c r="H551" s="82" t="n"/>
      <c r="I551" s="82" t="n"/>
      <c r="J551" s="82" t="n"/>
      <c r="K551" s="82" t="n"/>
      <c r="L551" s="82" t="n"/>
      <c r="M551" s="82" t="n"/>
      <c r="N551" s="82" t="n"/>
      <c r="O551" s="82" t="n"/>
      <c r="P551" s="82" t="n"/>
      <c r="Q551" s="82" t="n"/>
      <c r="R551" s="82" t="n"/>
      <c r="S551" s="82" t="n"/>
      <c r="T551" s="82" t="n"/>
      <c r="U551" s="82" t="n"/>
      <c r="V551" s="82" t="n"/>
      <c r="W551" s="82" t="n"/>
      <c r="X551" s="82" t="n"/>
      <c r="Y551" s="82" t="n"/>
      <c r="Z551" s="82" t="n"/>
    </row>
    <row r="552" ht="15.75" customHeight="1" s="83">
      <c r="A552" s="82" t="n"/>
      <c r="B552" s="82" t="n"/>
      <c r="C552" s="82" t="n"/>
      <c r="D552" s="82" t="n"/>
      <c r="E552" s="81" t="n"/>
      <c r="F552" s="82" t="n"/>
      <c r="G552" s="82" t="n"/>
      <c r="H552" s="82" t="n"/>
      <c r="I552" s="82" t="n"/>
      <c r="J552" s="82" t="n"/>
      <c r="K552" s="82" t="n"/>
      <c r="L552" s="82" t="n"/>
      <c r="M552" s="82" t="n"/>
      <c r="N552" s="82" t="n"/>
      <c r="O552" s="82" t="n"/>
      <c r="P552" s="82" t="n"/>
      <c r="Q552" s="82" t="n"/>
      <c r="R552" s="82" t="n"/>
      <c r="S552" s="82" t="n"/>
      <c r="T552" s="82" t="n"/>
      <c r="U552" s="82" t="n"/>
      <c r="V552" s="82" t="n"/>
      <c r="W552" s="82" t="n"/>
      <c r="X552" s="82" t="n"/>
      <c r="Y552" s="82" t="n"/>
      <c r="Z552" s="82" t="n"/>
    </row>
    <row r="553" ht="15.75" customHeight="1" s="83">
      <c r="A553" s="82" t="n"/>
      <c r="B553" s="82" t="n"/>
      <c r="C553" s="82" t="n"/>
      <c r="D553" s="82" t="n"/>
      <c r="E553" s="81" t="n"/>
      <c r="F553" s="82" t="n"/>
      <c r="G553" s="82" t="n"/>
      <c r="H553" s="82" t="n"/>
      <c r="I553" s="82" t="n"/>
      <c r="J553" s="82" t="n"/>
      <c r="K553" s="82" t="n"/>
      <c r="L553" s="82" t="n"/>
      <c r="M553" s="82" t="n"/>
      <c r="N553" s="82" t="n"/>
      <c r="O553" s="82" t="n"/>
      <c r="P553" s="82" t="n"/>
      <c r="Q553" s="82" t="n"/>
      <c r="R553" s="82" t="n"/>
      <c r="S553" s="82" t="n"/>
      <c r="T553" s="82" t="n"/>
      <c r="U553" s="82" t="n"/>
      <c r="V553" s="82" t="n"/>
      <c r="W553" s="82" t="n"/>
      <c r="X553" s="82" t="n"/>
      <c r="Y553" s="82" t="n"/>
      <c r="Z553" s="82" t="n"/>
    </row>
    <row r="554" ht="15.75" customHeight="1" s="83">
      <c r="A554" s="82" t="n"/>
      <c r="B554" s="82" t="n"/>
      <c r="C554" s="82" t="n"/>
      <c r="D554" s="82" t="n"/>
      <c r="E554" s="81" t="n"/>
      <c r="F554" s="82" t="n"/>
      <c r="G554" s="82" t="n"/>
      <c r="H554" s="82" t="n"/>
      <c r="I554" s="82" t="n"/>
      <c r="J554" s="82" t="n"/>
      <c r="K554" s="82" t="n"/>
      <c r="L554" s="82" t="n"/>
      <c r="M554" s="82" t="n"/>
      <c r="N554" s="82" t="n"/>
      <c r="O554" s="82" t="n"/>
      <c r="P554" s="82" t="n"/>
      <c r="Q554" s="82" t="n"/>
      <c r="R554" s="82" t="n"/>
      <c r="S554" s="82" t="n"/>
      <c r="T554" s="82" t="n"/>
      <c r="U554" s="82" t="n"/>
      <c r="V554" s="82" t="n"/>
      <c r="W554" s="82" t="n"/>
      <c r="X554" s="82" t="n"/>
      <c r="Y554" s="82" t="n"/>
      <c r="Z554" s="82" t="n"/>
    </row>
    <row r="555" ht="15.75" customHeight="1" s="83">
      <c r="A555" s="82" t="n"/>
      <c r="B555" s="82" t="n"/>
      <c r="C555" s="82" t="n"/>
      <c r="D555" s="82" t="n"/>
      <c r="E555" s="81" t="n"/>
      <c r="F555" s="82" t="n"/>
      <c r="G555" s="82" t="n"/>
      <c r="H555" s="82" t="n"/>
      <c r="I555" s="82" t="n"/>
      <c r="J555" s="82" t="n"/>
      <c r="K555" s="82" t="n"/>
      <c r="L555" s="82" t="n"/>
      <c r="M555" s="82" t="n"/>
      <c r="N555" s="82" t="n"/>
      <c r="O555" s="82" t="n"/>
      <c r="P555" s="82" t="n"/>
      <c r="Q555" s="82" t="n"/>
      <c r="R555" s="82" t="n"/>
      <c r="S555" s="82" t="n"/>
      <c r="T555" s="82" t="n"/>
      <c r="U555" s="82" t="n"/>
      <c r="V555" s="82" t="n"/>
      <c r="W555" s="82" t="n"/>
      <c r="X555" s="82" t="n"/>
      <c r="Y555" s="82" t="n"/>
      <c r="Z555" s="82" t="n"/>
    </row>
    <row r="556" ht="15.75" customHeight="1" s="83">
      <c r="A556" s="82" t="n"/>
      <c r="B556" s="82" t="n"/>
      <c r="C556" s="82" t="n"/>
      <c r="D556" s="82" t="n"/>
      <c r="E556" s="81" t="n"/>
      <c r="F556" s="82" t="n"/>
      <c r="G556" s="82" t="n"/>
      <c r="H556" s="82" t="n"/>
      <c r="I556" s="82" t="n"/>
      <c r="J556" s="82" t="n"/>
      <c r="K556" s="82" t="n"/>
      <c r="L556" s="82" t="n"/>
      <c r="M556" s="82" t="n"/>
      <c r="N556" s="82" t="n"/>
      <c r="O556" s="82" t="n"/>
      <c r="P556" s="82" t="n"/>
      <c r="Q556" s="82" t="n"/>
      <c r="R556" s="82" t="n"/>
      <c r="S556" s="82" t="n"/>
      <c r="T556" s="82" t="n"/>
      <c r="U556" s="82" t="n"/>
      <c r="V556" s="82" t="n"/>
      <c r="W556" s="82" t="n"/>
      <c r="X556" s="82" t="n"/>
      <c r="Y556" s="82" t="n"/>
      <c r="Z556" s="82" t="n"/>
    </row>
    <row r="557" ht="15.75" customHeight="1" s="83">
      <c r="A557" s="82" t="n"/>
      <c r="B557" s="82" t="n"/>
      <c r="C557" s="82" t="n"/>
      <c r="D557" s="82" t="n"/>
      <c r="E557" s="81" t="n"/>
      <c r="F557" s="82" t="n"/>
      <c r="G557" s="82" t="n"/>
      <c r="H557" s="82" t="n"/>
      <c r="I557" s="82" t="n"/>
      <c r="J557" s="82" t="n"/>
      <c r="K557" s="82" t="n"/>
      <c r="L557" s="82" t="n"/>
      <c r="M557" s="82" t="n"/>
      <c r="N557" s="82" t="n"/>
      <c r="O557" s="82" t="n"/>
      <c r="P557" s="82" t="n"/>
      <c r="Q557" s="82" t="n"/>
      <c r="R557" s="82" t="n"/>
      <c r="S557" s="82" t="n"/>
      <c r="T557" s="82" t="n"/>
      <c r="U557" s="82" t="n"/>
      <c r="V557" s="82" t="n"/>
      <c r="W557" s="82" t="n"/>
      <c r="X557" s="82" t="n"/>
      <c r="Y557" s="82" t="n"/>
      <c r="Z557" s="82" t="n"/>
    </row>
    <row r="558" ht="15.75" customHeight="1" s="83">
      <c r="A558" s="82" t="n"/>
      <c r="B558" s="82" t="n"/>
      <c r="C558" s="82" t="n"/>
      <c r="D558" s="82" t="n"/>
      <c r="E558" s="81" t="n"/>
      <c r="F558" s="82" t="n"/>
      <c r="G558" s="82" t="n"/>
      <c r="H558" s="82" t="n"/>
      <c r="I558" s="82" t="n"/>
      <c r="J558" s="82" t="n"/>
      <c r="K558" s="82" t="n"/>
      <c r="L558" s="82" t="n"/>
      <c r="M558" s="82" t="n"/>
      <c r="N558" s="82" t="n"/>
      <c r="O558" s="82" t="n"/>
      <c r="P558" s="82" t="n"/>
      <c r="Q558" s="82" t="n"/>
      <c r="R558" s="82" t="n"/>
      <c r="S558" s="82" t="n"/>
      <c r="T558" s="82" t="n"/>
      <c r="U558" s="82" t="n"/>
      <c r="V558" s="82" t="n"/>
      <c r="W558" s="82" t="n"/>
      <c r="X558" s="82" t="n"/>
      <c r="Y558" s="82" t="n"/>
      <c r="Z558" s="82" t="n"/>
    </row>
    <row r="559" ht="15.75" customHeight="1" s="83">
      <c r="A559" s="82" t="n"/>
      <c r="B559" s="82" t="n"/>
      <c r="C559" s="82" t="n"/>
      <c r="D559" s="82" t="n"/>
      <c r="E559" s="81" t="n"/>
      <c r="F559" s="82" t="n"/>
      <c r="G559" s="82" t="n"/>
      <c r="H559" s="82" t="n"/>
      <c r="I559" s="82" t="n"/>
      <c r="J559" s="82" t="n"/>
      <c r="K559" s="82" t="n"/>
      <c r="L559" s="82" t="n"/>
      <c r="M559" s="82" t="n"/>
      <c r="N559" s="82" t="n"/>
      <c r="O559" s="82" t="n"/>
      <c r="P559" s="82" t="n"/>
      <c r="Q559" s="82" t="n"/>
      <c r="R559" s="82" t="n"/>
      <c r="S559" s="82" t="n"/>
      <c r="T559" s="82" t="n"/>
      <c r="U559" s="82" t="n"/>
      <c r="V559" s="82" t="n"/>
      <c r="W559" s="82" t="n"/>
      <c r="X559" s="82" t="n"/>
      <c r="Y559" s="82" t="n"/>
      <c r="Z559" s="82" t="n"/>
    </row>
    <row r="560" ht="15.75" customHeight="1" s="83">
      <c r="A560" s="82" t="n"/>
      <c r="B560" s="82" t="n"/>
      <c r="C560" s="82" t="n"/>
      <c r="D560" s="82" t="n"/>
      <c r="E560" s="81" t="n"/>
      <c r="F560" s="82" t="n"/>
      <c r="G560" s="82" t="n"/>
      <c r="H560" s="82" t="n"/>
      <c r="I560" s="82" t="n"/>
      <c r="J560" s="82" t="n"/>
      <c r="K560" s="82" t="n"/>
      <c r="L560" s="82" t="n"/>
      <c r="M560" s="82" t="n"/>
      <c r="N560" s="82" t="n"/>
      <c r="O560" s="82" t="n"/>
      <c r="P560" s="82" t="n"/>
      <c r="Q560" s="82" t="n"/>
      <c r="R560" s="82" t="n"/>
      <c r="S560" s="82" t="n"/>
      <c r="T560" s="82" t="n"/>
      <c r="U560" s="82" t="n"/>
      <c r="V560" s="82" t="n"/>
      <c r="W560" s="82" t="n"/>
      <c r="X560" s="82" t="n"/>
      <c r="Y560" s="82" t="n"/>
      <c r="Z560" s="82" t="n"/>
    </row>
    <row r="561" ht="15.75" customHeight="1" s="83">
      <c r="A561" s="82" t="n"/>
      <c r="B561" s="82" t="n"/>
      <c r="C561" s="82" t="n"/>
      <c r="D561" s="82" t="n"/>
      <c r="E561" s="81" t="n"/>
      <c r="F561" s="82" t="n"/>
      <c r="G561" s="82" t="n"/>
      <c r="H561" s="82" t="n"/>
      <c r="I561" s="82" t="n"/>
      <c r="J561" s="82" t="n"/>
      <c r="K561" s="82" t="n"/>
      <c r="L561" s="82" t="n"/>
      <c r="M561" s="82" t="n"/>
      <c r="N561" s="82" t="n"/>
      <c r="O561" s="82" t="n"/>
      <c r="P561" s="82" t="n"/>
      <c r="Q561" s="82" t="n"/>
      <c r="R561" s="82" t="n"/>
      <c r="S561" s="82" t="n"/>
      <c r="T561" s="82" t="n"/>
      <c r="U561" s="82" t="n"/>
      <c r="V561" s="82" t="n"/>
      <c r="W561" s="82" t="n"/>
      <c r="X561" s="82" t="n"/>
      <c r="Y561" s="82" t="n"/>
      <c r="Z561" s="82" t="n"/>
    </row>
    <row r="562" ht="15.75" customHeight="1" s="83">
      <c r="A562" s="82" t="n"/>
      <c r="B562" s="82" t="n"/>
      <c r="C562" s="82" t="n"/>
      <c r="D562" s="82" t="n"/>
      <c r="E562" s="81" t="n"/>
      <c r="F562" s="82" t="n"/>
      <c r="G562" s="82" t="n"/>
      <c r="H562" s="82" t="n"/>
      <c r="I562" s="82" t="n"/>
      <c r="J562" s="82" t="n"/>
      <c r="K562" s="82" t="n"/>
      <c r="L562" s="82" t="n"/>
      <c r="M562" s="82" t="n"/>
      <c r="N562" s="82" t="n"/>
      <c r="O562" s="82" t="n"/>
      <c r="P562" s="82" t="n"/>
      <c r="Q562" s="82" t="n"/>
      <c r="R562" s="82" t="n"/>
      <c r="S562" s="82" t="n"/>
      <c r="T562" s="82" t="n"/>
      <c r="U562" s="82" t="n"/>
      <c r="V562" s="82" t="n"/>
      <c r="W562" s="82" t="n"/>
      <c r="X562" s="82" t="n"/>
      <c r="Y562" s="82" t="n"/>
      <c r="Z562" s="82" t="n"/>
    </row>
    <row r="563" ht="15.75" customHeight="1" s="83">
      <c r="A563" s="82" t="n"/>
      <c r="B563" s="82" t="n"/>
      <c r="C563" s="82" t="n"/>
      <c r="D563" s="82" t="n"/>
      <c r="E563" s="81" t="n"/>
      <c r="F563" s="82" t="n"/>
      <c r="G563" s="82" t="n"/>
      <c r="H563" s="82" t="n"/>
      <c r="I563" s="82" t="n"/>
      <c r="J563" s="82" t="n"/>
      <c r="K563" s="82" t="n"/>
      <c r="L563" s="82" t="n"/>
      <c r="M563" s="82" t="n"/>
      <c r="N563" s="82" t="n"/>
      <c r="O563" s="82" t="n"/>
      <c r="P563" s="82" t="n"/>
      <c r="Q563" s="82" t="n"/>
      <c r="R563" s="82" t="n"/>
      <c r="S563" s="82" t="n"/>
      <c r="T563" s="82" t="n"/>
      <c r="U563" s="82" t="n"/>
      <c r="V563" s="82" t="n"/>
      <c r="W563" s="82" t="n"/>
      <c r="X563" s="82" t="n"/>
      <c r="Y563" s="82" t="n"/>
      <c r="Z563" s="82" t="n"/>
    </row>
    <row r="564" ht="15.75" customHeight="1" s="83">
      <c r="A564" s="82" t="n"/>
      <c r="B564" s="82" t="n"/>
      <c r="C564" s="82" t="n"/>
      <c r="D564" s="82" t="n"/>
      <c r="E564" s="81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  <c r="P564" s="82" t="n"/>
      <c r="Q564" s="82" t="n"/>
      <c r="R564" s="82" t="n"/>
      <c r="S564" s="82" t="n"/>
      <c r="T564" s="82" t="n"/>
      <c r="U564" s="82" t="n"/>
      <c r="V564" s="82" t="n"/>
      <c r="W564" s="82" t="n"/>
      <c r="X564" s="82" t="n"/>
      <c r="Y564" s="82" t="n"/>
      <c r="Z564" s="82" t="n"/>
    </row>
    <row r="565" ht="15.75" customHeight="1" s="83">
      <c r="A565" s="82" t="n"/>
      <c r="B565" s="82" t="n"/>
      <c r="C565" s="82" t="n"/>
      <c r="D565" s="82" t="n"/>
      <c r="E565" s="81" t="n"/>
      <c r="F565" s="82" t="n"/>
      <c r="G565" s="82" t="n"/>
      <c r="H565" s="82" t="n"/>
      <c r="I565" s="82" t="n"/>
      <c r="J565" s="82" t="n"/>
      <c r="K565" s="82" t="n"/>
      <c r="L565" s="82" t="n"/>
      <c r="M565" s="82" t="n"/>
      <c r="N565" s="82" t="n"/>
      <c r="O565" s="82" t="n"/>
      <c r="P565" s="82" t="n"/>
      <c r="Q565" s="82" t="n"/>
      <c r="R565" s="82" t="n"/>
      <c r="S565" s="82" t="n"/>
      <c r="T565" s="82" t="n"/>
      <c r="U565" s="82" t="n"/>
      <c r="V565" s="82" t="n"/>
      <c r="W565" s="82" t="n"/>
      <c r="X565" s="82" t="n"/>
      <c r="Y565" s="82" t="n"/>
      <c r="Z565" s="82" t="n"/>
    </row>
    <row r="566" ht="15.75" customHeight="1" s="83">
      <c r="A566" s="82" t="n"/>
      <c r="B566" s="82" t="n"/>
      <c r="C566" s="82" t="n"/>
      <c r="D566" s="82" t="n"/>
      <c r="E566" s="81" t="n"/>
      <c r="F566" s="82" t="n"/>
      <c r="G566" s="82" t="n"/>
      <c r="H566" s="82" t="n"/>
      <c r="I566" s="82" t="n"/>
      <c r="J566" s="82" t="n"/>
      <c r="K566" s="82" t="n"/>
      <c r="L566" s="82" t="n"/>
      <c r="M566" s="82" t="n"/>
      <c r="N566" s="82" t="n"/>
      <c r="O566" s="82" t="n"/>
      <c r="P566" s="82" t="n"/>
      <c r="Q566" s="82" t="n"/>
      <c r="R566" s="82" t="n"/>
      <c r="S566" s="82" t="n"/>
      <c r="T566" s="82" t="n"/>
      <c r="U566" s="82" t="n"/>
      <c r="V566" s="82" t="n"/>
      <c r="W566" s="82" t="n"/>
      <c r="X566" s="82" t="n"/>
      <c r="Y566" s="82" t="n"/>
      <c r="Z566" s="82" t="n"/>
    </row>
    <row r="567" ht="15.75" customHeight="1" s="83">
      <c r="A567" s="82" t="n"/>
      <c r="B567" s="82" t="n"/>
      <c r="C567" s="82" t="n"/>
      <c r="D567" s="82" t="n"/>
      <c r="E567" s="81" t="n"/>
      <c r="F567" s="82" t="n"/>
      <c r="G567" s="82" t="n"/>
      <c r="H567" s="82" t="n"/>
      <c r="I567" s="82" t="n"/>
      <c r="J567" s="82" t="n"/>
      <c r="K567" s="82" t="n"/>
      <c r="L567" s="82" t="n"/>
      <c r="M567" s="82" t="n"/>
      <c r="N567" s="82" t="n"/>
      <c r="O567" s="82" t="n"/>
      <c r="P567" s="82" t="n"/>
      <c r="Q567" s="82" t="n"/>
      <c r="R567" s="82" t="n"/>
      <c r="S567" s="82" t="n"/>
      <c r="T567" s="82" t="n"/>
      <c r="U567" s="82" t="n"/>
      <c r="V567" s="82" t="n"/>
      <c r="W567" s="82" t="n"/>
      <c r="X567" s="82" t="n"/>
      <c r="Y567" s="82" t="n"/>
      <c r="Z567" s="82" t="n"/>
    </row>
    <row r="568" ht="15.75" customHeight="1" s="83">
      <c r="A568" s="82" t="n"/>
      <c r="B568" s="82" t="n"/>
      <c r="C568" s="82" t="n"/>
      <c r="D568" s="82" t="n"/>
      <c r="E568" s="81" t="n"/>
      <c r="F568" s="82" t="n"/>
      <c r="G568" s="82" t="n"/>
      <c r="H568" s="82" t="n"/>
      <c r="I568" s="82" t="n"/>
      <c r="J568" s="82" t="n"/>
      <c r="K568" s="82" t="n"/>
      <c r="L568" s="82" t="n"/>
      <c r="M568" s="82" t="n"/>
      <c r="N568" s="82" t="n"/>
      <c r="O568" s="82" t="n"/>
      <c r="P568" s="82" t="n"/>
      <c r="Q568" s="82" t="n"/>
      <c r="R568" s="82" t="n"/>
      <c r="S568" s="82" t="n"/>
      <c r="T568" s="82" t="n"/>
      <c r="U568" s="82" t="n"/>
      <c r="V568" s="82" t="n"/>
      <c r="W568" s="82" t="n"/>
      <c r="X568" s="82" t="n"/>
      <c r="Y568" s="82" t="n"/>
      <c r="Z568" s="82" t="n"/>
    </row>
    <row r="569" ht="15.75" customHeight="1" s="83">
      <c r="A569" s="82" t="n"/>
      <c r="B569" s="82" t="n"/>
      <c r="C569" s="82" t="n"/>
      <c r="D569" s="82" t="n"/>
      <c r="E569" s="81" t="n"/>
      <c r="F569" s="82" t="n"/>
      <c r="G569" s="82" t="n"/>
      <c r="H569" s="82" t="n"/>
      <c r="I569" s="82" t="n"/>
      <c r="J569" s="82" t="n"/>
      <c r="K569" s="82" t="n"/>
      <c r="L569" s="82" t="n"/>
      <c r="M569" s="82" t="n"/>
      <c r="N569" s="82" t="n"/>
      <c r="O569" s="82" t="n"/>
      <c r="P569" s="82" t="n"/>
      <c r="Q569" s="82" t="n"/>
      <c r="R569" s="82" t="n"/>
      <c r="S569" s="82" t="n"/>
      <c r="T569" s="82" t="n"/>
      <c r="U569" s="82" t="n"/>
      <c r="V569" s="82" t="n"/>
      <c r="W569" s="82" t="n"/>
      <c r="X569" s="82" t="n"/>
      <c r="Y569" s="82" t="n"/>
      <c r="Z569" s="82" t="n"/>
    </row>
    <row r="570" ht="15.75" customHeight="1" s="83">
      <c r="A570" s="82" t="n"/>
      <c r="B570" s="82" t="n"/>
      <c r="C570" s="82" t="n"/>
      <c r="D570" s="82" t="n"/>
      <c r="E570" s="81" t="n"/>
      <c r="F570" s="82" t="n"/>
      <c r="G570" s="82" t="n"/>
      <c r="H570" s="82" t="n"/>
      <c r="I570" s="82" t="n"/>
      <c r="J570" s="82" t="n"/>
      <c r="K570" s="82" t="n"/>
      <c r="L570" s="82" t="n"/>
      <c r="M570" s="82" t="n"/>
      <c r="N570" s="82" t="n"/>
      <c r="O570" s="82" t="n"/>
      <c r="P570" s="82" t="n"/>
      <c r="Q570" s="82" t="n"/>
      <c r="R570" s="82" t="n"/>
      <c r="S570" s="82" t="n"/>
      <c r="T570" s="82" t="n"/>
      <c r="U570" s="82" t="n"/>
      <c r="V570" s="82" t="n"/>
      <c r="W570" s="82" t="n"/>
      <c r="X570" s="82" t="n"/>
      <c r="Y570" s="82" t="n"/>
      <c r="Z570" s="82" t="n"/>
    </row>
    <row r="571" ht="15.75" customHeight="1" s="83">
      <c r="A571" s="82" t="n"/>
      <c r="B571" s="82" t="n"/>
      <c r="C571" s="82" t="n"/>
      <c r="D571" s="82" t="n"/>
      <c r="E571" s="81" t="n"/>
      <c r="F571" s="82" t="n"/>
      <c r="G571" s="82" t="n"/>
      <c r="H571" s="82" t="n"/>
      <c r="I571" s="82" t="n"/>
      <c r="J571" s="82" t="n"/>
      <c r="K571" s="82" t="n"/>
      <c r="L571" s="82" t="n"/>
      <c r="M571" s="82" t="n"/>
      <c r="N571" s="82" t="n"/>
      <c r="O571" s="82" t="n"/>
      <c r="P571" s="82" t="n"/>
      <c r="Q571" s="82" t="n"/>
      <c r="R571" s="82" t="n"/>
      <c r="S571" s="82" t="n"/>
      <c r="T571" s="82" t="n"/>
      <c r="U571" s="82" t="n"/>
      <c r="V571" s="82" t="n"/>
      <c r="W571" s="82" t="n"/>
      <c r="X571" s="82" t="n"/>
      <c r="Y571" s="82" t="n"/>
      <c r="Z571" s="82" t="n"/>
    </row>
    <row r="572" ht="15.75" customHeight="1" s="83">
      <c r="A572" s="82" t="n"/>
      <c r="B572" s="82" t="n"/>
      <c r="C572" s="82" t="n"/>
      <c r="D572" s="82" t="n"/>
      <c r="E572" s="81" t="n"/>
      <c r="F572" s="82" t="n"/>
      <c r="G572" s="82" t="n"/>
      <c r="H572" s="82" t="n"/>
      <c r="I572" s="82" t="n"/>
      <c r="J572" s="82" t="n"/>
      <c r="K572" s="82" t="n"/>
      <c r="L572" s="82" t="n"/>
      <c r="M572" s="82" t="n"/>
      <c r="N572" s="82" t="n"/>
      <c r="O572" s="82" t="n"/>
      <c r="P572" s="82" t="n"/>
      <c r="Q572" s="82" t="n"/>
      <c r="R572" s="82" t="n"/>
      <c r="S572" s="82" t="n"/>
      <c r="T572" s="82" t="n"/>
      <c r="U572" s="82" t="n"/>
      <c r="V572" s="82" t="n"/>
      <c r="W572" s="82" t="n"/>
      <c r="X572" s="82" t="n"/>
      <c r="Y572" s="82" t="n"/>
      <c r="Z572" s="82" t="n"/>
    </row>
    <row r="573" ht="15.75" customHeight="1" s="83">
      <c r="A573" s="82" t="n"/>
      <c r="B573" s="82" t="n"/>
      <c r="C573" s="82" t="n"/>
      <c r="D573" s="82" t="n"/>
      <c r="E573" s="81" t="n"/>
      <c r="F573" s="82" t="n"/>
      <c r="G573" s="82" t="n"/>
      <c r="H573" s="82" t="n"/>
      <c r="I573" s="82" t="n"/>
      <c r="J573" s="82" t="n"/>
      <c r="K573" s="82" t="n"/>
      <c r="L573" s="82" t="n"/>
      <c r="M573" s="82" t="n"/>
      <c r="N573" s="82" t="n"/>
      <c r="O573" s="82" t="n"/>
      <c r="P573" s="82" t="n"/>
      <c r="Q573" s="82" t="n"/>
      <c r="R573" s="82" t="n"/>
      <c r="S573" s="82" t="n"/>
      <c r="T573" s="82" t="n"/>
      <c r="U573" s="82" t="n"/>
      <c r="V573" s="82" t="n"/>
      <c r="W573" s="82" t="n"/>
      <c r="X573" s="82" t="n"/>
      <c r="Y573" s="82" t="n"/>
      <c r="Z573" s="82" t="n"/>
    </row>
    <row r="574" ht="15.75" customHeight="1" s="83">
      <c r="A574" s="82" t="n"/>
      <c r="B574" s="82" t="n"/>
      <c r="C574" s="82" t="n"/>
      <c r="D574" s="82" t="n"/>
      <c r="E574" s="81" t="n"/>
      <c r="F574" s="82" t="n"/>
      <c r="G574" s="82" t="n"/>
      <c r="H574" s="82" t="n"/>
      <c r="I574" s="82" t="n"/>
      <c r="J574" s="82" t="n"/>
      <c r="K574" s="82" t="n"/>
      <c r="L574" s="82" t="n"/>
      <c r="M574" s="82" t="n"/>
      <c r="N574" s="82" t="n"/>
      <c r="O574" s="82" t="n"/>
      <c r="P574" s="82" t="n"/>
      <c r="Q574" s="82" t="n"/>
      <c r="R574" s="82" t="n"/>
      <c r="S574" s="82" t="n"/>
      <c r="T574" s="82" t="n"/>
      <c r="U574" s="82" t="n"/>
      <c r="V574" s="82" t="n"/>
      <c r="W574" s="82" t="n"/>
      <c r="X574" s="82" t="n"/>
      <c r="Y574" s="82" t="n"/>
      <c r="Z574" s="82" t="n"/>
    </row>
    <row r="575" ht="15.75" customHeight="1" s="83">
      <c r="A575" s="82" t="n"/>
      <c r="B575" s="82" t="n"/>
      <c r="C575" s="82" t="n"/>
      <c r="D575" s="82" t="n"/>
      <c r="E575" s="81" t="n"/>
      <c r="F575" s="82" t="n"/>
      <c r="G575" s="82" t="n"/>
      <c r="H575" s="82" t="n"/>
      <c r="I575" s="82" t="n"/>
      <c r="J575" s="82" t="n"/>
      <c r="K575" s="82" t="n"/>
      <c r="L575" s="82" t="n"/>
      <c r="M575" s="82" t="n"/>
      <c r="N575" s="82" t="n"/>
      <c r="O575" s="82" t="n"/>
      <c r="P575" s="82" t="n"/>
      <c r="Q575" s="82" t="n"/>
      <c r="R575" s="82" t="n"/>
      <c r="S575" s="82" t="n"/>
      <c r="T575" s="82" t="n"/>
      <c r="U575" s="82" t="n"/>
      <c r="V575" s="82" t="n"/>
      <c r="W575" s="82" t="n"/>
      <c r="X575" s="82" t="n"/>
      <c r="Y575" s="82" t="n"/>
      <c r="Z575" s="82" t="n"/>
    </row>
    <row r="576" ht="15.75" customHeight="1" s="83">
      <c r="A576" s="82" t="n"/>
      <c r="B576" s="82" t="n"/>
      <c r="C576" s="82" t="n"/>
      <c r="D576" s="82" t="n"/>
      <c r="E576" s="81" t="n"/>
      <c r="F576" s="82" t="n"/>
      <c r="G576" s="82" t="n"/>
      <c r="H576" s="82" t="n"/>
      <c r="I576" s="82" t="n"/>
      <c r="J576" s="82" t="n"/>
      <c r="K576" s="82" t="n"/>
      <c r="L576" s="82" t="n"/>
      <c r="M576" s="82" t="n"/>
      <c r="N576" s="82" t="n"/>
      <c r="O576" s="82" t="n"/>
      <c r="P576" s="82" t="n"/>
      <c r="Q576" s="82" t="n"/>
      <c r="R576" s="82" t="n"/>
      <c r="S576" s="82" t="n"/>
      <c r="T576" s="82" t="n"/>
      <c r="U576" s="82" t="n"/>
      <c r="V576" s="82" t="n"/>
      <c r="W576" s="82" t="n"/>
      <c r="X576" s="82" t="n"/>
      <c r="Y576" s="82" t="n"/>
      <c r="Z576" s="82" t="n"/>
    </row>
    <row r="577" ht="15.75" customHeight="1" s="83">
      <c r="A577" s="82" t="n"/>
      <c r="B577" s="82" t="n"/>
      <c r="C577" s="82" t="n"/>
      <c r="D577" s="82" t="n"/>
      <c r="E577" s="81" t="n"/>
      <c r="F577" s="82" t="n"/>
      <c r="G577" s="82" t="n"/>
      <c r="H577" s="82" t="n"/>
      <c r="I577" s="82" t="n"/>
      <c r="J577" s="82" t="n"/>
      <c r="K577" s="82" t="n"/>
      <c r="L577" s="82" t="n"/>
      <c r="M577" s="82" t="n"/>
      <c r="N577" s="82" t="n"/>
      <c r="O577" s="82" t="n"/>
      <c r="P577" s="82" t="n"/>
      <c r="Q577" s="82" t="n"/>
      <c r="R577" s="82" t="n"/>
      <c r="S577" s="82" t="n"/>
      <c r="T577" s="82" t="n"/>
      <c r="U577" s="82" t="n"/>
      <c r="V577" s="82" t="n"/>
      <c r="W577" s="82" t="n"/>
      <c r="X577" s="82" t="n"/>
      <c r="Y577" s="82" t="n"/>
      <c r="Z577" s="82" t="n"/>
    </row>
    <row r="578" ht="15.75" customHeight="1" s="83">
      <c r="A578" s="82" t="n"/>
      <c r="B578" s="82" t="n"/>
      <c r="C578" s="82" t="n"/>
      <c r="D578" s="82" t="n"/>
      <c r="E578" s="81" t="n"/>
      <c r="F578" s="82" t="n"/>
      <c r="G578" s="82" t="n"/>
      <c r="H578" s="82" t="n"/>
      <c r="I578" s="82" t="n"/>
      <c r="J578" s="82" t="n"/>
      <c r="K578" s="82" t="n"/>
      <c r="L578" s="82" t="n"/>
      <c r="M578" s="82" t="n"/>
      <c r="N578" s="82" t="n"/>
      <c r="O578" s="82" t="n"/>
      <c r="P578" s="82" t="n"/>
      <c r="Q578" s="82" t="n"/>
      <c r="R578" s="82" t="n"/>
      <c r="S578" s="82" t="n"/>
      <c r="T578" s="82" t="n"/>
      <c r="U578" s="82" t="n"/>
      <c r="V578" s="82" t="n"/>
      <c r="W578" s="82" t="n"/>
      <c r="X578" s="82" t="n"/>
      <c r="Y578" s="82" t="n"/>
      <c r="Z578" s="82" t="n"/>
    </row>
    <row r="579" ht="15.75" customHeight="1" s="83">
      <c r="A579" s="82" t="n"/>
      <c r="B579" s="82" t="n"/>
      <c r="C579" s="82" t="n"/>
      <c r="D579" s="82" t="n"/>
      <c r="E579" s="81" t="n"/>
      <c r="F579" s="82" t="n"/>
      <c r="G579" s="82" t="n"/>
      <c r="H579" s="82" t="n"/>
      <c r="I579" s="82" t="n"/>
      <c r="J579" s="82" t="n"/>
      <c r="K579" s="82" t="n"/>
      <c r="L579" s="82" t="n"/>
      <c r="M579" s="82" t="n"/>
      <c r="N579" s="82" t="n"/>
      <c r="O579" s="82" t="n"/>
      <c r="P579" s="82" t="n"/>
      <c r="Q579" s="82" t="n"/>
      <c r="R579" s="82" t="n"/>
      <c r="S579" s="82" t="n"/>
      <c r="T579" s="82" t="n"/>
      <c r="U579" s="82" t="n"/>
      <c r="V579" s="82" t="n"/>
      <c r="W579" s="82" t="n"/>
      <c r="X579" s="82" t="n"/>
      <c r="Y579" s="82" t="n"/>
      <c r="Z579" s="82" t="n"/>
    </row>
    <row r="580" ht="15.75" customHeight="1" s="83">
      <c r="A580" s="82" t="n"/>
      <c r="B580" s="82" t="n"/>
      <c r="C580" s="82" t="n"/>
      <c r="D580" s="82" t="n"/>
      <c r="E580" s="81" t="n"/>
      <c r="F580" s="82" t="n"/>
      <c r="G580" s="82" t="n"/>
      <c r="H580" s="82" t="n"/>
      <c r="I580" s="82" t="n"/>
      <c r="J580" s="82" t="n"/>
      <c r="K580" s="82" t="n"/>
      <c r="L580" s="82" t="n"/>
      <c r="M580" s="82" t="n"/>
      <c r="N580" s="82" t="n"/>
      <c r="O580" s="82" t="n"/>
      <c r="P580" s="82" t="n"/>
      <c r="Q580" s="82" t="n"/>
      <c r="R580" s="82" t="n"/>
      <c r="S580" s="82" t="n"/>
      <c r="T580" s="82" t="n"/>
      <c r="U580" s="82" t="n"/>
      <c r="V580" s="82" t="n"/>
      <c r="W580" s="82" t="n"/>
      <c r="X580" s="82" t="n"/>
      <c r="Y580" s="82" t="n"/>
      <c r="Z580" s="82" t="n"/>
    </row>
    <row r="581" ht="15.75" customHeight="1" s="83">
      <c r="A581" s="82" t="n"/>
      <c r="B581" s="82" t="n"/>
      <c r="C581" s="82" t="n"/>
      <c r="D581" s="82" t="n"/>
      <c r="E581" s="81" t="n"/>
      <c r="F581" s="82" t="n"/>
      <c r="G581" s="82" t="n"/>
      <c r="H581" s="82" t="n"/>
      <c r="I581" s="82" t="n"/>
      <c r="J581" s="82" t="n"/>
      <c r="K581" s="82" t="n"/>
      <c r="L581" s="82" t="n"/>
      <c r="M581" s="82" t="n"/>
      <c r="N581" s="82" t="n"/>
      <c r="O581" s="82" t="n"/>
      <c r="P581" s="82" t="n"/>
      <c r="Q581" s="82" t="n"/>
      <c r="R581" s="82" t="n"/>
      <c r="S581" s="82" t="n"/>
      <c r="T581" s="82" t="n"/>
      <c r="U581" s="82" t="n"/>
      <c r="V581" s="82" t="n"/>
      <c r="W581" s="82" t="n"/>
      <c r="X581" s="82" t="n"/>
      <c r="Y581" s="82" t="n"/>
      <c r="Z581" s="82" t="n"/>
    </row>
    <row r="582" ht="15.75" customHeight="1" s="83">
      <c r="A582" s="82" t="n"/>
      <c r="B582" s="82" t="n"/>
      <c r="C582" s="82" t="n"/>
      <c r="D582" s="82" t="n"/>
      <c r="E582" s="81" t="n"/>
      <c r="F582" s="82" t="n"/>
      <c r="G582" s="82" t="n"/>
      <c r="H582" s="82" t="n"/>
      <c r="I582" s="82" t="n"/>
      <c r="J582" s="82" t="n"/>
      <c r="K582" s="82" t="n"/>
      <c r="L582" s="82" t="n"/>
      <c r="M582" s="82" t="n"/>
      <c r="N582" s="82" t="n"/>
      <c r="O582" s="82" t="n"/>
      <c r="P582" s="82" t="n"/>
      <c r="Q582" s="82" t="n"/>
      <c r="R582" s="82" t="n"/>
      <c r="S582" s="82" t="n"/>
      <c r="T582" s="82" t="n"/>
      <c r="U582" s="82" t="n"/>
      <c r="V582" s="82" t="n"/>
      <c r="W582" s="82" t="n"/>
      <c r="X582" s="82" t="n"/>
      <c r="Y582" s="82" t="n"/>
      <c r="Z582" s="82" t="n"/>
    </row>
    <row r="583" ht="15.75" customHeight="1" s="83">
      <c r="A583" s="82" t="n"/>
      <c r="B583" s="82" t="n"/>
      <c r="C583" s="82" t="n"/>
      <c r="D583" s="82" t="n"/>
      <c r="E583" s="81" t="n"/>
      <c r="F583" s="82" t="n"/>
      <c r="G583" s="82" t="n"/>
      <c r="H583" s="82" t="n"/>
      <c r="I583" s="82" t="n"/>
      <c r="J583" s="82" t="n"/>
      <c r="K583" s="82" t="n"/>
      <c r="L583" s="82" t="n"/>
      <c r="M583" s="82" t="n"/>
      <c r="N583" s="82" t="n"/>
      <c r="O583" s="82" t="n"/>
      <c r="P583" s="82" t="n"/>
      <c r="Q583" s="82" t="n"/>
      <c r="R583" s="82" t="n"/>
      <c r="S583" s="82" t="n"/>
      <c r="T583" s="82" t="n"/>
      <c r="U583" s="82" t="n"/>
      <c r="V583" s="82" t="n"/>
      <c r="W583" s="82" t="n"/>
      <c r="X583" s="82" t="n"/>
      <c r="Y583" s="82" t="n"/>
      <c r="Z583" s="82" t="n"/>
    </row>
    <row r="584" ht="15.75" customHeight="1" s="83">
      <c r="A584" s="82" t="n"/>
      <c r="B584" s="82" t="n"/>
      <c r="C584" s="82" t="n"/>
      <c r="D584" s="82" t="n"/>
      <c r="E584" s="81" t="n"/>
      <c r="F584" s="82" t="n"/>
      <c r="G584" s="82" t="n"/>
      <c r="H584" s="82" t="n"/>
      <c r="I584" s="82" t="n"/>
      <c r="J584" s="82" t="n"/>
      <c r="K584" s="82" t="n"/>
      <c r="L584" s="82" t="n"/>
      <c r="M584" s="82" t="n"/>
      <c r="N584" s="82" t="n"/>
      <c r="O584" s="82" t="n"/>
      <c r="P584" s="82" t="n"/>
      <c r="Q584" s="82" t="n"/>
      <c r="R584" s="82" t="n"/>
      <c r="S584" s="82" t="n"/>
      <c r="T584" s="82" t="n"/>
      <c r="U584" s="82" t="n"/>
      <c r="V584" s="82" t="n"/>
      <c r="W584" s="82" t="n"/>
      <c r="X584" s="82" t="n"/>
      <c r="Y584" s="82" t="n"/>
      <c r="Z584" s="82" t="n"/>
    </row>
    <row r="585" ht="15.75" customHeight="1" s="83">
      <c r="A585" s="82" t="n"/>
      <c r="B585" s="82" t="n"/>
      <c r="C585" s="82" t="n"/>
      <c r="D585" s="82" t="n"/>
      <c r="E585" s="81" t="n"/>
      <c r="F585" s="82" t="n"/>
      <c r="G585" s="82" t="n"/>
      <c r="H585" s="82" t="n"/>
      <c r="I585" s="82" t="n"/>
      <c r="J585" s="82" t="n"/>
      <c r="K585" s="82" t="n"/>
      <c r="L585" s="82" t="n"/>
      <c r="M585" s="82" t="n"/>
      <c r="N585" s="82" t="n"/>
      <c r="O585" s="82" t="n"/>
      <c r="P585" s="82" t="n"/>
      <c r="Q585" s="82" t="n"/>
      <c r="R585" s="82" t="n"/>
      <c r="S585" s="82" t="n"/>
      <c r="T585" s="82" t="n"/>
      <c r="U585" s="82" t="n"/>
      <c r="V585" s="82" t="n"/>
      <c r="W585" s="82" t="n"/>
      <c r="X585" s="82" t="n"/>
      <c r="Y585" s="82" t="n"/>
      <c r="Z585" s="82" t="n"/>
    </row>
    <row r="586" ht="15.75" customHeight="1" s="83">
      <c r="A586" s="82" t="n"/>
      <c r="B586" s="82" t="n"/>
      <c r="C586" s="82" t="n"/>
      <c r="D586" s="82" t="n"/>
      <c r="E586" s="81" t="n"/>
      <c r="F586" s="82" t="n"/>
      <c r="G586" s="82" t="n"/>
      <c r="H586" s="82" t="n"/>
      <c r="I586" s="82" t="n"/>
      <c r="J586" s="82" t="n"/>
      <c r="K586" s="82" t="n"/>
      <c r="L586" s="82" t="n"/>
      <c r="M586" s="82" t="n"/>
      <c r="N586" s="82" t="n"/>
      <c r="O586" s="82" t="n"/>
      <c r="P586" s="82" t="n"/>
      <c r="Q586" s="82" t="n"/>
      <c r="R586" s="82" t="n"/>
      <c r="S586" s="82" t="n"/>
      <c r="T586" s="82" t="n"/>
      <c r="U586" s="82" t="n"/>
      <c r="V586" s="82" t="n"/>
      <c r="W586" s="82" t="n"/>
      <c r="X586" s="82" t="n"/>
      <c r="Y586" s="82" t="n"/>
      <c r="Z586" s="82" t="n"/>
    </row>
    <row r="587" ht="15.75" customHeight="1" s="83">
      <c r="A587" s="82" t="n"/>
      <c r="B587" s="82" t="n"/>
      <c r="C587" s="82" t="n"/>
      <c r="D587" s="82" t="n"/>
      <c r="E587" s="81" t="n"/>
      <c r="F587" s="82" t="n"/>
      <c r="G587" s="82" t="n"/>
      <c r="H587" s="82" t="n"/>
      <c r="I587" s="82" t="n"/>
      <c r="J587" s="82" t="n"/>
      <c r="K587" s="82" t="n"/>
      <c r="L587" s="82" t="n"/>
      <c r="M587" s="82" t="n"/>
      <c r="N587" s="82" t="n"/>
      <c r="O587" s="82" t="n"/>
      <c r="P587" s="82" t="n"/>
      <c r="Q587" s="82" t="n"/>
      <c r="R587" s="82" t="n"/>
      <c r="S587" s="82" t="n"/>
      <c r="T587" s="82" t="n"/>
      <c r="U587" s="82" t="n"/>
      <c r="V587" s="82" t="n"/>
      <c r="W587" s="82" t="n"/>
      <c r="X587" s="82" t="n"/>
      <c r="Y587" s="82" t="n"/>
      <c r="Z587" s="82" t="n"/>
    </row>
    <row r="588" ht="15.75" customHeight="1" s="83">
      <c r="A588" s="82" t="n"/>
      <c r="B588" s="82" t="n"/>
      <c r="C588" s="82" t="n"/>
      <c r="D588" s="82" t="n"/>
      <c r="E588" s="81" t="n"/>
      <c r="F588" s="82" t="n"/>
      <c r="G588" s="82" t="n"/>
      <c r="H588" s="82" t="n"/>
      <c r="I588" s="82" t="n"/>
      <c r="J588" s="82" t="n"/>
      <c r="K588" s="82" t="n"/>
      <c r="L588" s="82" t="n"/>
      <c r="M588" s="82" t="n"/>
      <c r="N588" s="82" t="n"/>
      <c r="O588" s="82" t="n"/>
      <c r="P588" s="82" t="n"/>
      <c r="Q588" s="82" t="n"/>
      <c r="R588" s="82" t="n"/>
      <c r="S588" s="82" t="n"/>
      <c r="T588" s="82" t="n"/>
      <c r="U588" s="82" t="n"/>
      <c r="V588" s="82" t="n"/>
      <c r="W588" s="82" t="n"/>
      <c r="X588" s="82" t="n"/>
      <c r="Y588" s="82" t="n"/>
      <c r="Z588" s="82" t="n"/>
    </row>
    <row r="589" ht="15.75" customHeight="1" s="83">
      <c r="A589" s="82" t="n"/>
      <c r="B589" s="82" t="n"/>
      <c r="C589" s="82" t="n"/>
      <c r="D589" s="82" t="n"/>
      <c r="E589" s="81" t="n"/>
      <c r="F589" s="82" t="n"/>
      <c r="G589" s="82" t="n"/>
      <c r="H589" s="82" t="n"/>
      <c r="I589" s="82" t="n"/>
      <c r="J589" s="82" t="n"/>
      <c r="K589" s="82" t="n"/>
      <c r="L589" s="82" t="n"/>
      <c r="M589" s="82" t="n"/>
      <c r="N589" s="82" t="n"/>
      <c r="O589" s="82" t="n"/>
      <c r="P589" s="82" t="n"/>
      <c r="Q589" s="82" t="n"/>
      <c r="R589" s="82" t="n"/>
      <c r="S589" s="82" t="n"/>
      <c r="T589" s="82" t="n"/>
      <c r="U589" s="82" t="n"/>
      <c r="V589" s="82" t="n"/>
      <c r="W589" s="82" t="n"/>
      <c r="X589" s="82" t="n"/>
      <c r="Y589" s="82" t="n"/>
      <c r="Z589" s="82" t="n"/>
    </row>
    <row r="590" ht="15.75" customHeight="1" s="83">
      <c r="A590" s="82" t="n"/>
      <c r="B590" s="82" t="n"/>
      <c r="C590" s="82" t="n"/>
      <c r="D590" s="82" t="n"/>
      <c r="E590" s="81" t="n"/>
      <c r="F590" s="82" t="n"/>
      <c r="G590" s="82" t="n"/>
      <c r="H590" s="82" t="n"/>
      <c r="I590" s="82" t="n"/>
      <c r="J590" s="82" t="n"/>
      <c r="K590" s="82" t="n"/>
      <c r="L590" s="82" t="n"/>
      <c r="M590" s="82" t="n"/>
      <c r="N590" s="82" t="n"/>
      <c r="O590" s="82" t="n"/>
      <c r="P590" s="82" t="n"/>
      <c r="Q590" s="82" t="n"/>
      <c r="R590" s="82" t="n"/>
      <c r="S590" s="82" t="n"/>
      <c r="T590" s="82" t="n"/>
      <c r="U590" s="82" t="n"/>
      <c r="V590" s="82" t="n"/>
      <c r="W590" s="82" t="n"/>
      <c r="X590" s="82" t="n"/>
      <c r="Y590" s="82" t="n"/>
      <c r="Z590" s="82" t="n"/>
    </row>
    <row r="591" ht="15.75" customHeight="1" s="83">
      <c r="A591" s="82" t="n"/>
      <c r="B591" s="82" t="n"/>
      <c r="C591" s="82" t="n"/>
      <c r="D591" s="82" t="n"/>
      <c r="E591" s="81" t="n"/>
      <c r="F591" s="82" t="n"/>
      <c r="G591" s="82" t="n"/>
      <c r="H591" s="82" t="n"/>
      <c r="I591" s="82" t="n"/>
      <c r="J591" s="82" t="n"/>
      <c r="K591" s="82" t="n"/>
      <c r="L591" s="82" t="n"/>
      <c r="M591" s="82" t="n"/>
      <c r="N591" s="82" t="n"/>
      <c r="O591" s="82" t="n"/>
      <c r="P591" s="82" t="n"/>
      <c r="Q591" s="82" t="n"/>
      <c r="R591" s="82" t="n"/>
      <c r="S591" s="82" t="n"/>
      <c r="T591" s="82" t="n"/>
      <c r="U591" s="82" t="n"/>
      <c r="V591" s="82" t="n"/>
      <c r="W591" s="82" t="n"/>
      <c r="X591" s="82" t="n"/>
      <c r="Y591" s="82" t="n"/>
      <c r="Z591" s="82" t="n"/>
    </row>
    <row r="592" ht="15.75" customHeight="1" s="83">
      <c r="A592" s="82" t="n"/>
      <c r="B592" s="82" t="n"/>
      <c r="C592" s="82" t="n"/>
      <c r="D592" s="82" t="n"/>
      <c r="E592" s="81" t="n"/>
      <c r="F592" s="82" t="n"/>
      <c r="G592" s="82" t="n"/>
      <c r="H592" s="82" t="n"/>
      <c r="I592" s="82" t="n"/>
      <c r="J592" s="82" t="n"/>
      <c r="K592" s="82" t="n"/>
      <c r="L592" s="82" t="n"/>
      <c r="M592" s="82" t="n"/>
      <c r="N592" s="82" t="n"/>
      <c r="O592" s="82" t="n"/>
      <c r="P592" s="82" t="n"/>
      <c r="Q592" s="82" t="n"/>
      <c r="R592" s="82" t="n"/>
      <c r="S592" s="82" t="n"/>
      <c r="T592" s="82" t="n"/>
      <c r="U592" s="82" t="n"/>
      <c r="V592" s="82" t="n"/>
      <c r="W592" s="82" t="n"/>
      <c r="X592" s="82" t="n"/>
      <c r="Y592" s="82" t="n"/>
      <c r="Z592" s="82" t="n"/>
    </row>
    <row r="593" ht="15.75" customHeight="1" s="83">
      <c r="A593" s="82" t="n"/>
      <c r="B593" s="82" t="n"/>
      <c r="C593" s="82" t="n"/>
      <c r="D593" s="82" t="n"/>
      <c r="E593" s="81" t="n"/>
      <c r="F593" s="82" t="n"/>
      <c r="G593" s="82" t="n"/>
      <c r="H593" s="82" t="n"/>
      <c r="I593" s="82" t="n"/>
      <c r="J593" s="82" t="n"/>
      <c r="K593" s="82" t="n"/>
      <c r="L593" s="82" t="n"/>
      <c r="M593" s="82" t="n"/>
      <c r="N593" s="82" t="n"/>
      <c r="O593" s="82" t="n"/>
      <c r="P593" s="82" t="n"/>
      <c r="Q593" s="82" t="n"/>
      <c r="R593" s="82" t="n"/>
      <c r="S593" s="82" t="n"/>
      <c r="T593" s="82" t="n"/>
      <c r="U593" s="82" t="n"/>
      <c r="V593" s="82" t="n"/>
      <c r="W593" s="82" t="n"/>
      <c r="X593" s="82" t="n"/>
      <c r="Y593" s="82" t="n"/>
      <c r="Z593" s="82" t="n"/>
    </row>
    <row r="594" ht="15.75" customHeight="1" s="83">
      <c r="A594" s="82" t="n"/>
      <c r="B594" s="82" t="n"/>
      <c r="C594" s="82" t="n"/>
      <c r="D594" s="82" t="n"/>
      <c r="E594" s="81" t="n"/>
      <c r="F594" s="82" t="n"/>
      <c r="G594" s="82" t="n"/>
      <c r="H594" s="82" t="n"/>
      <c r="I594" s="82" t="n"/>
      <c r="J594" s="82" t="n"/>
      <c r="K594" s="82" t="n"/>
      <c r="L594" s="82" t="n"/>
      <c r="M594" s="82" t="n"/>
      <c r="N594" s="82" t="n"/>
      <c r="O594" s="82" t="n"/>
      <c r="P594" s="82" t="n"/>
      <c r="Q594" s="82" t="n"/>
      <c r="R594" s="82" t="n"/>
      <c r="S594" s="82" t="n"/>
      <c r="T594" s="82" t="n"/>
      <c r="U594" s="82" t="n"/>
      <c r="V594" s="82" t="n"/>
      <c r="W594" s="82" t="n"/>
      <c r="X594" s="82" t="n"/>
      <c r="Y594" s="82" t="n"/>
      <c r="Z594" s="82" t="n"/>
    </row>
    <row r="595" ht="15.75" customHeight="1" s="83">
      <c r="A595" s="82" t="n"/>
      <c r="B595" s="82" t="n"/>
      <c r="C595" s="82" t="n"/>
      <c r="D595" s="82" t="n"/>
      <c r="E595" s="81" t="n"/>
      <c r="F595" s="82" t="n"/>
      <c r="G595" s="82" t="n"/>
      <c r="H595" s="82" t="n"/>
      <c r="I595" s="82" t="n"/>
      <c r="J595" s="82" t="n"/>
      <c r="K595" s="82" t="n"/>
      <c r="L595" s="82" t="n"/>
      <c r="M595" s="82" t="n"/>
      <c r="N595" s="82" t="n"/>
      <c r="O595" s="82" t="n"/>
      <c r="P595" s="82" t="n"/>
      <c r="Q595" s="82" t="n"/>
      <c r="R595" s="82" t="n"/>
      <c r="S595" s="82" t="n"/>
      <c r="T595" s="82" t="n"/>
      <c r="U595" s="82" t="n"/>
      <c r="V595" s="82" t="n"/>
      <c r="W595" s="82" t="n"/>
      <c r="X595" s="82" t="n"/>
      <c r="Y595" s="82" t="n"/>
      <c r="Z595" s="82" t="n"/>
    </row>
    <row r="596" ht="15.75" customHeight="1" s="83">
      <c r="A596" s="82" t="n"/>
      <c r="B596" s="82" t="n"/>
      <c r="C596" s="82" t="n"/>
      <c r="D596" s="82" t="n"/>
      <c r="E596" s="81" t="n"/>
      <c r="F596" s="82" t="n"/>
      <c r="G596" s="82" t="n"/>
      <c r="H596" s="82" t="n"/>
      <c r="I596" s="82" t="n"/>
      <c r="J596" s="82" t="n"/>
      <c r="K596" s="82" t="n"/>
      <c r="L596" s="82" t="n"/>
      <c r="M596" s="82" t="n"/>
      <c r="N596" s="82" t="n"/>
      <c r="O596" s="82" t="n"/>
      <c r="P596" s="82" t="n"/>
      <c r="Q596" s="82" t="n"/>
      <c r="R596" s="82" t="n"/>
      <c r="S596" s="82" t="n"/>
      <c r="T596" s="82" t="n"/>
      <c r="U596" s="82" t="n"/>
      <c r="V596" s="82" t="n"/>
      <c r="W596" s="82" t="n"/>
      <c r="X596" s="82" t="n"/>
      <c r="Y596" s="82" t="n"/>
      <c r="Z596" s="82" t="n"/>
    </row>
    <row r="597" ht="15.75" customHeight="1" s="83">
      <c r="A597" s="82" t="n"/>
      <c r="B597" s="82" t="n"/>
      <c r="C597" s="82" t="n"/>
      <c r="D597" s="82" t="n"/>
      <c r="E597" s="81" t="n"/>
      <c r="F597" s="82" t="n"/>
      <c r="G597" s="82" t="n"/>
      <c r="H597" s="82" t="n"/>
      <c r="I597" s="82" t="n"/>
      <c r="J597" s="82" t="n"/>
      <c r="K597" s="82" t="n"/>
      <c r="L597" s="82" t="n"/>
      <c r="M597" s="82" t="n"/>
      <c r="N597" s="82" t="n"/>
      <c r="O597" s="82" t="n"/>
      <c r="P597" s="82" t="n"/>
      <c r="Q597" s="82" t="n"/>
      <c r="R597" s="82" t="n"/>
      <c r="S597" s="82" t="n"/>
      <c r="T597" s="82" t="n"/>
      <c r="U597" s="82" t="n"/>
      <c r="V597" s="82" t="n"/>
      <c r="W597" s="82" t="n"/>
      <c r="X597" s="82" t="n"/>
      <c r="Y597" s="82" t="n"/>
      <c r="Z597" s="82" t="n"/>
    </row>
    <row r="598" ht="15.75" customHeight="1" s="83">
      <c r="A598" s="82" t="n"/>
      <c r="B598" s="82" t="n"/>
      <c r="C598" s="82" t="n"/>
      <c r="D598" s="82" t="n"/>
      <c r="E598" s="81" t="n"/>
      <c r="F598" s="82" t="n"/>
      <c r="G598" s="82" t="n"/>
      <c r="H598" s="82" t="n"/>
      <c r="I598" s="82" t="n"/>
      <c r="J598" s="82" t="n"/>
      <c r="K598" s="82" t="n"/>
      <c r="L598" s="82" t="n"/>
      <c r="M598" s="82" t="n"/>
      <c r="N598" s="82" t="n"/>
      <c r="O598" s="82" t="n"/>
      <c r="P598" s="82" t="n"/>
      <c r="Q598" s="82" t="n"/>
      <c r="R598" s="82" t="n"/>
      <c r="S598" s="82" t="n"/>
      <c r="T598" s="82" t="n"/>
      <c r="U598" s="82" t="n"/>
      <c r="V598" s="82" t="n"/>
      <c r="W598" s="82" t="n"/>
      <c r="X598" s="82" t="n"/>
      <c r="Y598" s="82" t="n"/>
      <c r="Z598" s="82" t="n"/>
    </row>
    <row r="599" ht="15.75" customHeight="1" s="83">
      <c r="A599" s="82" t="n"/>
      <c r="B599" s="82" t="n"/>
      <c r="C599" s="82" t="n"/>
      <c r="D599" s="82" t="n"/>
      <c r="E599" s="81" t="n"/>
      <c r="F599" s="82" t="n"/>
      <c r="G599" s="82" t="n"/>
      <c r="H599" s="82" t="n"/>
      <c r="I599" s="82" t="n"/>
      <c r="J599" s="82" t="n"/>
      <c r="K599" s="82" t="n"/>
      <c r="L599" s="82" t="n"/>
      <c r="M599" s="82" t="n"/>
      <c r="N599" s="82" t="n"/>
      <c r="O599" s="82" t="n"/>
      <c r="P599" s="82" t="n"/>
      <c r="Q599" s="82" t="n"/>
      <c r="R599" s="82" t="n"/>
      <c r="S599" s="82" t="n"/>
      <c r="T599" s="82" t="n"/>
      <c r="U599" s="82" t="n"/>
      <c r="V599" s="82" t="n"/>
      <c r="W599" s="82" t="n"/>
      <c r="X599" s="82" t="n"/>
      <c r="Y599" s="82" t="n"/>
      <c r="Z599" s="82" t="n"/>
    </row>
    <row r="600" ht="15.75" customHeight="1" s="83">
      <c r="A600" s="82" t="n"/>
      <c r="B600" s="82" t="n"/>
      <c r="C600" s="82" t="n"/>
      <c r="D600" s="82" t="n"/>
      <c r="E600" s="81" t="n"/>
      <c r="F600" s="82" t="n"/>
      <c r="G600" s="82" t="n"/>
      <c r="H600" s="82" t="n"/>
      <c r="I600" s="82" t="n"/>
      <c r="J600" s="82" t="n"/>
      <c r="K600" s="82" t="n"/>
      <c r="L600" s="82" t="n"/>
      <c r="M600" s="82" t="n"/>
      <c r="N600" s="82" t="n"/>
      <c r="O600" s="82" t="n"/>
      <c r="P600" s="82" t="n"/>
      <c r="Q600" s="82" t="n"/>
      <c r="R600" s="82" t="n"/>
      <c r="S600" s="82" t="n"/>
      <c r="T600" s="82" t="n"/>
      <c r="U600" s="82" t="n"/>
      <c r="V600" s="82" t="n"/>
      <c r="W600" s="82" t="n"/>
      <c r="X600" s="82" t="n"/>
      <c r="Y600" s="82" t="n"/>
      <c r="Z600" s="82" t="n"/>
    </row>
    <row r="601" ht="15.75" customHeight="1" s="83">
      <c r="A601" s="82" t="n"/>
      <c r="B601" s="82" t="n"/>
      <c r="C601" s="82" t="n"/>
      <c r="D601" s="82" t="n"/>
      <c r="E601" s="81" t="n"/>
      <c r="F601" s="82" t="n"/>
      <c r="G601" s="82" t="n"/>
      <c r="H601" s="82" t="n"/>
      <c r="I601" s="82" t="n"/>
      <c r="J601" s="82" t="n"/>
      <c r="K601" s="82" t="n"/>
      <c r="L601" s="82" t="n"/>
      <c r="M601" s="82" t="n"/>
      <c r="N601" s="82" t="n"/>
      <c r="O601" s="82" t="n"/>
      <c r="P601" s="82" t="n"/>
      <c r="Q601" s="82" t="n"/>
      <c r="R601" s="82" t="n"/>
      <c r="S601" s="82" t="n"/>
      <c r="T601" s="82" t="n"/>
      <c r="U601" s="82" t="n"/>
      <c r="V601" s="82" t="n"/>
      <c r="W601" s="82" t="n"/>
      <c r="X601" s="82" t="n"/>
      <c r="Y601" s="82" t="n"/>
      <c r="Z601" s="82" t="n"/>
    </row>
    <row r="602" ht="15.75" customHeight="1" s="83">
      <c r="A602" s="82" t="n"/>
      <c r="B602" s="82" t="n"/>
      <c r="C602" s="82" t="n"/>
      <c r="D602" s="82" t="n"/>
      <c r="E602" s="81" t="n"/>
      <c r="F602" s="82" t="n"/>
      <c r="G602" s="82" t="n"/>
      <c r="H602" s="82" t="n"/>
      <c r="I602" s="82" t="n"/>
      <c r="J602" s="82" t="n"/>
      <c r="K602" s="82" t="n"/>
      <c r="L602" s="82" t="n"/>
      <c r="M602" s="82" t="n"/>
      <c r="N602" s="82" t="n"/>
      <c r="O602" s="82" t="n"/>
      <c r="P602" s="82" t="n"/>
      <c r="Q602" s="82" t="n"/>
      <c r="R602" s="82" t="n"/>
      <c r="S602" s="82" t="n"/>
      <c r="T602" s="82" t="n"/>
      <c r="U602" s="82" t="n"/>
      <c r="V602" s="82" t="n"/>
      <c r="W602" s="82" t="n"/>
      <c r="X602" s="82" t="n"/>
      <c r="Y602" s="82" t="n"/>
      <c r="Z602" s="82" t="n"/>
    </row>
    <row r="603" ht="15.75" customHeight="1" s="83">
      <c r="A603" s="82" t="n"/>
      <c r="B603" s="82" t="n"/>
      <c r="C603" s="82" t="n"/>
      <c r="D603" s="82" t="n"/>
      <c r="E603" s="81" t="n"/>
      <c r="F603" s="82" t="n"/>
      <c r="G603" s="82" t="n"/>
      <c r="H603" s="82" t="n"/>
      <c r="I603" s="82" t="n"/>
      <c r="J603" s="82" t="n"/>
      <c r="K603" s="82" t="n"/>
      <c r="L603" s="82" t="n"/>
      <c r="M603" s="82" t="n"/>
      <c r="N603" s="82" t="n"/>
      <c r="O603" s="82" t="n"/>
      <c r="P603" s="82" t="n"/>
      <c r="Q603" s="82" t="n"/>
      <c r="R603" s="82" t="n"/>
      <c r="S603" s="82" t="n"/>
      <c r="T603" s="82" t="n"/>
      <c r="U603" s="82" t="n"/>
      <c r="V603" s="82" t="n"/>
      <c r="W603" s="82" t="n"/>
      <c r="X603" s="82" t="n"/>
      <c r="Y603" s="82" t="n"/>
      <c r="Z603" s="82" t="n"/>
    </row>
    <row r="604" ht="15.75" customHeight="1" s="83">
      <c r="A604" s="82" t="n"/>
      <c r="B604" s="82" t="n"/>
      <c r="C604" s="82" t="n"/>
      <c r="D604" s="82" t="n"/>
      <c r="E604" s="81" t="n"/>
      <c r="F604" s="82" t="n"/>
      <c r="G604" s="82" t="n"/>
      <c r="H604" s="82" t="n"/>
      <c r="I604" s="82" t="n"/>
      <c r="J604" s="82" t="n"/>
      <c r="K604" s="82" t="n"/>
      <c r="L604" s="82" t="n"/>
      <c r="M604" s="82" t="n"/>
      <c r="N604" s="82" t="n"/>
      <c r="O604" s="82" t="n"/>
      <c r="P604" s="82" t="n"/>
      <c r="Q604" s="82" t="n"/>
      <c r="R604" s="82" t="n"/>
      <c r="S604" s="82" t="n"/>
      <c r="T604" s="82" t="n"/>
      <c r="U604" s="82" t="n"/>
      <c r="V604" s="82" t="n"/>
      <c r="W604" s="82" t="n"/>
      <c r="X604" s="82" t="n"/>
      <c r="Y604" s="82" t="n"/>
      <c r="Z604" s="82" t="n"/>
    </row>
    <row r="605" ht="15.75" customHeight="1" s="83">
      <c r="A605" s="82" t="n"/>
      <c r="B605" s="82" t="n"/>
      <c r="C605" s="82" t="n"/>
      <c r="D605" s="82" t="n"/>
      <c r="E605" s="81" t="n"/>
      <c r="F605" s="82" t="n"/>
      <c r="G605" s="82" t="n"/>
      <c r="H605" s="82" t="n"/>
      <c r="I605" s="82" t="n"/>
      <c r="J605" s="82" t="n"/>
      <c r="K605" s="82" t="n"/>
      <c r="L605" s="82" t="n"/>
      <c r="M605" s="82" t="n"/>
      <c r="N605" s="82" t="n"/>
      <c r="O605" s="82" t="n"/>
      <c r="P605" s="82" t="n"/>
      <c r="Q605" s="82" t="n"/>
      <c r="R605" s="82" t="n"/>
      <c r="S605" s="82" t="n"/>
      <c r="T605" s="82" t="n"/>
      <c r="U605" s="82" t="n"/>
      <c r="V605" s="82" t="n"/>
      <c r="W605" s="82" t="n"/>
      <c r="X605" s="82" t="n"/>
      <c r="Y605" s="82" t="n"/>
      <c r="Z605" s="82" t="n"/>
    </row>
    <row r="606" ht="15.75" customHeight="1" s="83">
      <c r="A606" s="82" t="n"/>
      <c r="B606" s="82" t="n"/>
      <c r="C606" s="82" t="n"/>
      <c r="D606" s="82" t="n"/>
      <c r="E606" s="81" t="n"/>
      <c r="F606" s="82" t="n"/>
      <c r="G606" s="82" t="n"/>
      <c r="H606" s="82" t="n"/>
      <c r="I606" s="82" t="n"/>
      <c r="J606" s="82" t="n"/>
      <c r="K606" s="82" t="n"/>
      <c r="L606" s="82" t="n"/>
      <c r="M606" s="82" t="n"/>
      <c r="N606" s="82" t="n"/>
      <c r="O606" s="82" t="n"/>
      <c r="P606" s="82" t="n"/>
      <c r="Q606" s="82" t="n"/>
      <c r="R606" s="82" t="n"/>
      <c r="S606" s="82" t="n"/>
      <c r="T606" s="82" t="n"/>
      <c r="U606" s="82" t="n"/>
      <c r="V606" s="82" t="n"/>
      <c r="W606" s="82" t="n"/>
      <c r="X606" s="82" t="n"/>
      <c r="Y606" s="82" t="n"/>
      <c r="Z606" s="82" t="n"/>
    </row>
    <row r="607" ht="15.75" customHeight="1" s="83">
      <c r="A607" s="82" t="n"/>
      <c r="B607" s="82" t="n"/>
      <c r="C607" s="82" t="n"/>
      <c r="D607" s="82" t="n"/>
      <c r="E607" s="81" t="n"/>
      <c r="F607" s="82" t="n"/>
      <c r="G607" s="82" t="n"/>
      <c r="H607" s="82" t="n"/>
      <c r="I607" s="82" t="n"/>
      <c r="J607" s="82" t="n"/>
      <c r="K607" s="82" t="n"/>
      <c r="L607" s="82" t="n"/>
      <c r="M607" s="82" t="n"/>
      <c r="N607" s="82" t="n"/>
      <c r="O607" s="82" t="n"/>
      <c r="P607" s="82" t="n"/>
      <c r="Q607" s="82" t="n"/>
      <c r="R607" s="82" t="n"/>
      <c r="S607" s="82" t="n"/>
      <c r="T607" s="82" t="n"/>
      <c r="U607" s="82" t="n"/>
      <c r="V607" s="82" t="n"/>
      <c r="W607" s="82" t="n"/>
      <c r="X607" s="82" t="n"/>
      <c r="Y607" s="82" t="n"/>
      <c r="Z607" s="82" t="n"/>
    </row>
    <row r="608" ht="15.75" customHeight="1" s="83">
      <c r="A608" s="82" t="n"/>
      <c r="B608" s="82" t="n"/>
      <c r="C608" s="82" t="n"/>
      <c r="D608" s="82" t="n"/>
      <c r="E608" s="81" t="n"/>
      <c r="F608" s="82" t="n"/>
      <c r="G608" s="82" t="n"/>
      <c r="H608" s="82" t="n"/>
      <c r="I608" s="82" t="n"/>
      <c r="J608" s="82" t="n"/>
      <c r="K608" s="82" t="n"/>
      <c r="L608" s="82" t="n"/>
      <c r="M608" s="82" t="n"/>
      <c r="N608" s="82" t="n"/>
      <c r="O608" s="82" t="n"/>
      <c r="P608" s="82" t="n"/>
      <c r="Q608" s="82" t="n"/>
      <c r="R608" s="82" t="n"/>
      <c r="S608" s="82" t="n"/>
      <c r="T608" s="82" t="n"/>
      <c r="U608" s="82" t="n"/>
      <c r="V608" s="82" t="n"/>
      <c r="W608" s="82" t="n"/>
      <c r="X608" s="82" t="n"/>
      <c r="Y608" s="82" t="n"/>
      <c r="Z608" s="82" t="n"/>
    </row>
    <row r="609" ht="15.75" customHeight="1" s="83">
      <c r="A609" s="82" t="n"/>
      <c r="B609" s="82" t="n"/>
      <c r="C609" s="82" t="n"/>
      <c r="D609" s="82" t="n"/>
      <c r="E609" s="81" t="n"/>
      <c r="F609" s="82" t="n"/>
      <c r="G609" s="82" t="n"/>
      <c r="H609" s="82" t="n"/>
      <c r="I609" s="82" t="n"/>
      <c r="J609" s="82" t="n"/>
      <c r="K609" s="82" t="n"/>
      <c r="L609" s="82" t="n"/>
      <c r="M609" s="82" t="n"/>
      <c r="N609" s="82" t="n"/>
      <c r="O609" s="82" t="n"/>
      <c r="P609" s="82" t="n"/>
      <c r="Q609" s="82" t="n"/>
      <c r="R609" s="82" t="n"/>
      <c r="S609" s="82" t="n"/>
      <c r="T609" s="82" t="n"/>
      <c r="U609" s="82" t="n"/>
      <c r="V609" s="82" t="n"/>
      <c r="W609" s="82" t="n"/>
      <c r="X609" s="82" t="n"/>
      <c r="Y609" s="82" t="n"/>
      <c r="Z609" s="82" t="n"/>
    </row>
    <row r="610" ht="15.75" customHeight="1" s="83">
      <c r="A610" s="82" t="n"/>
      <c r="B610" s="82" t="n"/>
      <c r="C610" s="82" t="n"/>
      <c r="D610" s="82" t="n"/>
      <c r="E610" s="81" t="n"/>
      <c r="F610" s="82" t="n"/>
      <c r="G610" s="82" t="n"/>
      <c r="H610" s="82" t="n"/>
      <c r="I610" s="82" t="n"/>
      <c r="J610" s="82" t="n"/>
      <c r="K610" s="82" t="n"/>
      <c r="L610" s="82" t="n"/>
      <c r="M610" s="82" t="n"/>
      <c r="N610" s="82" t="n"/>
      <c r="O610" s="82" t="n"/>
      <c r="P610" s="82" t="n"/>
      <c r="Q610" s="82" t="n"/>
      <c r="R610" s="82" t="n"/>
      <c r="S610" s="82" t="n"/>
      <c r="T610" s="82" t="n"/>
      <c r="U610" s="82" t="n"/>
      <c r="V610" s="82" t="n"/>
      <c r="W610" s="82" t="n"/>
      <c r="X610" s="82" t="n"/>
      <c r="Y610" s="82" t="n"/>
      <c r="Z610" s="82" t="n"/>
    </row>
    <row r="611" ht="15.75" customHeight="1" s="83">
      <c r="A611" s="82" t="n"/>
      <c r="B611" s="82" t="n"/>
      <c r="C611" s="82" t="n"/>
      <c r="D611" s="82" t="n"/>
      <c r="E611" s="81" t="n"/>
      <c r="F611" s="82" t="n"/>
      <c r="G611" s="82" t="n"/>
      <c r="H611" s="82" t="n"/>
      <c r="I611" s="82" t="n"/>
      <c r="J611" s="82" t="n"/>
      <c r="K611" s="82" t="n"/>
      <c r="L611" s="82" t="n"/>
      <c r="M611" s="82" t="n"/>
      <c r="N611" s="82" t="n"/>
      <c r="O611" s="82" t="n"/>
      <c r="P611" s="82" t="n"/>
      <c r="Q611" s="82" t="n"/>
      <c r="R611" s="82" t="n"/>
      <c r="S611" s="82" t="n"/>
      <c r="T611" s="82" t="n"/>
      <c r="U611" s="82" t="n"/>
      <c r="V611" s="82" t="n"/>
      <c r="W611" s="82" t="n"/>
      <c r="X611" s="82" t="n"/>
      <c r="Y611" s="82" t="n"/>
      <c r="Z611" s="82" t="n"/>
    </row>
    <row r="612" ht="15.75" customHeight="1" s="83">
      <c r="A612" s="82" t="n"/>
      <c r="B612" s="82" t="n"/>
      <c r="C612" s="82" t="n"/>
      <c r="D612" s="82" t="n"/>
      <c r="E612" s="81" t="n"/>
      <c r="F612" s="82" t="n"/>
      <c r="G612" s="82" t="n"/>
      <c r="H612" s="82" t="n"/>
      <c r="I612" s="82" t="n"/>
      <c r="J612" s="82" t="n"/>
      <c r="K612" s="82" t="n"/>
      <c r="L612" s="82" t="n"/>
      <c r="M612" s="82" t="n"/>
      <c r="N612" s="82" t="n"/>
      <c r="O612" s="82" t="n"/>
      <c r="P612" s="82" t="n"/>
      <c r="Q612" s="82" t="n"/>
      <c r="R612" s="82" t="n"/>
      <c r="S612" s="82" t="n"/>
      <c r="T612" s="82" t="n"/>
      <c r="U612" s="82" t="n"/>
      <c r="V612" s="82" t="n"/>
      <c r="W612" s="82" t="n"/>
      <c r="X612" s="82" t="n"/>
      <c r="Y612" s="82" t="n"/>
      <c r="Z612" s="82" t="n"/>
    </row>
    <row r="613" ht="15.75" customHeight="1" s="83">
      <c r="A613" s="82" t="n"/>
      <c r="B613" s="82" t="n"/>
      <c r="C613" s="82" t="n"/>
      <c r="D613" s="82" t="n"/>
      <c r="E613" s="81" t="n"/>
      <c r="F613" s="82" t="n"/>
      <c r="G613" s="82" t="n"/>
      <c r="H613" s="82" t="n"/>
      <c r="I613" s="82" t="n"/>
      <c r="J613" s="82" t="n"/>
      <c r="K613" s="82" t="n"/>
      <c r="L613" s="82" t="n"/>
      <c r="M613" s="82" t="n"/>
      <c r="N613" s="82" t="n"/>
      <c r="O613" s="82" t="n"/>
      <c r="P613" s="82" t="n"/>
      <c r="Q613" s="82" t="n"/>
      <c r="R613" s="82" t="n"/>
      <c r="S613" s="82" t="n"/>
      <c r="T613" s="82" t="n"/>
      <c r="U613" s="82" t="n"/>
      <c r="V613" s="82" t="n"/>
      <c r="W613" s="82" t="n"/>
      <c r="X613" s="82" t="n"/>
      <c r="Y613" s="82" t="n"/>
      <c r="Z613" s="82" t="n"/>
    </row>
    <row r="614" ht="15.75" customHeight="1" s="83">
      <c r="A614" s="82" t="n"/>
      <c r="B614" s="82" t="n"/>
      <c r="C614" s="82" t="n"/>
      <c r="D614" s="82" t="n"/>
      <c r="E614" s="81" t="n"/>
      <c r="F614" s="82" t="n"/>
      <c r="G614" s="82" t="n"/>
      <c r="H614" s="82" t="n"/>
      <c r="I614" s="82" t="n"/>
      <c r="J614" s="82" t="n"/>
      <c r="K614" s="82" t="n"/>
      <c r="L614" s="82" t="n"/>
      <c r="M614" s="82" t="n"/>
      <c r="N614" s="82" t="n"/>
      <c r="O614" s="82" t="n"/>
      <c r="P614" s="82" t="n"/>
      <c r="Q614" s="82" t="n"/>
      <c r="R614" s="82" t="n"/>
      <c r="S614" s="82" t="n"/>
      <c r="T614" s="82" t="n"/>
      <c r="U614" s="82" t="n"/>
      <c r="V614" s="82" t="n"/>
      <c r="W614" s="82" t="n"/>
      <c r="X614" s="82" t="n"/>
      <c r="Y614" s="82" t="n"/>
      <c r="Z614" s="82" t="n"/>
    </row>
    <row r="615" ht="15.75" customHeight="1" s="83">
      <c r="A615" s="82" t="n"/>
      <c r="B615" s="82" t="n"/>
      <c r="C615" s="82" t="n"/>
      <c r="D615" s="82" t="n"/>
      <c r="E615" s="81" t="n"/>
      <c r="F615" s="82" t="n"/>
      <c r="G615" s="82" t="n"/>
      <c r="H615" s="82" t="n"/>
      <c r="I615" s="82" t="n"/>
      <c r="J615" s="82" t="n"/>
      <c r="K615" s="82" t="n"/>
      <c r="L615" s="82" t="n"/>
      <c r="M615" s="82" t="n"/>
      <c r="N615" s="82" t="n"/>
      <c r="O615" s="82" t="n"/>
      <c r="P615" s="82" t="n"/>
      <c r="Q615" s="82" t="n"/>
      <c r="R615" s="82" t="n"/>
      <c r="S615" s="82" t="n"/>
      <c r="T615" s="82" t="n"/>
      <c r="U615" s="82" t="n"/>
      <c r="V615" s="82" t="n"/>
      <c r="W615" s="82" t="n"/>
      <c r="X615" s="82" t="n"/>
      <c r="Y615" s="82" t="n"/>
      <c r="Z615" s="82" t="n"/>
    </row>
    <row r="616" ht="15.75" customHeight="1" s="83">
      <c r="A616" s="82" t="n"/>
      <c r="B616" s="82" t="n"/>
      <c r="C616" s="82" t="n"/>
      <c r="D616" s="82" t="n"/>
      <c r="E616" s="81" t="n"/>
      <c r="F616" s="82" t="n"/>
      <c r="G616" s="82" t="n"/>
      <c r="H616" s="82" t="n"/>
      <c r="I616" s="82" t="n"/>
      <c r="J616" s="82" t="n"/>
      <c r="K616" s="82" t="n"/>
      <c r="L616" s="82" t="n"/>
      <c r="M616" s="82" t="n"/>
      <c r="N616" s="82" t="n"/>
      <c r="O616" s="82" t="n"/>
      <c r="P616" s="82" t="n"/>
      <c r="Q616" s="82" t="n"/>
      <c r="R616" s="82" t="n"/>
      <c r="S616" s="82" t="n"/>
      <c r="T616" s="82" t="n"/>
      <c r="U616" s="82" t="n"/>
      <c r="V616" s="82" t="n"/>
      <c r="W616" s="82" t="n"/>
      <c r="X616" s="82" t="n"/>
      <c r="Y616" s="82" t="n"/>
      <c r="Z616" s="82" t="n"/>
    </row>
    <row r="617" ht="15.75" customHeight="1" s="83">
      <c r="A617" s="82" t="n"/>
      <c r="B617" s="82" t="n"/>
      <c r="C617" s="82" t="n"/>
      <c r="D617" s="82" t="n"/>
      <c r="E617" s="81" t="n"/>
      <c r="F617" s="82" t="n"/>
      <c r="G617" s="82" t="n"/>
      <c r="H617" s="82" t="n"/>
      <c r="I617" s="82" t="n"/>
      <c r="J617" s="82" t="n"/>
      <c r="K617" s="82" t="n"/>
      <c r="L617" s="82" t="n"/>
      <c r="M617" s="82" t="n"/>
      <c r="N617" s="82" t="n"/>
      <c r="O617" s="82" t="n"/>
      <c r="P617" s="82" t="n"/>
      <c r="Q617" s="82" t="n"/>
      <c r="R617" s="82" t="n"/>
      <c r="S617" s="82" t="n"/>
      <c r="T617" s="82" t="n"/>
      <c r="U617" s="82" t="n"/>
      <c r="V617" s="82" t="n"/>
      <c r="W617" s="82" t="n"/>
      <c r="X617" s="82" t="n"/>
      <c r="Y617" s="82" t="n"/>
      <c r="Z617" s="82" t="n"/>
    </row>
    <row r="618" ht="15.75" customHeight="1" s="83">
      <c r="A618" s="82" t="n"/>
      <c r="B618" s="82" t="n"/>
      <c r="C618" s="82" t="n"/>
      <c r="D618" s="82" t="n"/>
      <c r="E618" s="81" t="n"/>
      <c r="F618" s="82" t="n"/>
      <c r="G618" s="82" t="n"/>
      <c r="H618" s="82" t="n"/>
      <c r="I618" s="82" t="n"/>
      <c r="J618" s="82" t="n"/>
      <c r="K618" s="82" t="n"/>
      <c r="L618" s="82" t="n"/>
      <c r="M618" s="82" t="n"/>
      <c r="N618" s="82" t="n"/>
      <c r="O618" s="82" t="n"/>
      <c r="P618" s="82" t="n"/>
      <c r="Q618" s="82" t="n"/>
      <c r="R618" s="82" t="n"/>
      <c r="S618" s="82" t="n"/>
      <c r="T618" s="82" t="n"/>
      <c r="U618" s="82" t="n"/>
      <c r="V618" s="82" t="n"/>
      <c r="W618" s="82" t="n"/>
      <c r="X618" s="82" t="n"/>
      <c r="Y618" s="82" t="n"/>
      <c r="Z618" s="82" t="n"/>
    </row>
    <row r="619" ht="15.75" customHeight="1" s="83">
      <c r="A619" s="82" t="n"/>
      <c r="B619" s="82" t="n"/>
      <c r="C619" s="82" t="n"/>
      <c r="D619" s="82" t="n"/>
      <c r="E619" s="81" t="n"/>
      <c r="F619" s="82" t="n"/>
      <c r="G619" s="82" t="n"/>
      <c r="H619" s="82" t="n"/>
      <c r="I619" s="82" t="n"/>
      <c r="J619" s="82" t="n"/>
      <c r="K619" s="82" t="n"/>
      <c r="L619" s="82" t="n"/>
      <c r="M619" s="82" t="n"/>
      <c r="N619" s="82" t="n"/>
      <c r="O619" s="82" t="n"/>
      <c r="P619" s="82" t="n"/>
      <c r="Q619" s="82" t="n"/>
      <c r="R619" s="82" t="n"/>
      <c r="S619" s="82" t="n"/>
      <c r="T619" s="82" t="n"/>
      <c r="U619" s="82" t="n"/>
      <c r="V619" s="82" t="n"/>
      <c r="W619" s="82" t="n"/>
      <c r="X619" s="82" t="n"/>
      <c r="Y619" s="82" t="n"/>
      <c r="Z619" s="82" t="n"/>
    </row>
    <row r="620" ht="15.75" customHeight="1" s="83">
      <c r="A620" s="82" t="n"/>
      <c r="B620" s="82" t="n"/>
      <c r="C620" s="82" t="n"/>
      <c r="D620" s="82" t="n"/>
      <c r="E620" s="81" t="n"/>
      <c r="F620" s="82" t="n"/>
      <c r="G620" s="82" t="n"/>
      <c r="H620" s="82" t="n"/>
      <c r="I620" s="82" t="n"/>
      <c r="J620" s="82" t="n"/>
      <c r="K620" s="82" t="n"/>
      <c r="L620" s="82" t="n"/>
      <c r="M620" s="82" t="n"/>
      <c r="N620" s="82" t="n"/>
      <c r="O620" s="82" t="n"/>
      <c r="P620" s="82" t="n"/>
      <c r="Q620" s="82" t="n"/>
      <c r="R620" s="82" t="n"/>
      <c r="S620" s="82" t="n"/>
      <c r="T620" s="82" t="n"/>
      <c r="U620" s="82" t="n"/>
      <c r="V620" s="82" t="n"/>
      <c r="W620" s="82" t="n"/>
      <c r="X620" s="82" t="n"/>
      <c r="Y620" s="82" t="n"/>
      <c r="Z620" s="82" t="n"/>
    </row>
    <row r="621" ht="15.75" customHeight="1" s="83">
      <c r="A621" s="82" t="n"/>
      <c r="B621" s="82" t="n"/>
      <c r="C621" s="82" t="n"/>
      <c r="D621" s="82" t="n"/>
      <c r="E621" s="81" t="n"/>
      <c r="F621" s="82" t="n"/>
      <c r="G621" s="82" t="n"/>
      <c r="H621" s="82" t="n"/>
      <c r="I621" s="82" t="n"/>
      <c r="J621" s="82" t="n"/>
      <c r="K621" s="82" t="n"/>
      <c r="L621" s="82" t="n"/>
      <c r="M621" s="82" t="n"/>
      <c r="N621" s="82" t="n"/>
      <c r="O621" s="82" t="n"/>
      <c r="P621" s="82" t="n"/>
      <c r="Q621" s="82" t="n"/>
      <c r="R621" s="82" t="n"/>
      <c r="S621" s="82" t="n"/>
      <c r="T621" s="82" t="n"/>
      <c r="U621" s="82" t="n"/>
      <c r="V621" s="82" t="n"/>
      <c r="W621" s="82" t="n"/>
      <c r="X621" s="82" t="n"/>
      <c r="Y621" s="82" t="n"/>
      <c r="Z621" s="82" t="n"/>
    </row>
    <row r="622" ht="15.75" customHeight="1" s="83">
      <c r="A622" s="82" t="n"/>
      <c r="B622" s="82" t="n"/>
      <c r="C622" s="82" t="n"/>
      <c r="D622" s="82" t="n"/>
      <c r="E622" s="81" t="n"/>
      <c r="F622" s="82" t="n"/>
      <c r="G622" s="82" t="n"/>
      <c r="H622" s="82" t="n"/>
      <c r="I622" s="82" t="n"/>
      <c r="J622" s="82" t="n"/>
      <c r="K622" s="82" t="n"/>
      <c r="L622" s="82" t="n"/>
      <c r="M622" s="82" t="n"/>
      <c r="N622" s="82" t="n"/>
      <c r="O622" s="82" t="n"/>
      <c r="P622" s="82" t="n"/>
      <c r="Q622" s="82" t="n"/>
      <c r="R622" s="82" t="n"/>
      <c r="S622" s="82" t="n"/>
      <c r="T622" s="82" t="n"/>
      <c r="U622" s="82" t="n"/>
      <c r="V622" s="82" t="n"/>
      <c r="W622" s="82" t="n"/>
      <c r="X622" s="82" t="n"/>
      <c r="Y622" s="82" t="n"/>
      <c r="Z622" s="82" t="n"/>
    </row>
    <row r="623" ht="15.75" customHeight="1" s="83">
      <c r="A623" s="82" t="n"/>
      <c r="B623" s="82" t="n"/>
      <c r="C623" s="82" t="n"/>
      <c r="D623" s="82" t="n"/>
      <c r="E623" s="81" t="n"/>
      <c r="F623" s="82" t="n"/>
      <c r="G623" s="82" t="n"/>
      <c r="H623" s="82" t="n"/>
      <c r="I623" s="82" t="n"/>
      <c r="J623" s="82" t="n"/>
      <c r="K623" s="82" t="n"/>
      <c r="L623" s="82" t="n"/>
      <c r="M623" s="82" t="n"/>
      <c r="N623" s="82" t="n"/>
      <c r="O623" s="82" t="n"/>
      <c r="P623" s="82" t="n"/>
      <c r="Q623" s="82" t="n"/>
      <c r="R623" s="82" t="n"/>
      <c r="S623" s="82" t="n"/>
      <c r="T623" s="82" t="n"/>
      <c r="U623" s="82" t="n"/>
      <c r="V623" s="82" t="n"/>
      <c r="W623" s="82" t="n"/>
      <c r="X623" s="82" t="n"/>
      <c r="Y623" s="82" t="n"/>
      <c r="Z623" s="82" t="n"/>
    </row>
    <row r="624" ht="15.75" customHeight="1" s="83">
      <c r="A624" s="82" t="n"/>
      <c r="B624" s="82" t="n"/>
      <c r="C624" s="82" t="n"/>
      <c r="D624" s="82" t="n"/>
      <c r="E624" s="81" t="n"/>
      <c r="F624" s="82" t="n"/>
      <c r="G624" s="82" t="n"/>
      <c r="H624" s="82" t="n"/>
      <c r="I624" s="82" t="n"/>
      <c r="J624" s="82" t="n"/>
      <c r="K624" s="82" t="n"/>
      <c r="L624" s="82" t="n"/>
      <c r="M624" s="82" t="n"/>
      <c r="N624" s="82" t="n"/>
      <c r="O624" s="82" t="n"/>
      <c r="P624" s="82" t="n"/>
      <c r="Q624" s="82" t="n"/>
      <c r="R624" s="82" t="n"/>
      <c r="S624" s="82" t="n"/>
      <c r="T624" s="82" t="n"/>
      <c r="U624" s="82" t="n"/>
      <c r="V624" s="82" t="n"/>
      <c r="W624" s="82" t="n"/>
      <c r="X624" s="82" t="n"/>
      <c r="Y624" s="82" t="n"/>
      <c r="Z624" s="82" t="n"/>
    </row>
    <row r="625" ht="15.75" customHeight="1" s="83">
      <c r="A625" s="82" t="n"/>
      <c r="B625" s="82" t="n"/>
      <c r="C625" s="82" t="n"/>
      <c r="D625" s="82" t="n"/>
      <c r="E625" s="81" t="n"/>
      <c r="F625" s="82" t="n"/>
      <c r="G625" s="82" t="n"/>
      <c r="H625" s="82" t="n"/>
      <c r="I625" s="82" t="n"/>
      <c r="J625" s="82" t="n"/>
      <c r="K625" s="82" t="n"/>
      <c r="L625" s="82" t="n"/>
      <c r="M625" s="82" t="n"/>
      <c r="N625" s="82" t="n"/>
      <c r="O625" s="82" t="n"/>
      <c r="P625" s="82" t="n"/>
      <c r="Q625" s="82" t="n"/>
      <c r="R625" s="82" t="n"/>
      <c r="S625" s="82" t="n"/>
      <c r="T625" s="82" t="n"/>
      <c r="U625" s="82" t="n"/>
      <c r="V625" s="82" t="n"/>
      <c r="W625" s="82" t="n"/>
      <c r="X625" s="82" t="n"/>
      <c r="Y625" s="82" t="n"/>
      <c r="Z625" s="82" t="n"/>
    </row>
    <row r="626" ht="15.75" customHeight="1" s="83">
      <c r="A626" s="82" t="n"/>
      <c r="B626" s="82" t="n"/>
      <c r="C626" s="82" t="n"/>
      <c r="D626" s="82" t="n"/>
      <c r="E626" s="81" t="n"/>
      <c r="F626" s="82" t="n"/>
      <c r="G626" s="82" t="n"/>
      <c r="H626" s="82" t="n"/>
      <c r="I626" s="82" t="n"/>
      <c r="J626" s="82" t="n"/>
      <c r="K626" s="82" t="n"/>
      <c r="L626" s="82" t="n"/>
      <c r="M626" s="82" t="n"/>
      <c r="N626" s="82" t="n"/>
      <c r="O626" s="82" t="n"/>
      <c r="P626" s="82" t="n"/>
      <c r="Q626" s="82" t="n"/>
      <c r="R626" s="82" t="n"/>
      <c r="S626" s="82" t="n"/>
      <c r="T626" s="82" t="n"/>
      <c r="U626" s="82" t="n"/>
      <c r="V626" s="82" t="n"/>
      <c r="W626" s="82" t="n"/>
      <c r="X626" s="82" t="n"/>
      <c r="Y626" s="82" t="n"/>
      <c r="Z626" s="82" t="n"/>
    </row>
    <row r="627" ht="15.75" customHeight="1" s="83">
      <c r="A627" s="82" t="n"/>
      <c r="B627" s="82" t="n"/>
      <c r="C627" s="82" t="n"/>
      <c r="D627" s="82" t="n"/>
      <c r="E627" s="81" t="n"/>
      <c r="F627" s="82" t="n"/>
      <c r="G627" s="82" t="n"/>
      <c r="H627" s="82" t="n"/>
      <c r="I627" s="82" t="n"/>
      <c r="J627" s="82" t="n"/>
      <c r="K627" s="82" t="n"/>
      <c r="L627" s="82" t="n"/>
      <c r="M627" s="82" t="n"/>
      <c r="N627" s="82" t="n"/>
      <c r="O627" s="82" t="n"/>
      <c r="P627" s="82" t="n"/>
      <c r="Q627" s="82" t="n"/>
      <c r="R627" s="82" t="n"/>
      <c r="S627" s="82" t="n"/>
      <c r="T627" s="82" t="n"/>
      <c r="U627" s="82" t="n"/>
      <c r="V627" s="82" t="n"/>
      <c r="W627" s="82" t="n"/>
      <c r="X627" s="82" t="n"/>
      <c r="Y627" s="82" t="n"/>
      <c r="Z627" s="82" t="n"/>
    </row>
    <row r="628" ht="15.75" customHeight="1" s="83">
      <c r="A628" s="82" t="n"/>
      <c r="B628" s="82" t="n"/>
      <c r="C628" s="82" t="n"/>
      <c r="D628" s="82" t="n"/>
      <c r="E628" s="81" t="n"/>
      <c r="F628" s="82" t="n"/>
      <c r="G628" s="82" t="n"/>
      <c r="H628" s="82" t="n"/>
      <c r="I628" s="82" t="n"/>
      <c r="J628" s="82" t="n"/>
      <c r="K628" s="82" t="n"/>
      <c r="L628" s="82" t="n"/>
      <c r="M628" s="82" t="n"/>
      <c r="N628" s="82" t="n"/>
      <c r="O628" s="82" t="n"/>
      <c r="P628" s="82" t="n"/>
      <c r="Q628" s="82" t="n"/>
      <c r="R628" s="82" t="n"/>
      <c r="S628" s="82" t="n"/>
      <c r="T628" s="82" t="n"/>
      <c r="U628" s="82" t="n"/>
      <c r="V628" s="82" t="n"/>
      <c r="W628" s="82" t="n"/>
      <c r="X628" s="82" t="n"/>
      <c r="Y628" s="82" t="n"/>
      <c r="Z628" s="82" t="n"/>
    </row>
    <row r="629" ht="15.75" customHeight="1" s="83">
      <c r="A629" s="82" t="n"/>
      <c r="B629" s="82" t="n"/>
      <c r="C629" s="82" t="n"/>
      <c r="D629" s="82" t="n"/>
      <c r="E629" s="81" t="n"/>
      <c r="F629" s="82" t="n"/>
      <c r="G629" s="82" t="n"/>
      <c r="H629" s="82" t="n"/>
      <c r="I629" s="82" t="n"/>
      <c r="J629" s="82" t="n"/>
      <c r="K629" s="82" t="n"/>
      <c r="L629" s="82" t="n"/>
      <c r="M629" s="82" t="n"/>
      <c r="N629" s="82" t="n"/>
      <c r="O629" s="82" t="n"/>
      <c r="P629" s="82" t="n"/>
      <c r="Q629" s="82" t="n"/>
      <c r="R629" s="82" t="n"/>
      <c r="S629" s="82" t="n"/>
      <c r="T629" s="82" t="n"/>
      <c r="U629" s="82" t="n"/>
      <c r="V629" s="82" t="n"/>
      <c r="W629" s="82" t="n"/>
      <c r="X629" s="82" t="n"/>
      <c r="Y629" s="82" t="n"/>
      <c r="Z629" s="82" t="n"/>
    </row>
    <row r="630" ht="15.75" customHeight="1" s="83">
      <c r="A630" s="82" t="n"/>
      <c r="B630" s="82" t="n"/>
      <c r="C630" s="82" t="n"/>
      <c r="D630" s="82" t="n"/>
      <c r="E630" s="81" t="n"/>
      <c r="F630" s="82" t="n"/>
      <c r="G630" s="82" t="n"/>
      <c r="H630" s="82" t="n"/>
      <c r="I630" s="82" t="n"/>
      <c r="J630" s="82" t="n"/>
      <c r="K630" s="82" t="n"/>
      <c r="L630" s="82" t="n"/>
      <c r="M630" s="82" t="n"/>
      <c r="N630" s="82" t="n"/>
      <c r="O630" s="82" t="n"/>
      <c r="P630" s="82" t="n"/>
      <c r="Q630" s="82" t="n"/>
      <c r="R630" s="82" t="n"/>
      <c r="S630" s="82" t="n"/>
      <c r="T630" s="82" t="n"/>
      <c r="U630" s="82" t="n"/>
      <c r="V630" s="82" t="n"/>
      <c r="W630" s="82" t="n"/>
      <c r="X630" s="82" t="n"/>
      <c r="Y630" s="82" t="n"/>
      <c r="Z630" s="82" t="n"/>
    </row>
    <row r="631" ht="15.75" customHeight="1" s="83">
      <c r="A631" s="82" t="n"/>
      <c r="B631" s="82" t="n"/>
      <c r="C631" s="82" t="n"/>
      <c r="D631" s="82" t="n"/>
      <c r="E631" s="81" t="n"/>
      <c r="F631" s="82" t="n"/>
      <c r="G631" s="82" t="n"/>
      <c r="H631" s="82" t="n"/>
      <c r="I631" s="82" t="n"/>
      <c r="J631" s="82" t="n"/>
      <c r="K631" s="82" t="n"/>
      <c r="L631" s="82" t="n"/>
      <c r="M631" s="82" t="n"/>
      <c r="N631" s="82" t="n"/>
      <c r="O631" s="82" t="n"/>
      <c r="P631" s="82" t="n"/>
      <c r="Q631" s="82" t="n"/>
      <c r="R631" s="82" t="n"/>
      <c r="S631" s="82" t="n"/>
      <c r="T631" s="82" t="n"/>
      <c r="U631" s="82" t="n"/>
      <c r="V631" s="82" t="n"/>
      <c r="W631" s="82" t="n"/>
      <c r="X631" s="82" t="n"/>
      <c r="Y631" s="82" t="n"/>
      <c r="Z631" s="82" t="n"/>
    </row>
    <row r="632" ht="15.75" customHeight="1" s="83">
      <c r="A632" s="82" t="n"/>
      <c r="B632" s="82" t="n"/>
      <c r="C632" s="82" t="n"/>
      <c r="D632" s="82" t="n"/>
      <c r="E632" s="81" t="n"/>
      <c r="F632" s="82" t="n"/>
      <c r="G632" s="82" t="n"/>
      <c r="H632" s="82" t="n"/>
      <c r="I632" s="82" t="n"/>
      <c r="J632" s="82" t="n"/>
      <c r="K632" s="82" t="n"/>
      <c r="L632" s="82" t="n"/>
      <c r="M632" s="82" t="n"/>
      <c r="N632" s="82" t="n"/>
      <c r="O632" s="82" t="n"/>
      <c r="P632" s="82" t="n"/>
      <c r="Q632" s="82" t="n"/>
      <c r="R632" s="82" t="n"/>
      <c r="S632" s="82" t="n"/>
      <c r="T632" s="82" t="n"/>
      <c r="U632" s="82" t="n"/>
      <c r="V632" s="82" t="n"/>
      <c r="W632" s="82" t="n"/>
      <c r="X632" s="82" t="n"/>
      <c r="Y632" s="82" t="n"/>
      <c r="Z632" s="82" t="n"/>
    </row>
    <row r="633" ht="15.75" customHeight="1" s="83">
      <c r="A633" s="82" t="n"/>
      <c r="B633" s="82" t="n"/>
      <c r="C633" s="82" t="n"/>
      <c r="D633" s="82" t="n"/>
      <c r="E633" s="81" t="n"/>
      <c r="F633" s="82" t="n"/>
      <c r="G633" s="82" t="n"/>
      <c r="H633" s="82" t="n"/>
      <c r="I633" s="82" t="n"/>
      <c r="J633" s="82" t="n"/>
      <c r="K633" s="82" t="n"/>
      <c r="L633" s="82" t="n"/>
      <c r="M633" s="82" t="n"/>
      <c r="N633" s="82" t="n"/>
      <c r="O633" s="82" t="n"/>
      <c r="P633" s="82" t="n"/>
      <c r="Q633" s="82" t="n"/>
      <c r="R633" s="82" t="n"/>
      <c r="S633" s="82" t="n"/>
      <c r="T633" s="82" t="n"/>
      <c r="U633" s="82" t="n"/>
      <c r="V633" s="82" t="n"/>
      <c r="W633" s="82" t="n"/>
      <c r="X633" s="82" t="n"/>
      <c r="Y633" s="82" t="n"/>
      <c r="Z633" s="82" t="n"/>
    </row>
    <row r="634" ht="15.75" customHeight="1" s="83">
      <c r="A634" s="82" t="n"/>
      <c r="B634" s="82" t="n"/>
      <c r="C634" s="82" t="n"/>
      <c r="D634" s="82" t="n"/>
      <c r="E634" s="81" t="n"/>
      <c r="F634" s="82" t="n"/>
      <c r="G634" s="82" t="n"/>
      <c r="H634" s="82" t="n"/>
      <c r="I634" s="82" t="n"/>
      <c r="J634" s="82" t="n"/>
      <c r="K634" s="82" t="n"/>
      <c r="L634" s="82" t="n"/>
      <c r="M634" s="82" t="n"/>
      <c r="N634" s="82" t="n"/>
      <c r="O634" s="82" t="n"/>
      <c r="P634" s="82" t="n"/>
      <c r="Q634" s="82" t="n"/>
      <c r="R634" s="82" t="n"/>
      <c r="S634" s="82" t="n"/>
      <c r="T634" s="82" t="n"/>
      <c r="U634" s="82" t="n"/>
      <c r="V634" s="82" t="n"/>
      <c r="W634" s="82" t="n"/>
      <c r="X634" s="82" t="n"/>
      <c r="Y634" s="82" t="n"/>
      <c r="Z634" s="82" t="n"/>
    </row>
    <row r="635" ht="15.75" customHeight="1" s="83">
      <c r="A635" s="82" t="n"/>
      <c r="B635" s="82" t="n"/>
      <c r="C635" s="82" t="n"/>
      <c r="D635" s="82" t="n"/>
      <c r="E635" s="81" t="n"/>
      <c r="F635" s="82" t="n"/>
      <c r="G635" s="82" t="n"/>
      <c r="H635" s="82" t="n"/>
      <c r="I635" s="82" t="n"/>
      <c r="J635" s="82" t="n"/>
      <c r="K635" s="82" t="n"/>
      <c r="L635" s="82" t="n"/>
      <c r="M635" s="82" t="n"/>
      <c r="N635" s="82" t="n"/>
      <c r="O635" s="82" t="n"/>
      <c r="P635" s="82" t="n"/>
      <c r="Q635" s="82" t="n"/>
      <c r="R635" s="82" t="n"/>
      <c r="S635" s="82" t="n"/>
      <c r="T635" s="82" t="n"/>
      <c r="U635" s="82" t="n"/>
      <c r="V635" s="82" t="n"/>
      <c r="W635" s="82" t="n"/>
      <c r="X635" s="82" t="n"/>
      <c r="Y635" s="82" t="n"/>
      <c r="Z635" s="82" t="n"/>
    </row>
    <row r="636" ht="15.75" customHeight="1" s="83">
      <c r="A636" s="82" t="n"/>
      <c r="B636" s="82" t="n"/>
      <c r="C636" s="82" t="n"/>
      <c r="D636" s="82" t="n"/>
      <c r="E636" s="81" t="n"/>
      <c r="F636" s="82" t="n"/>
      <c r="G636" s="82" t="n"/>
      <c r="H636" s="82" t="n"/>
      <c r="I636" s="82" t="n"/>
      <c r="J636" s="82" t="n"/>
      <c r="K636" s="82" t="n"/>
      <c r="L636" s="82" t="n"/>
      <c r="M636" s="82" t="n"/>
      <c r="N636" s="82" t="n"/>
      <c r="O636" s="82" t="n"/>
      <c r="P636" s="82" t="n"/>
      <c r="Q636" s="82" t="n"/>
      <c r="R636" s="82" t="n"/>
      <c r="S636" s="82" t="n"/>
      <c r="T636" s="82" t="n"/>
      <c r="U636" s="82" t="n"/>
      <c r="V636" s="82" t="n"/>
      <c r="W636" s="82" t="n"/>
      <c r="X636" s="82" t="n"/>
      <c r="Y636" s="82" t="n"/>
      <c r="Z636" s="82" t="n"/>
    </row>
    <row r="637" ht="15.75" customHeight="1" s="83">
      <c r="A637" s="82" t="n"/>
      <c r="B637" s="82" t="n"/>
      <c r="C637" s="82" t="n"/>
      <c r="D637" s="82" t="n"/>
      <c r="E637" s="81" t="n"/>
      <c r="F637" s="82" t="n"/>
      <c r="G637" s="82" t="n"/>
      <c r="H637" s="82" t="n"/>
      <c r="I637" s="82" t="n"/>
      <c r="J637" s="82" t="n"/>
      <c r="K637" s="82" t="n"/>
      <c r="L637" s="82" t="n"/>
      <c r="M637" s="82" t="n"/>
      <c r="N637" s="82" t="n"/>
      <c r="O637" s="82" t="n"/>
      <c r="P637" s="82" t="n"/>
      <c r="Q637" s="82" t="n"/>
      <c r="R637" s="82" t="n"/>
      <c r="S637" s="82" t="n"/>
      <c r="T637" s="82" t="n"/>
      <c r="U637" s="82" t="n"/>
      <c r="V637" s="82" t="n"/>
      <c r="W637" s="82" t="n"/>
      <c r="X637" s="82" t="n"/>
      <c r="Y637" s="82" t="n"/>
      <c r="Z637" s="82" t="n"/>
    </row>
    <row r="638" ht="15.75" customHeight="1" s="83">
      <c r="A638" s="82" t="n"/>
      <c r="B638" s="82" t="n"/>
      <c r="C638" s="82" t="n"/>
      <c r="D638" s="82" t="n"/>
      <c r="E638" s="81" t="n"/>
      <c r="F638" s="82" t="n"/>
      <c r="G638" s="82" t="n"/>
      <c r="H638" s="82" t="n"/>
      <c r="I638" s="82" t="n"/>
      <c r="J638" s="82" t="n"/>
      <c r="K638" s="82" t="n"/>
      <c r="L638" s="82" t="n"/>
      <c r="M638" s="82" t="n"/>
      <c r="N638" s="82" t="n"/>
      <c r="O638" s="82" t="n"/>
      <c r="P638" s="82" t="n"/>
      <c r="Q638" s="82" t="n"/>
      <c r="R638" s="82" t="n"/>
      <c r="S638" s="82" t="n"/>
      <c r="T638" s="82" t="n"/>
      <c r="U638" s="82" t="n"/>
      <c r="V638" s="82" t="n"/>
      <c r="W638" s="82" t="n"/>
      <c r="X638" s="82" t="n"/>
      <c r="Y638" s="82" t="n"/>
      <c r="Z638" s="82" t="n"/>
    </row>
    <row r="639" ht="15.75" customHeight="1" s="83">
      <c r="A639" s="82" t="n"/>
      <c r="B639" s="82" t="n"/>
      <c r="C639" s="82" t="n"/>
      <c r="D639" s="82" t="n"/>
      <c r="E639" s="81" t="n"/>
      <c r="F639" s="82" t="n"/>
      <c r="G639" s="82" t="n"/>
      <c r="H639" s="82" t="n"/>
      <c r="I639" s="82" t="n"/>
      <c r="J639" s="82" t="n"/>
      <c r="K639" s="82" t="n"/>
      <c r="L639" s="82" t="n"/>
      <c r="M639" s="82" t="n"/>
      <c r="N639" s="82" t="n"/>
      <c r="O639" s="82" t="n"/>
      <c r="P639" s="82" t="n"/>
      <c r="Q639" s="82" t="n"/>
      <c r="R639" s="82" t="n"/>
      <c r="S639" s="82" t="n"/>
      <c r="T639" s="82" t="n"/>
      <c r="U639" s="82" t="n"/>
      <c r="V639" s="82" t="n"/>
      <c r="W639" s="82" t="n"/>
      <c r="X639" s="82" t="n"/>
      <c r="Y639" s="82" t="n"/>
      <c r="Z639" s="82" t="n"/>
    </row>
    <row r="640" ht="15.75" customHeight="1" s="83">
      <c r="A640" s="82" t="n"/>
      <c r="B640" s="82" t="n"/>
      <c r="C640" s="82" t="n"/>
      <c r="D640" s="82" t="n"/>
      <c r="E640" s="81" t="n"/>
      <c r="F640" s="82" t="n"/>
      <c r="G640" s="82" t="n"/>
      <c r="H640" s="82" t="n"/>
      <c r="I640" s="82" t="n"/>
      <c r="J640" s="82" t="n"/>
      <c r="K640" s="82" t="n"/>
      <c r="L640" s="82" t="n"/>
      <c r="M640" s="82" t="n"/>
      <c r="N640" s="82" t="n"/>
      <c r="O640" s="82" t="n"/>
      <c r="P640" s="82" t="n"/>
      <c r="Q640" s="82" t="n"/>
      <c r="R640" s="82" t="n"/>
      <c r="S640" s="82" t="n"/>
      <c r="T640" s="82" t="n"/>
      <c r="U640" s="82" t="n"/>
      <c r="V640" s="82" t="n"/>
      <c r="W640" s="82" t="n"/>
      <c r="X640" s="82" t="n"/>
      <c r="Y640" s="82" t="n"/>
      <c r="Z640" s="82" t="n"/>
    </row>
    <row r="641" ht="15.75" customHeight="1" s="83">
      <c r="A641" s="82" t="n"/>
      <c r="B641" s="82" t="n"/>
      <c r="C641" s="82" t="n"/>
      <c r="D641" s="82" t="n"/>
      <c r="E641" s="81" t="n"/>
      <c r="F641" s="82" t="n"/>
      <c r="G641" s="82" t="n"/>
      <c r="H641" s="82" t="n"/>
      <c r="I641" s="82" t="n"/>
      <c r="J641" s="82" t="n"/>
      <c r="K641" s="82" t="n"/>
      <c r="L641" s="82" t="n"/>
      <c r="M641" s="82" t="n"/>
      <c r="N641" s="82" t="n"/>
      <c r="O641" s="82" t="n"/>
      <c r="P641" s="82" t="n"/>
      <c r="Q641" s="82" t="n"/>
      <c r="R641" s="82" t="n"/>
      <c r="S641" s="82" t="n"/>
      <c r="T641" s="82" t="n"/>
      <c r="U641" s="82" t="n"/>
      <c r="V641" s="82" t="n"/>
      <c r="W641" s="82" t="n"/>
      <c r="X641" s="82" t="n"/>
      <c r="Y641" s="82" t="n"/>
      <c r="Z641" s="82" t="n"/>
    </row>
    <row r="642" ht="15.75" customHeight="1" s="83">
      <c r="A642" s="82" t="n"/>
      <c r="B642" s="82" t="n"/>
      <c r="C642" s="82" t="n"/>
      <c r="D642" s="82" t="n"/>
      <c r="E642" s="81" t="n"/>
      <c r="F642" s="82" t="n"/>
      <c r="G642" s="82" t="n"/>
      <c r="H642" s="82" t="n"/>
      <c r="I642" s="82" t="n"/>
      <c r="J642" s="82" t="n"/>
      <c r="K642" s="82" t="n"/>
      <c r="L642" s="82" t="n"/>
      <c r="M642" s="82" t="n"/>
      <c r="N642" s="82" t="n"/>
      <c r="O642" s="82" t="n"/>
      <c r="P642" s="82" t="n"/>
      <c r="Q642" s="82" t="n"/>
      <c r="R642" s="82" t="n"/>
      <c r="S642" s="82" t="n"/>
      <c r="T642" s="82" t="n"/>
      <c r="U642" s="82" t="n"/>
      <c r="V642" s="82" t="n"/>
      <c r="W642" s="82" t="n"/>
      <c r="X642" s="82" t="n"/>
      <c r="Y642" s="82" t="n"/>
      <c r="Z642" s="82" t="n"/>
    </row>
    <row r="643" ht="15.75" customHeight="1" s="83">
      <c r="A643" s="82" t="n"/>
      <c r="B643" s="82" t="n"/>
      <c r="C643" s="82" t="n"/>
      <c r="D643" s="82" t="n"/>
      <c r="E643" s="81" t="n"/>
      <c r="F643" s="82" t="n"/>
      <c r="G643" s="82" t="n"/>
      <c r="H643" s="82" t="n"/>
      <c r="I643" s="82" t="n"/>
      <c r="J643" s="82" t="n"/>
      <c r="K643" s="82" t="n"/>
      <c r="L643" s="82" t="n"/>
      <c r="M643" s="82" t="n"/>
      <c r="N643" s="82" t="n"/>
      <c r="O643" s="82" t="n"/>
      <c r="P643" s="82" t="n"/>
      <c r="Q643" s="82" t="n"/>
      <c r="R643" s="82" t="n"/>
      <c r="S643" s="82" t="n"/>
      <c r="T643" s="82" t="n"/>
      <c r="U643" s="82" t="n"/>
      <c r="V643" s="82" t="n"/>
      <c r="W643" s="82" t="n"/>
      <c r="X643" s="82" t="n"/>
      <c r="Y643" s="82" t="n"/>
      <c r="Z643" s="82" t="n"/>
    </row>
    <row r="644" ht="15.75" customHeight="1" s="83">
      <c r="A644" s="82" t="n"/>
      <c r="B644" s="82" t="n"/>
      <c r="C644" s="82" t="n"/>
      <c r="D644" s="82" t="n"/>
      <c r="E644" s="81" t="n"/>
      <c r="F644" s="82" t="n"/>
      <c r="G644" s="82" t="n"/>
      <c r="H644" s="82" t="n"/>
      <c r="I644" s="82" t="n"/>
      <c r="J644" s="82" t="n"/>
      <c r="K644" s="82" t="n"/>
      <c r="L644" s="82" t="n"/>
      <c r="M644" s="82" t="n"/>
      <c r="N644" s="82" t="n"/>
      <c r="O644" s="82" t="n"/>
      <c r="P644" s="82" t="n"/>
      <c r="Q644" s="82" t="n"/>
      <c r="R644" s="82" t="n"/>
      <c r="S644" s="82" t="n"/>
      <c r="T644" s="82" t="n"/>
      <c r="U644" s="82" t="n"/>
      <c r="V644" s="82" t="n"/>
      <c r="W644" s="82" t="n"/>
      <c r="X644" s="82" t="n"/>
      <c r="Y644" s="82" t="n"/>
      <c r="Z644" s="82" t="n"/>
    </row>
    <row r="645" ht="15.75" customHeight="1" s="83">
      <c r="A645" s="82" t="n"/>
      <c r="B645" s="82" t="n"/>
      <c r="C645" s="82" t="n"/>
      <c r="D645" s="82" t="n"/>
      <c r="E645" s="81" t="n"/>
      <c r="F645" s="82" t="n"/>
      <c r="G645" s="82" t="n"/>
      <c r="H645" s="82" t="n"/>
      <c r="I645" s="82" t="n"/>
      <c r="J645" s="82" t="n"/>
      <c r="K645" s="82" t="n"/>
      <c r="L645" s="82" t="n"/>
      <c r="M645" s="82" t="n"/>
      <c r="N645" s="82" t="n"/>
      <c r="O645" s="82" t="n"/>
      <c r="P645" s="82" t="n"/>
      <c r="Q645" s="82" t="n"/>
      <c r="R645" s="82" t="n"/>
      <c r="S645" s="82" t="n"/>
      <c r="T645" s="82" t="n"/>
      <c r="U645" s="82" t="n"/>
      <c r="V645" s="82" t="n"/>
      <c r="W645" s="82" t="n"/>
      <c r="X645" s="82" t="n"/>
      <c r="Y645" s="82" t="n"/>
      <c r="Z645" s="82" t="n"/>
    </row>
    <row r="646" ht="15.75" customHeight="1" s="83">
      <c r="A646" s="82" t="n"/>
      <c r="B646" s="82" t="n"/>
      <c r="C646" s="82" t="n"/>
      <c r="D646" s="82" t="n"/>
      <c r="E646" s="81" t="n"/>
      <c r="F646" s="82" t="n"/>
      <c r="G646" s="82" t="n"/>
      <c r="H646" s="82" t="n"/>
      <c r="I646" s="82" t="n"/>
      <c r="J646" s="82" t="n"/>
      <c r="K646" s="82" t="n"/>
      <c r="L646" s="82" t="n"/>
      <c r="M646" s="82" t="n"/>
      <c r="N646" s="82" t="n"/>
      <c r="O646" s="82" t="n"/>
      <c r="P646" s="82" t="n"/>
      <c r="Q646" s="82" t="n"/>
      <c r="R646" s="82" t="n"/>
      <c r="S646" s="82" t="n"/>
      <c r="T646" s="82" t="n"/>
      <c r="U646" s="82" t="n"/>
      <c r="V646" s="82" t="n"/>
      <c r="W646" s="82" t="n"/>
      <c r="X646" s="82" t="n"/>
      <c r="Y646" s="82" t="n"/>
      <c r="Z646" s="82" t="n"/>
    </row>
    <row r="647" ht="15.75" customHeight="1" s="83">
      <c r="A647" s="82" t="n"/>
      <c r="B647" s="82" t="n"/>
      <c r="C647" s="82" t="n"/>
      <c r="D647" s="82" t="n"/>
      <c r="E647" s="81" t="n"/>
      <c r="F647" s="82" t="n"/>
      <c r="G647" s="82" t="n"/>
      <c r="H647" s="82" t="n"/>
      <c r="I647" s="82" t="n"/>
      <c r="J647" s="82" t="n"/>
      <c r="K647" s="82" t="n"/>
      <c r="L647" s="82" t="n"/>
      <c r="M647" s="82" t="n"/>
      <c r="N647" s="82" t="n"/>
      <c r="O647" s="82" t="n"/>
      <c r="P647" s="82" t="n"/>
      <c r="Q647" s="82" t="n"/>
      <c r="R647" s="82" t="n"/>
      <c r="S647" s="82" t="n"/>
      <c r="T647" s="82" t="n"/>
      <c r="U647" s="82" t="n"/>
      <c r="V647" s="82" t="n"/>
      <c r="W647" s="82" t="n"/>
      <c r="X647" s="82" t="n"/>
      <c r="Y647" s="82" t="n"/>
      <c r="Z647" s="82" t="n"/>
    </row>
    <row r="648" ht="15.75" customHeight="1" s="83">
      <c r="A648" s="82" t="n"/>
      <c r="B648" s="82" t="n"/>
      <c r="C648" s="82" t="n"/>
      <c r="D648" s="82" t="n"/>
      <c r="E648" s="81" t="n"/>
      <c r="F648" s="82" t="n"/>
      <c r="G648" s="82" t="n"/>
      <c r="H648" s="82" t="n"/>
      <c r="I648" s="82" t="n"/>
      <c r="J648" s="82" t="n"/>
      <c r="K648" s="82" t="n"/>
      <c r="L648" s="82" t="n"/>
      <c r="M648" s="82" t="n"/>
      <c r="N648" s="82" t="n"/>
      <c r="O648" s="82" t="n"/>
      <c r="P648" s="82" t="n"/>
      <c r="Q648" s="82" t="n"/>
      <c r="R648" s="82" t="n"/>
      <c r="S648" s="82" t="n"/>
      <c r="T648" s="82" t="n"/>
      <c r="U648" s="82" t="n"/>
      <c r="V648" s="82" t="n"/>
      <c r="W648" s="82" t="n"/>
      <c r="X648" s="82" t="n"/>
      <c r="Y648" s="82" t="n"/>
      <c r="Z648" s="82" t="n"/>
    </row>
    <row r="649" ht="15.75" customHeight="1" s="83">
      <c r="A649" s="82" t="n"/>
      <c r="B649" s="82" t="n"/>
      <c r="C649" s="82" t="n"/>
      <c r="D649" s="82" t="n"/>
      <c r="E649" s="81" t="n"/>
      <c r="F649" s="82" t="n"/>
      <c r="G649" s="82" t="n"/>
      <c r="H649" s="82" t="n"/>
      <c r="I649" s="82" t="n"/>
      <c r="J649" s="82" t="n"/>
      <c r="K649" s="82" t="n"/>
      <c r="L649" s="82" t="n"/>
      <c r="M649" s="82" t="n"/>
      <c r="N649" s="82" t="n"/>
      <c r="O649" s="82" t="n"/>
      <c r="P649" s="82" t="n"/>
      <c r="Q649" s="82" t="n"/>
      <c r="R649" s="82" t="n"/>
      <c r="S649" s="82" t="n"/>
      <c r="T649" s="82" t="n"/>
      <c r="U649" s="82" t="n"/>
      <c r="V649" s="82" t="n"/>
      <c r="W649" s="82" t="n"/>
      <c r="X649" s="82" t="n"/>
      <c r="Y649" s="82" t="n"/>
      <c r="Z649" s="82" t="n"/>
    </row>
    <row r="650" ht="15.75" customHeight="1" s="83">
      <c r="A650" s="82" t="n"/>
      <c r="B650" s="82" t="n"/>
      <c r="C650" s="82" t="n"/>
      <c r="D650" s="82" t="n"/>
      <c r="E650" s="81" t="n"/>
      <c r="F650" s="82" t="n"/>
      <c r="G650" s="82" t="n"/>
      <c r="H650" s="82" t="n"/>
      <c r="I650" s="82" t="n"/>
      <c r="J650" s="82" t="n"/>
      <c r="K650" s="82" t="n"/>
      <c r="L650" s="82" t="n"/>
      <c r="M650" s="82" t="n"/>
      <c r="N650" s="82" t="n"/>
      <c r="O650" s="82" t="n"/>
      <c r="P650" s="82" t="n"/>
      <c r="Q650" s="82" t="n"/>
      <c r="R650" s="82" t="n"/>
      <c r="S650" s="82" t="n"/>
      <c r="T650" s="82" t="n"/>
      <c r="U650" s="82" t="n"/>
      <c r="V650" s="82" t="n"/>
      <c r="W650" s="82" t="n"/>
      <c r="X650" s="82" t="n"/>
      <c r="Y650" s="82" t="n"/>
      <c r="Z650" s="82" t="n"/>
    </row>
    <row r="651" ht="15.75" customHeight="1" s="83">
      <c r="A651" s="82" t="n"/>
      <c r="B651" s="82" t="n"/>
      <c r="C651" s="82" t="n"/>
      <c r="D651" s="82" t="n"/>
      <c r="E651" s="81" t="n"/>
      <c r="F651" s="82" t="n"/>
      <c r="G651" s="82" t="n"/>
      <c r="H651" s="82" t="n"/>
      <c r="I651" s="82" t="n"/>
      <c r="J651" s="82" t="n"/>
      <c r="K651" s="82" t="n"/>
      <c r="L651" s="82" t="n"/>
      <c r="M651" s="82" t="n"/>
      <c r="N651" s="82" t="n"/>
      <c r="O651" s="82" t="n"/>
      <c r="P651" s="82" t="n"/>
      <c r="Q651" s="82" t="n"/>
      <c r="R651" s="82" t="n"/>
      <c r="S651" s="82" t="n"/>
      <c r="T651" s="82" t="n"/>
      <c r="U651" s="82" t="n"/>
      <c r="V651" s="82" t="n"/>
      <c r="W651" s="82" t="n"/>
      <c r="X651" s="82" t="n"/>
      <c r="Y651" s="82" t="n"/>
      <c r="Z651" s="82" t="n"/>
    </row>
    <row r="652" ht="15.75" customHeight="1" s="83">
      <c r="A652" s="82" t="n"/>
      <c r="B652" s="82" t="n"/>
      <c r="C652" s="82" t="n"/>
      <c r="D652" s="82" t="n"/>
      <c r="E652" s="81" t="n"/>
      <c r="F652" s="82" t="n"/>
      <c r="G652" s="82" t="n"/>
      <c r="H652" s="82" t="n"/>
      <c r="I652" s="82" t="n"/>
      <c r="J652" s="82" t="n"/>
      <c r="K652" s="82" t="n"/>
      <c r="L652" s="82" t="n"/>
      <c r="M652" s="82" t="n"/>
      <c r="N652" s="82" t="n"/>
      <c r="O652" s="82" t="n"/>
      <c r="P652" s="82" t="n"/>
      <c r="Q652" s="82" t="n"/>
      <c r="R652" s="82" t="n"/>
      <c r="S652" s="82" t="n"/>
      <c r="T652" s="82" t="n"/>
      <c r="U652" s="82" t="n"/>
      <c r="V652" s="82" t="n"/>
      <c r="W652" s="82" t="n"/>
      <c r="X652" s="82" t="n"/>
      <c r="Y652" s="82" t="n"/>
      <c r="Z652" s="82" t="n"/>
    </row>
    <row r="653" ht="15.75" customHeight="1" s="83">
      <c r="A653" s="82" t="n"/>
      <c r="B653" s="82" t="n"/>
      <c r="C653" s="82" t="n"/>
      <c r="D653" s="82" t="n"/>
      <c r="E653" s="81" t="n"/>
      <c r="F653" s="82" t="n"/>
      <c r="G653" s="82" t="n"/>
      <c r="H653" s="82" t="n"/>
      <c r="I653" s="82" t="n"/>
      <c r="J653" s="82" t="n"/>
      <c r="K653" s="82" t="n"/>
      <c r="L653" s="82" t="n"/>
      <c r="M653" s="82" t="n"/>
      <c r="N653" s="82" t="n"/>
      <c r="O653" s="82" t="n"/>
      <c r="P653" s="82" t="n"/>
      <c r="Q653" s="82" t="n"/>
      <c r="R653" s="82" t="n"/>
      <c r="S653" s="82" t="n"/>
      <c r="T653" s="82" t="n"/>
      <c r="U653" s="82" t="n"/>
      <c r="V653" s="82" t="n"/>
      <c r="W653" s="82" t="n"/>
      <c r="X653" s="82" t="n"/>
      <c r="Y653" s="82" t="n"/>
      <c r="Z653" s="82" t="n"/>
    </row>
    <row r="654" ht="15.75" customHeight="1" s="83">
      <c r="A654" s="82" t="n"/>
      <c r="B654" s="82" t="n"/>
      <c r="C654" s="82" t="n"/>
      <c r="D654" s="82" t="n"/>
      <c r="E654" s="81" t="n"/>
      <c r="F654" s="82" t="n"/>
      <c r="G654" s="82" t="n"/>
      <c r="H654" s="82" t="n"/>
      <c r="I654" s="82" t="n"/>
      <c r="J654" s="82" t="n"/>
      <c r="K654" s="82" t="n"/>
      <c r="L654" s="82" t="n"/>
      <c r="M654" s="82" t="n"/>
      <c r="N654" s="82" t="n"/>
      <c r="O654" s="82" t="n"/>
      <c r="P654" s="82" t="n"/>
      <c r="Q654" s="82" t="n"/>
      <c r="R654" s="82" t="n"/>
      <c r="S654" s="82" t="n"/>
      <c r="T654" s="82" t="n"/>
      <c r="U654" s="82" t="n"/>
      <c r="V654" s="82" t="n"/>
      <c r="W654" s="82" t="n"/>
      <c r="X654" s="82" t="n"/>
      <c r="Y654" s="82" t="n"/>
      <c r="Z654" s="82" t="n"/>
    </row>
    <row r="655" ht="15.75" customHeight="1" s="83">
      <c r="A655" s="82" t="n"/>
      <c r="B655" s="82" t="n"/>
      <c r="C655" s="82" t="n"/>
      <c r="D655" s="82" t="n"/>
      <c r="E655" s="81" t="n"/>
      <c r="F655" s="82" t="n"/>
      <c r="G655" s="82" t="n"/>
      <c r="H655" s="82" t="n"/>
      <c r="I655" s="82" t="n"/>
      <c r="J655" s="82" t="n"/>
      <c r="K655" s="82" t="n"/>
      <c r="L655" s="82" t="n"/>
      <c r="M655" s="82" t="n"/>
      <c r="N655" s="82" t="n"/>
      <c r="O655" s="82" t="n"/>
      <c r="P655" s="82" t="n"/>
      <c r="Q655" s="82" t="n"/>
      <c r="R655" s="82" t="n"/>
      <c r="S655" s="82" t="n"/>
      <c r="T655" s="82" t="n"/>
      <c r="U655" s="82" t="n"/>
      <c r="V655" s="82" t="n"/>
      <c r="W655" s="82" t="n"/>
      <c r="X655" s="82" t="n"/>
      <c r="Y655" s="82" t="n"/>
      <c r="Z655" s="82" t="n"/>
    </row>
    <row r="656" ht="15.75" customHeight="1" s="83">
      <c r="A656" s="82" t="n"/>
      <c r="B656" s="82" t="n"/>
      <c r="C656" s="82" t="n"/>
      <c r="D656" s="82" t="n"/>
      <c r="E656" s="81" t="n"/>
      <c r="F656" s="82" t="n"/>
      <c r="G656" s="82" t="n"/>
      <c r="H656" s="82" t="n"/>
      <c r="I656" s="82" t="n"/>
      <c r="J656" s="82" t="n"/>
      <c r="K656" s="82" t="n"/>
      <c r="L656" s="82" t="n"/>
      <c r="M656" s="82" t="n"/>
      <c r="N656" s="82" t="n"/>
      <c r="O656" s="82" t="n"/>
      <c r="P656" s="82" t="n"/>
      <c r="Q656" s="82" t="n"/>
      <c r="R656" s="82" t="n"/>
      <c r="S656" s="82" t="n"/>
      <c r="T656" s="82" t="n"/>
      <c r="U656" s="82" t="n"/>
      <c r="V656" s="82" t="n"/>
      <c r="W656" s="82" t="n"/>
      <c r="X656" s="82" t="n"/>
      <c r="Y656" s="82" t="n"/>
      <c r="Z656" s="82" t="n"/>
    </row>
    <row r="657" ht="15.75" customHeight="1" s="83">
      <c r="A657" s="82" t="n"/>
      <c r="B657" s="82" t="n"/>
      <c r="C657" s="82" t="n"/>
      <c r="D657" s="82" t="n"/>
      <c r="E657" s="81" t="n"/>
      <c r="F657" s="82" t="n"/>
      <c r="G657" s="82" t="n"/>
      <c r="H657" s="82" t="n"/>
      <c r="I657" s="82" t="n"/>
      <c r="J657" s="82" t="n"/>
      <c r="K657" s="82" t="n"/>
      <c r="L657" s="82" t="n"/>
      <c r="M657" s="82" t="n"/>
      <c r="N657" s="82" t="n"/>
      <c r="O657" s="82" t="n"/>
      <c r="P657" s="82" t="n"/>
      <c r="Q657" s="82" t="n"/>
      <c r="R657" s="82" t="n"/>
      <c r="S657" s="82" t="n"/>
      <c r="T657" s="82" t="n"/>
      <c r="U657" s="82" t="n"/>
      <c r="V657" s="82" t="n"/>
      <c r="W657" s="82" t="n"/>
      <c r="X657" s="82" t="n"/>
      <c r="Y657" s="82" t="n"/>
      <c r="Z657" s="82" t="n"/>
    </row>
    <row r="658" ht="15.75" customHeight="1" s="83">
      <c r="A658" s="82" t="n"/>
      <c r="B658" s="82" t="n"/>
      <c r="C658" s="82" t="n"/>
      <c r="D658" s="82" t="n"/>
      <c r="E658" s="81" t="n"/>
      <c r="F658" s="82" t="n"/>
      <c r="G658" s="82" t="n"/>
      <c r="H658" s="82" t="n"/>
      <c r="I658" s="82" t="n"/>
      <c r="J658" s="82" t="n"/>
      <c r="K658" s="82" t="n"/>
      <c r="L658" s="82" t="n"/>
      <c r="M658" s="82" t="n"/>
      <c r="N658" s="82" t="n"/>
      <c r="O658" s="82" t="n"/>
      <c r="P658" s="82" t="n"/>
      <c r="Q658" s="82" t="n"/>
      <c r="R658" s="82" t="n"/>
      <c r="S658" s="82" t="n"/>
      <c r="T658" s="82" t="n"/>
      <c r="U658" s="82" t="n"/>
      <c r="V658" s="82" t="n"/>
      <c r="W658" s="82" t="n"/>
      <c r="X658" s="82" t="n"/>
      <c r="Y658" s="82" t="n"/>
      <c r="Z658" s="82" t="n"/>
    </row>
    <row r="659" ht="15.75" customHeight="1" s="83">
      <c r="A659" s="82" t="n"/>
      <c r="B659" s="82" t="n"/>
      <c r="C659" s="82" t="n"/>
      <c r="D659" s="82" t="n"/>
      <c r="E659" s="81" t="n"/>
      <c r="F659" s="82" t="n"/>
      <c r="G659" s="82" t="n"/>
      <c r="H659" s="82" t="n"/>
      <c r="I659" s="82" t="n"/>
      <c r="J659" s="82" t="n"/>
      <c r="K659" s="82" t="n"/>
      <c r="L659" s="82" t="n"/>
      <c r="M659" s="82" t="n"/>
      <c r="N659" s="82" t="n"/>
      <c r="O659" s="82" t="n"/>
      <c r="P659" s="82" t="n"/>
      <c r="Q659" s="82" t="n"/>
      <c r="R659" s="82" t="n"/>
      <c r="S659" s="82" t="n"/>
      <c r="T659" s="82" t="n"/>
      <c r="U659" s="82" t="n"/>
      <c r="V659" s="82" t="n"/>
      <c r="W659" s="82" t="n"/>
      <c r="X659" s="82" t="n"/>
      <c r="Y659" s="82" t="n"/>
      <c r="Z659" s="82" t="n"/>
    </row>
    <row r="660" ht="15.75" customHeight="1" s="83">
      <c r="A660" s="82" t="n"/>
      <c r="B660" s="82" t="n"/>
      <c r="C660" s="82" t="n"/>
      <c r="D660" s="82" t="n"/>
      <c r="E660" s="81" t="n"/>
      <c r="F660" s="82" t="n"/>
      <c r="G660" s="82" t="n"/>
      <c r="H660" s="82" t="n"/>
      <c r="I660" s="82" t="n"/>
      <c r="J660" s="82" t="n"/>
      <c r="K660" s="82" t="n"/>
      <c r="L660" s="82" t="n"/>
      <c r="M660" s="82" t="n"/>
      <c r="N660" s="82" t="n"/>
      <c r="O660" s="82" t="n"/>
      <c r="P660" s="82" t="n"/>
      <c r="Q660" s="82" t="n"/>
      <c r="R660" s="82" t="n"/>
      <c r="S660" s="82" t="n"/>
      <c r="T660" s="82" t="n"/>
      <c r="U660" s="82" t="n"/>
      <c r="V660" s="82" t="n"/>
      <c r="W660" s="82" t="n"/>
      <c r="X660" s="82" t="n"/>
      <c r="Y660" s="82" t="n"/>
      <c r="Z660" s="82" t="n"/>
    </row>
    <row r="661" ht="15.75" customHeight="1" s="83">
      <c r="A661" s="82" t="n"/>
      <c r="B661" s="82" t="n"/>
      <c r="C661" s="82" t="n"/>
      <c r="D661" s="82" t="n"/>
      <c r="E661" s="81" t="n"/>
      <c r="F661" s="82" t="n"/>
      <c r="G661" s="82" t="n"/>
      <c r="H661" s="82" t="n"/>
      <c r="I661" s="82" t="n"/>
      <c r="J661" s="82" t="n"/>
      <c r="K661" s="82" t="n"/>
      <c r="L661" s="82" t="n"/>
      <c r="M661" s="82" t="n"/>
      <c r="N661" s="82" t="n"/>
      <c r="O661" s="82" t="n"/>
      <c r="P661" s="82" t="n"/>
      <c r="Q661" s="82" t="n"/>
      <c r="R661" s="82" t="n"/>
      <c r="S661" s="82" t="n"/>
      <c r="T661" s="82" t="n"/>
      <c r="U661" s="82" t="n"/>
      <c r="V661" s="82" t="n"/>
      <c r="W661" s="82" t="n"/>
      <c r="X661" s="82" t="n"/>
      <c r="Y661" s="82" t="n"/>
      <c r="Z661" s="82" t="n"/>
    </row>
    <row r="662" ht="15.75" customHeight="1" s="83">
      <c r="A662" s="82" t="n"/>
      <c r="B662" s="82" t="n"/>
      <c r="C662" s="82" t="n"/>
      <c r="D662" s="82" t="n"/>
      <c r="E662" s="81" t="n"/>
      <c r="F662" s="82" t="n"/>
      <c r="G662" s="82" t="n"/>
      <c r="H662" s="82" t="n"/>
      <c r="I662" s="82" t="n"/>
      <c r="J662" s="82" t="n"/>
      <c r="K662" s="82" t="n"/>
      <c r="L662" s="82" t="n"/>
      <c r="M662" s="82" t="n"/>
      <c r="N662" s="82" t="n"/>
      <c r="O662" s="82" t="n"/>
      <c r="P662" s="82" t="n"/>
      <c r="Q662" s="82" t="n"/>
      <c r="R662" s="82" t="n"/>
      <c r="S662" s="82" t="n"/>
      <c r="T662" s="82" t="n"/>
      <c r="U662" s="82" t="n"/>
      <c r="V662" s="82" t="n"/>
      <c r="W662" s="82" t="n"/>
      <c r="X662" s="82" t="n"/>
      <c r="Y662" s="82" t="n"/>
      <c r="Z662" s="82" t="n"/>
    </row>
    <row r="663" ht="15.75" customHeight="1" s="83">
      <c r="A663" s="82" t="n"/>
      <c r="B663" s="82" t="n"/>
      <c r="C663" s="82" t="n"/>
      <c r="D663" s="82" t="n"/>
      <c r="E663" s="81" t="n"/>
      <c r="F663" s="82" t="n"/>
      <c r="G663" s="82" t="n"/>
      <c r="H663" s="82" t="n"/>
      <c r="I663" s="82" t="n"/>
      <c r="J663" s="82" t="n"/>
      <c r="K663" s="82" t="n"/>
      <c r="L663" s="82" t="n"/>
      <c r="M663" s="82" t="n"/>
      <c r="N663" s="82" t="n"/>
      <c r="O663" s="82" t="n"/>
      <c r="P663" s="82" t="n"/>
      <c r="Q663" s="82" t="n"/>
      <c r="R663" s="82" t="n"/>
      <c r="S663" s="82" t="n"/>
      <c r="T663" s="82" t="n"/>
      <c r="U663" s="82" t="n"/>
      <c r="V663" s="82" t="n"/>
      <c r="W663" s="82" t="n"/>
      <c r="X663" s="82" t="n"/>
      <c r="Y663" s="82" t="n"/>
      <c r="Z663" s="82" t="n"/>
    </row>
    <row r="664" ht="15.75" customHeight="1" s="83">
      <c r="A664" s="82" t="n"/>
      <c r="B664" s="82" t="n"/>
      <c r="C664" s="82" t="n"/>
      <c r="D664" s="82" t="n"/>
      <c r="E664" s="81" t="n"/>
      <c r="F664" s="82" t="n"/>
      <c r="G664" s="82" t="n"/>
      <c r="H664" s="82" t="n"/>
      <c r="I664" s="82" t="n"/>
      <c r="J664" s="82" t="n"/>
      <c r="K664" s="82" t="n"/>
      <c r="L664" s="82" t="n"/>
      <c r="M664" s="82" t="n"/>
      <c r="N664" s="82" t="n"/>
      <c r="O664" s="82" t="n"/>
      <c r="P664" s="82" t="n"/>
      <c r="Q664" s="82" t="n"/>
      <c r="R664" s="82" t="n"/>
      <c r="S664" s="82" t="n"/>
      <c r="T664" s="82" t="n"/>
      <c r="U664" s="82" t="n"/>
      <c r="V664" s="82" t="n"/>
      <c r="W664" s="82" t="n"/>
      <c r="X664" s="82" t="n"/>
      <c r="Y664" s="82" t="n"/>
      <c r="Z664" s="82" t="n"/>
    </row>
    <row r="665" ht="15.75" customHeight="1" s="83">
      <c r="A665" s="82" t="n"/>
      <c r="B665" s="82" t="n"/>
      <c r="C665" s="82" t="n"/>
      <c r="D665" s="82" t="n"/>
      <c r="E665" s="81" t="n"/>
      <c r="F665" s="82" t="n"/>
      <c r="G665" s="82" t="n"/>
      <c r="H665" s="82" t="n"/>
      <c r="I665" s="82" t="n"/>
      <c r="J665" s="82" t="n"/>
      <c r="K665" s="82" t="n"/>
      <c r="L665" s="82" t="n"/>
      <c r="M665" s="82" t="n"/>
      <c r="N665" s="82" t="n"/>
      <c r="O665" s="82" t="n"/>
      <c r="P665" s="82" t="n"/>
      <c r="Q665" s="82" t="n"/>
      <c r="R665" s="82" t="n"/>
      <c r="S665" s="82" t="n"/>
      <c r="T665" s="82" t="n"/>
      <c r="U665" s="82" t="n"/>
      <c r="V665" s="82" t="n"/>
      <c r="W665" s="82" t="n"/>
      <c r="X665" s="82" t="n"/>
      <c r="Y665" s="82" t="n"/>
      <c r="Z665" s="82" t="n"/>
    </row>
    <row r="666" ht="15.75" customHeight="1" s="83">
      <c r="A666" s="82" t="n"/>
      <c r="B666" s="82" t="n"/>
      <c r="C666" s="82" t="n"/>
      <c r="D666" s="82" t="n"/>
      <c r="E666" s="81" t="n"/>
      <c r="F666" s="82" t="n"/>
      <c r="G666" s="82" t="n"/>
      <c r="H666" s="82" t="n"/>
      <c r="I666" s="82" t="n"/>
      <c r="J666" s="82" t="n"/>
      <c r="K666" s="82" t="n"/>
      <c r="L666" s="82" t="n"/>
      <c r="M666" s="82" t="n"/>
      <c r="N666" s="82" t="n"/>
      <c r="O666" s="82" t="n"/>
      <c r="P666" s="82" t="n"/>
      <c r="Q666" s="82" t="n"/>
      <c r="R666" s="82" t="n"/>
      <c r="S666" s="82" t="n"/>
      <c r="T666" s="82" t="n"/>
      <c r="U666" s="82" t="n"/>
      <c r="V666" s="82" t="n"/>
      <c r="W666" s="82" t="n"/>
      <c r="X666" s="82" t="n"/>
      <c r="Y666" s="82" t="n"/>
      <c r="Z666" s="82" t="n"/>
    </row>
    <row r="667" ht="15.75" customHeight="1" s="83">
      <c r="A667" s="82" t="n"/>
      <c r="B667" s="82" t="n"/>
      <c r="C667" s="82" t="n"/>
      <c r="D667" s="82" t="n"/>
      <c r="E667" s="81" t="n"/>
      <c r="F667" s="82" t="n"/>
      <c r="G667" s="82" t="n"/>
      <c r="H667" s="82" t="n"/>
      <c r="I667" s="82" t="n"/>
      <c r="J667" s="82" t="n"/>
      <c r="K667" s="82" t="n"/>
      <c r="L667" s="82" t="n"/>
      <c r="M667" s="82" t="n"/>
      <c r="N667" s="82" t="n"/>
      <c r="O667" s="82" t="n"/>
      <c r="P667" s="82" t="n"/>
      <c r="Q667" s="82" t="n"/>
      <c r="R667" s="82" t="n"/>
      <c r="S667" s="82" t="n"/>
      <c r="T667" s="82" t="n"/>
      <c r="U667" s="82" t="n"/>
      <c r="V667" s="82" t="n"/>
      <c r="W667" s="82" t="n"/>
      <c r="X667" s="82" t="n"/>
      <c r="Y667" s="82" t="n"/>
      <c r="Z667" s="82" t="n"/>
    </row>
    <row r="668" ht="15.75" customHeight="1" s="83">
      <c r="A668" s="82" t="n"/>
      <c r="B668" s="82" t="n"/>
      <c r="C668" s="82" t="n"/>
      <c r="D668" s="82" t="n"/>
      <c r="E668" s="81" t="n"/>
      <c r="F668" s="82" t="n"/>
      <c r="G668" s="82" t="n"/>
      <c r="H668" s="82" t="n"/>
      <c r="I668" s="82" t="n"/>
      <c r="J668" s="82" t="n"/>
      <c r="K668" s="82" t="n"/>
      <c r="L668" s="82" t="n"/>
      <c r="M668" s="82" t="n"/>
      <c r="N668" s="82" t="n"/>
      <c r="O668" s="82" t="n"/>
      <c r="P668" s="82" t="n"/>
      <c r="Q668" s="82" t="n"/>
      <c r="R668" s="82" t="n"/>
      <c r="S668" s="82" t="n"/>
      <c r="T668" s="82" t="n"/>
      <c r="U668" s="82" t="n"/>
      <c r="V668" s="82" t="n"/>
      <c r="W668" s="82" t="n"/>
      <c r="X668" s="82" t="n"/>
      <c r="Y668" s="82" t="n"/>
      <c r="Z668" s="82" t="n"/>
    </row>
    <row r="669" ht="15.75" customHeight="1" s="83">
      <c r="A669" s="82" t="n"/>
      <c r="B669" s="82" t="n"/>
      <c r="C669" s="82" t="n"/>
      <c r="D669" s="82" t="n"/>
      <c r="E669" s="81" t="n"/>
      <c r="F669" s="82" t="n"/>
      <c r="G669" s="82" t="n"/>
      <c r="H669" s="82" t="n"/>
      <c r="I669" s="82" t="n"/>
      <c r="J669" s="82" t="n"/>
      <c r="K669" s="82" t="n"/>
      <c r="L669" s="82" t="n"/>
      <c r="M669" s="82" t="n"/>
      <c r="N669" s="82" t="n"/>
      <c r="O669" s="82" t="n"/>
      <c r="P669" s="82" t="n"/>
      <c r="Q669" s="82" t="n"/>
      <c r="R669" s="82" t="n"/>
      <c r="S669" s="82" t="n"/>
      <c r="T669" s="82" t="n"/>
      <c r="U669" s="82" t="n"/>
      <c r="V669" s="82" t="n"/>
      <c r="W669" s="82" t="n"/>
      <c r="X669" s="82" t="n"/>
      <c r="Y669" s="82" t="n"/>
      <c r="Z669" s="82" t="n"/>
    </row>
    <row r="670" ht="15.75" customHeight="1" s="83">
      <c r="A670" s="82" t="n"/>
      <c r="B670" s="82" t="n"/>
      <c r="C670" s="82" t="n"/>
      <c r="D670" s="82" t="n"/>
      <c r="E670" s="81" t="n"/>
      <c r="F670" s="82" t="n"/>
      <c r="G670" s="82" t="n"/>
      <c r="H670" s="82" t="n"/>
      <c r="I670" s="82" t="n"/>
      <c r="J670" s="82" t="n"/>
      <c r="K670" s="82" t="n"/>
      <c r="L670" s="82" t="n"/>
      <c r="M670" s="82" t="n"/>
      <c r="N670" s="82" t="n"/>
      <c r="O670" s="82" t="n"/>
      <c r="P670" s="82" t="n"/>
      <c r="Q670" s="82" t="n"/>
      <c r="R670" s="82" t="n"/>
      <c r="S670" s="82" t="n"/>
      <c r="T670" s="82" t="n"/>
      <c r="U670" s="82" t="n"/>
      <c r="V670" s="82" t="n"/>
      <c r="W670" s="82" t="n"/>
      <c r="X670" s="82" t="n"/>
      <c r="Y670" s="82" t="n"/>
      <c r="Z670" s="82" t="n"/>
    </row>
    <row r="671" ht="15.75" customHeight="1" s="83">
      <c r="A671" s="82" t="n"/>
      <c r="B671" s="82" t="n"/>
      <c r="C671" s="82" t="n"/>
      <c r="D671" s="82" t="n"/>
      <c r="E671" s="81" t="n"/>
      <c r="F671" s="82" t="n"/>
      <c r="G671" s="82" t="n"/>
      <c r="H671" s="82" t="n"/>
      <c r="I671" s="82" t="n"/>
      <c r="J671" s="82" t="n"/>
      <c r="K671" s="82" t="n"/>
      <c r="L671" s="82" t="n"/>
      <c r="M671" s="82" t="n"/>
      <c r="N671" s="82" t="n"/>
      <c r="O671" s="82" t="n"/>
      <c r="P671" s="82" t="n"/>
      <c r="Q671" s="82" t="n"/>
      <c r="R671" s="82" t="n"/>
      <c r="S671" s="82" t="n"/>
      <c r="T671" s="82" t="n"/>
      <c r="U671" s="82" t="n"/>
      <c r="V671" s="82" t="n"/>
      <c r="W671" s="82" t="n"/>
      <c r="X671" s="82" t="n"/>
      <c r="Y671" s="82" t="n"/>
      <c r="Z671" s="82" t="n"/>
    </row>
    <row r="672" ht="15.75" customHeight="1" s="83">
      <c r="A672" s="82" t="n"/>
      <c r="B672" s="82" t="n"/>
      <c r="C672" s="82" t="n"/>
      <c r="D672" s="82" t="n"/>
      <c r="E672" s="81" t="n"/>
      <c r="F672" s="82" t="n"/>
      <c r="G672" s="82" t="n"/>
      <c r="H672" s="82" t="n"/>
      <c r="I672" s="82" t="n"/>
      <c r="J672" s="82" t="n"/>
      <c r="K672" s="82" t="n"/>
      <c r="L672" s="82" t="n"/>
      <c r="M672" s="82" t="n"/>
      <c r="N672" s="82" t="n"/>
      <c r="O672" s="82" t="n"/>
      <c r="P672" s="82" t="n"/>
      <c r="Q672" s="82" t="n"/>
      <c r="R672" s="82" t="n"/>
      <c r="S672" s="82" t="n"/>
      <c r="T672" s="82" t="n"/>
      <c r="U672" s="82" t="n"/>
      <c r="V672" s="82" t="n"/>
      <c r="W672" s="82" t="n"/>
      <c r="X672" s="82" t="n"/>
      <c r="Y672" s="82" t="n"/>
      <c r="Z672" s="82" t="n"/>
    </row>
    <row r="673" ht="15.75" customHeight="1" s="83">
      <c r="A673" s="82" t="n"/>
      <c r="B673" s="82" t="n"/>
      <c r="C673" s="82" t="n"/>
      <c r="D673" s="82" t="n"/>
      <c r="E673" s="81" t="n"/>
      <c r="F673" s="82" t="n"/>
      <c r="G673" s="82" t="n"/>
      <c r="H673" s="82" t="n"/>
      <c r="I673" s="82" t="n"/>
      <c r="J673" s="82" t="n"/>
      <c r="K673" s="82" t="n"/>
      <c r="L673" s="82" t="n"/>
      <c r="M673" s="82" t="n"/>
      <c r="N673" s="82" t="n"/>
      <c r="O673" s="82" t="n"/>
      <c r="P673" s="82" t="n"/>
      <c r="Q673" s="82" t="n"/>
      <c r="R673" s="82" t="n"/>
      <c r="S673" s="82" t="n"/>
      <c r="T673" s="82" t="n"/>
      <c r="U673" s="82" t="n"/>
      <c r="V673" s="82" t="n"/>
      <c r="W673" s="82" t="n"/>
      <c r="X673" s="82" t="n"/>
      <c r="Y673" s="82" t="n"/>
      <c r="Z673" s="82" t="n"/>
    </row>
    <row r="674" ht="15.75" customHeight="1" s="83">
      <c r="A674" s="82" t="n"/>
      <c r="B674" s="82" t="n"/>
      <c r="C674" s="82" t="n"/>
      <c r="D674" s="82" t="n"/>
      <c r="E674" s="81" t="n"/>
      <c r="F674" s="82" t="n"/>
      <c r="G674" s="82" t="n"/>
      <c r="H674" s="82" t="n"/>
      <c r="I674" s="82" t="n"/>
      <c r="J674" s="82" t="n"/>
      <c r="K674" s="82" t="n"/>
      <c r="L674" s="82" t="n"/>
      <c r="M674" s="82" t="n"/>
      <c r="N674" s="82" t="n"/>
      <c r="O674" s="82" t="n"/>
      <c r="P674" s="82" t="n"/>
      <c r="Q674" s="82" t="n"/>
      <c r="R674" s="82" t="n"/>
      <c r="S674" s="82" t="n"/>
      <c r="T674" s="82" t="n"/>
      <c r="U674" s="82" t="n"/>
      <c r="V674" s="82" t="n"/>
      <c r="W674" s="82" t="n"/>
      <c r="X674" s="82" t="n"/>
      <c r="Y674" s="82" t="n"/>
      <c r="Z674" s="82" t="n"/>
    </row>
    <row r="675" ht="15.75" customHeight="1" s="83">
      <c r="A675" s="82" t="n"/>
      <c r="B675" s="82" t="n"/>
      <c r="C675" s="82" t="n"/>
      <c r="D675" s="82" t="n"/>
      <c r="E675" s="81" t="n"/>
      <c r="F675" s="82" t="n"/>
      <c r="G675" s="82" t="n"/>
      <c r="H675" s="82" t="n"/>
      <c r="I675" s="82" t="n"/>
      <c r="J675" s="82" t="n"/>
      <c r="K675" s="82" t="n"/>
      <c r="L675" s="82" t="n"/>
      <c r="M675" s="82" t="n"/>
      <c r="N675" s="82" t="n"/>
      <c r="O675" s="82" t="n"/>
      <c r="P675" s="82" t="n"/>
      <c r="Q675" s="82" t="n"/>
      <c r="R675" s="82" t="n"/>
      <c r="S675" s="82" t="n"/>
      <c r="T675" s="82" t="n"/>
      <c r="U675" s="82" t="n"/>
      <c r="V675" s="82" t="n"/>
      <c r="W675" s="82" t="n"/>
      <c r="X675" s="82" t="n"/>
      <c r="Y675" s="82" t="n"/>
      <c r="Z675" s="82" t="n"/>
    </row>
    <row r="676" ht="15.75" customHeight="1" s="83">
      <c r="A676" s="82" t="n"/>
      <c r="B676" s="82" t="n"/>
      <c r="C676" s="82" t="n"/>
      <c r="D676" s="82" t="n"/>
      <c r="E676" s="81" t="n"/>
      <c r="F676" s="82" t="n"/>
      <c r="G676" s="82" t="n"/>
      <c r="H676" s="82" t="n"/>
      <c r="I676" s="82" t="n"/>
      <c r="J676" s="82" t="n"/>
      <c r="K676" s="82" t="n"/>
      <c r="L676" s="82" t="n"/>
      <c r="M676" s="82" t="n"/>
      <c r="N676" s="82" t="n"/>
      <c r="O676" s="82" t="n"/>
      <c r="P676" s="82" t="n"/>
      <c r="Q676" s="82" t="n"/>
      <c r="R676" s="82" t="n"/>
      <c r="S676" s="82" t="n"/>
      <c r="T676" s="82" t="n"/>
      <c r="U676" s="82" t="n"/>
      <c r="V676" s="82" t="n"/>
      <c r="W676" s="82" t="n"/>
      <c r="X676" s="82" t="n"/>
      <c r="Y676" s="82" t="n"/>
      <c r="Z676" s="82" t="n"/>
    </row>
    <row r="677" ht="15.75" customHeight="1" s="83">
      <c r="A677" s="82" t="n"/>
      <c r="B677" s="82" t="n"/>
      <c r="C677" s="82" t="n"/>
      <c r="D677" s="82" t="n"/>
      <c r="E677" s="81" t="n"/>
      <c r="F677" s="82" t="n"/>
      <c r="G677" s="82" t="n"/>
      <c r="H677" s="82" t="n"/>
      <c r="I677" s="82" t="n"/>
      <c r="J677" s="82" t="n"/>
      <c r="K677" s="82" t="n"/>
      <c r="L677" s="82" t="n"/>
      <c r="M677" s="82" t="n"/>
      <c r="N677" s="82" t="n"/>
      <c r="O677" s="82" t="n"/>
      <c r="P677" s="82" t="n"/>
      <c r="Q677" s="82" t="n"/>
      <c r="R677" s="82" t="n"/>
      <c r="S677" s="82" t="n"/>
      <c r="T677" s="82" t="n"/>
      <c r="U677" s="82" t="n"/>
      <c r="V677" s="82" t="n"/>
      <c r="W677" s="82" t="n"/>
      <c r="X677" s="82" t="n"/>
      <c r="Y677" s="82" t="n"/>
      <c r="Z677" s="82" t="n"/>
    </row>
    <row r="678" ht="15.75" customHeight="1" s="83">
      <c r="A678" s="82" t="n"/>
      <c r="B678" s="82" t="n"/>
      <c r="C678" s="82" t="n"/>
      <c r="D678" s="82" t="n"/>
      <c r="E678" s="81" t="n"/>
      <c r="F678" s="82" t="n"/>
      <c r="G678" s="82" t="n"/>
      <c r="H678" s="82" t="n"/>
      <c r="I678" s="82" t="n"/>
      <c r="J678" s="82" t="n"/>
      <c r="K678" s="82" t="n"/>
      <c r="L678" s="82" t="n"/>
      <c r="M678" s="82" t="n"/>
      <c r="N678" s="82" t="n"/>
      <c r="O678" s="82" t="n"/>
      <c r="P678" s="82" t="n"/>
      <c r="Q678" s="82" t="n"/>
      <c r="R678" s="82" t="n"/>
      <c r="S678" s="82" t="n"/>
      <c r="T678" s="82" t="n"/>
      <c r="U678" s="82" t="n"/>
      <c r="V678" s="82" t="n"/>
      <c r="W678" s="82" t="n"/>
      <c r="X678" s="82" t="n"/>
      <c r="Y678" s="82" t="n"/>
      <c r="Z678" s="82" t="n"/>
    </row>
    <row r="679" ht="15.75" customHeight="1" s="83">
      <c r="A679" s="82" t="n"/>
      <c r="B679" s="82" t="n"/>
      <c r="C679" s="82" t="n"/>
      <c r="D679" s="82" t="n"/>
      <c r="E679" s="81" t="n"/>
      <c r="F679" s="82" t="n"/>
      <c r="G679" s="82" t="n"/>
      <c r="H679" s="82" t="n"/>
      <c r="I679" s="82" t="n"/>
      <c r="J679" s="82" t="n"/>
      <c r="K679" s="82" t="n"/>
      <c r="L679" s="82" t="n"/>
      <c r="M679" s="82" t="n"/>
      <c r="N679" s="82" t="n"/>
      <c r="O679" s="82" t="n"/>
      <c r="P679" s="82" t="n"/>
      <c r="Q679" s="82" t="n"/>
      <c r="R679" s="82" t="n"/>
      <c r="S679" s="82" t="n"/>
      <c r="T679" s="82" t="n"/>
      <c r="U679" s="82" t="n"/>
      <c r="V679" s="82" t="n"/>
      <c r="W679" s="82" t="n"/>
      <c r="X679" s="82" t="n"/>
      <c r="Y679" s="82" t="n"/>
      <c r="Z679" s="82" t="n"/>
    </row>
    <row r="680" ht="15.75" customHeight="1" s="83">
      <c r="A680" s="82" t="n"/>
      <c r="B680" s="82" t="n"/>
      <c r="C680" s="82" t="n"/>
      <c r="D680" s="82" t="n"/>
      <c r="E680" s="81" t="n"/>
      <c r="F680" s="82" t="n"/>
      <c r="G680" s="82" t="n"/>
      <c r="H680" s="82" t="n"/>
      <c r="I680" s="82" t="n"/>
      <c r="J680" s="82" t="n"/>
      <c r="K680" s="82" t="n"/>
      <c r="L680" s="82" t="n"/>
      <c r="M680" s="82" t="n"/>
      <c r="N680" s="82" t="n"/>
      <c r="O680" s="82" t="n"/>
      <c r="P680" s="82" t="n"/>
      <c r="Q680" s="82" t="n"/>
      <c r="R680" s="82" t="n"/>
      <c r="S680" s="82" t="n"/>
      <c r="T680" s="82" t="n"/>
      <c r="U680" s="82" t="n"/>
      <c r="V680" s="82" t="n"/>
      <c r="W680" s="82" t="n"/>
      <c r="X680" s="82" t="n"/>
      <c r="Y680" s="82" t="n"/>
      <c r="Z680" s="82" t="n"/>
    </row>
    <row r="681" ht="15.75" customHeight="1" s="83">
      <c r="A681" s="82" t="n"/>
      <c r="B681" s="82" t="n"/>
      <c r="C681" s="82" t="n"/>
      <c r="D681" s="82" t="n"/>
      <c r="E681" s="81" t="n"/>
      <c r="F681" s="82" t="n"/>
      <c r="G681" s="82" t="n"/>
      <c r="H681" s="82" t="n"/>
      <c r="I681" s="82" t="n"/>
      <c r="J681" s="82" t="n"/>
      <c r="K681" s="82" t="n"/>
      <c r="L681" s="82" t="n"/>
      <c r="M681" s="82" t="n"/>
      <c r="N681" s="82" t="n"/>
      <c r="O681" s="82" t="n"/>
      <c r="P681" s="82" t="n"/>
      <c r="Q681" s="82" t="n"/>
      <c r="R681" s="82" t="n"/>
      <c r="S681" s="82" t="n"/>
      <c r="T681" s="82" t="n"/>
      <c r="U681" s="82" t="n"/>
      <c r="V681" s="82" t="n"/>
      <c r="W681" s="82" t="n"/>
      <c r="X681" s="82" t="n"/>
      <c r="Y681" s="82" t="n"/>
      <c r="Z681" s="82" t="n"/>
    </row>
    <row r="682" ht="15.75" customHeight="1" s="83">
      <c r="A682" s="82" t="n"/>
      <c r="B682" s="82" t="n"/>
      <c r="C682" s="82" t="n"/>
      <c r="D682" s="82" t="n"/>
      <c r="E682" s="81" t="n"/>
      <c r="F682" s="82" t="n"/>
      <c r="G682" s="82" t="n"/>
      <c r="H682" s="82" t="n"/>
      <c r="I682" s="82" t="n"/>
      <c r="J682" s="82" t="n"/>
      <c r="K682" s="82" t="n"/>
      <c r="L682" s="82" t="n"/>
      <c r="M682" s="82" t="n"/>
      <c r="N682" s="82" t="n"/>
      <c r="O682" s="82" t="n"/>
      <c r="P682" s="82" t="n"/>
      <c r="Q682" s="82" t="n"/>
      <c r="R682" s="82" t="n"/>
      <c r="S682" s="82" t="n"/>
      <c r="T682" s="82" t="n"/>
      <c r="U682" s="82" t="n"/>
      <c r="V682" s="82" t="n"/>
      <c r="W682" s="82" t="n"/>
      <c r="X682" s="82" t="n"/>
      <c r="Y682" s="82" t="n"/>
      <c r="Z682" s="82" t="n"/>
    </row>
    <row r="683" ht="15.75" customHeight="1" s="83">
      <c r="A683" s="82" t="n"/>
      <c r="B683" s="82" t="n"/>
      <c r="C683" s="82" t="n"/>
      <c r="D683" s="82" t="n"/>
      <c r="E683" s="81" t="n"/>
      <c r="F683" s="82" t="n"/>
      <c r="G683" s="82" t="n"/>
      <c r="H683" s="82" t="n"/>
      <c r="I683" s="82" t="n"/>
      <c r="J683" s="82" t="n"/>
      <c r="K683" s="82" t="n"/>
      <c r="L683" s="82" t="n"/>
      <c r="M683" s="82" t="n"/>
      <c r="N683" s="82" t="n"/>
      <c r="O683" s="82" t="n"/>
      <c r="P683" s="82" t="n"/>
      <c r="Q683" s="82" t="n"/>
      <c r="R683" s="82" t="n"/>
      <c r="S683" s="82" t="n"/>
      <c r="T683" s="82" t="n"/>
      <c r="U683" s="82" t="n"/>
      <c r="V683" s="82" t="n"/>
      <c r="W683" s="82" t="n"/>
      <c r="X683" s="82" t="n"/>
      <c r="Y683" s="82" t="n"/>
      <c r="Z683" s="82" t="n"/>
    </row>
    <row r="684" ht="15.75" customHeight="1" s="83">
      <c r="A684" s="82" t="n"/>
      <c r="B684" s="82" t="n"/>
      <c r="C684" s="82" t="n"/>
      <c r="D684" s="82" t="n"/>
      <c r="E684" s="81" t="n"/>
      <c r="F684" s="82" t="n"/>
      <c r="G684" s="82" t="n"/>
      <c r="H684" s="82" t="n"/>
      <c r="I684" s="82" t="n"/>
      <c r="J684" s="82" t="n"/>
      <c r="K684" s="82" t="n"/>
      <c r="L684" s="82" t="n"/>
      <c r="M684" s="82" t="n"/>
      <c r="N684" s="82" t="n"/>
      <c r="O684" s="82" t="n"/>
      <c r="P684" s="82" t="n"/>
      <c r="Q684" s="82" t="n"/>
      <c r="R684" s="82" t="n"/>
      <c r="S684" s="82" t="n"/>
      <c r="T684" s="82" t="n"/>
      <c r="U684" s="82" t="n"/>
      <c r="V684" s="82" t="n"/>
      <c r="W684" s="82" t="n"/>
      <c r="X684" s="82" t="n"/>
      <c r="Y684" s="82" t="n"/>
      <c r="Z684" s="82" t="n"/>
    </row>
    <row r="685" ht="15.75" customHeight="1" s="83">
      <c r="A685" s="82" t="n"/>
      <c r="B685" s="82" t="n"/>
      <c r="C685" s="82" t="n"/>
      <c r="D685" s="82" t="n"/>
      <c r="E685" s="81" t="n"/>
      <c r="F685" s="82" t="n"/>
      <c r="G685" s="82" t="n"/>
      <c r="H685" s="82" t="n"/>
      <c r="I685" s="82" t="n"/>
      <c r="J685" s="82" t="n"/>
      <c r="K685" s="82" t="n"/>
      <c r="L685" s="82" t="n"/>
      <c r="M685" s="82" t="n"/>
      <c r="N685" s="82" t="n"/>
      <c r="O685" s="82" t="n"/>
      <c r="P685" s="82" t="n"/>
      <c r="Q685" s="82" t="n"/>
      <c r="R685" s="82" t="n"/>
      <c r="S685" s="82" t="n"/>
      <c r="T685" s="82" t="n"/>
      <c r="U685" s="82" t="n"/>
      <c r="V685" s="82" t="n"/>
      <c r="W685" s="82" t="n"/>
      <c r="X685" s="82" t="n"/>
      <c r="Y685" s="82" t="n"/>
      <c r="Z685" s="82" t="n"/>
    </row>
    <row r="686" ht="15.75" customHeight="1" s="83">
      <c r="A686" s="82" t="n"/>
      <c r="B686" s="82" t="n"/>
      <c r="C686" s="82" t="n"/>
      <c r="D686" s="82" t="n"/>
      <c r="E686" s="81" t="n"/>
      <c r="F686" s="82" t="n"/>
      <c r="G686" s="82" t="n"/>
      <c r="H686" s="82" t="n"/>
      <c r="I686" s="82" t="n"/>
      <c r="J686" s="82" t="n"/>
      <c r="K686" s="82" t="n"/>
      <c r="L686" s="82" t="n"/>
      <c r="M686" s="82" t="n"/>
      <c r="N686" s="82" t="n"/>
      <c r="O686" s="82" t="n"/>
      <c r="P686" s="82" t="n"/>
      <c r="Q686" s="82" t="n"/>
      <c r="R686" s="82" t="n"/>
      <c r="S686" s="82" t="n"/>
      <c r="T686" s="82" t="n"/>
      <c r="U686" s="82" t="n"/>
      <c r="V686" s="82" t="n"/>
      <c r="W686" s="82" t="n"/>
      <c r="X686" s="82" t="n"/>
      <c r="Y686" s="82" t="n"/>
      <c r="Z686" s="82" t="n"/>
    </row>
    <row r="687" ht="15.75" customHeight="1" s="83">
      <c r="A687" s="82" t="n"/>
      <c r="B687" s="82" t="n"/>
      <c r="C687" s="82" t="n"/>
      <c r="D687" s="82" t="n"/>
      <c r="E687" s="81" t="n"/>
      <c r="F687" s="82" t="n"/>
      <c r="G687" s="82" t="n"/>
      <c r="H687" s="82" t="n"/>
      <c r="I687" s="82" t="n"/>
      <c r="J687" s="82" t="n"/>
      <c r="K687" s="82" t="n"/>
      <c r="L687" s="82" t="n"/>
      <c r="M687" s="82" t="n"/>
      <c r="N687" s="82" t="n"/>
      <c r="O687" s="82" t="n"/>
      <c r="P687" s="82" t="n"/>
      <c r="Q687" s="82" t="n"/>
      <c r="R687" s="82" t="n"/>
      <c r="S687" s="82" t="n"/>
      <c r="T687" s="82" t="n"/>
      <c r="U687" s="82" t="n"/>
      <c r="V687" s="82" t="n"/>
      <c r="W687" s="82" t="n"/>
      <c r="X687" s="82" t="n"/>
      <c r="Y687" s="82" t="n"/>
      <c r="Z687" s="82" t="n"/>
    </row>
    <row r="688" ht="15.75" customHeight="1" s="83">
      <c r="A688" s="82" t="n"/>
      <c r="B688" s="82" t="n"/>
      <c r="C688" s="82" t="n"/>
      <c r="D688" s="82" t="n"/>
      <c r="E688" s="81" t="n"/>
      <c r="F688" s="82" t="n"/>
      <c r="G688" s="82" t="n"/>
      <c r="H688" s="82" t="n"/>
      <c r="I688" s="82" t="n"/>
      <c r="J688" s="82" t="n"/>
      <c r="K688" s="82" t="n"/>
      <c r="L688" s="82" t="n"/>
      <c r="M688" s="82" t="n"/>
      <c r="N688" s="82" t="n"/>
      <c r="O688" s="82" t="n"/>
      <c r="P688" s="82" t="n"/>
      <c r="Q688" s="82" t="n"/>
      <c r="R688" s="82" t="n"/>
      <c r="S688" s="82" t="n"/>
      <c r="T688" s="82" t="n"/>
      <c r="U688" s="82" t="n"/>
      <c r="V688" s="82" t="n"/>
      <c r="W688" s="82" t="n"/>
      <c r="X688" s="82" t="n"/>
      <c r="Y688" s="82" t="n"/>
      <c r="Z688" s="82" t="n"/>
    </row>
    <row r="689" ht="15.75" customHeight="1" s="83">
      <c r="A689" s="82" t="n"/>
      <c r="B689" s="82" t="n"/>
      <c r="C689" s="82" t="n"/>
      <c r="D689" s="82" t="n"/>
      <c r="E689" s="81" t="n"/>
      <c r="F689" s="82" t="n"/>
      <c r="G689" s="82" t="n"/>
      <c r="H689" s="82" t="n"/>
      <c r="I689" s="82" t="n"/>
      <c r="J689" s="82" t="n"/>
      <c r="K689" s="82" t="n"/>
      <c r="L689" s="82" t="n"/>
      <c r="M689" s="82" t="n"/>
      <c r="N689" s="82" t="n"/>
      <c r="O689" s="82" t="n"/>
      <c r="P689" s="82" t="n"/>
      <c r="Q689" s="82" t="n"/>
      <c r="R689" s="82" t="n"/>
      <c r="S689" s="82" t="n"/>
      <c r="T689" s="82" t="n"/>
      <c r="U689" s="82" t="n"/>
      <c r="V689" s="82" t="n"/>
      <c r="W689" s="82" t="n"/>
      <c r="X689" s="82" t="n"/>
      <c r="Y689" s="82" t="n"/>
      <c r="Z689" s="82" t="n"/>
    </row>
    <row r="690" ht="15.75" customHeight="1" s="83">
      <c r="A690" s="82" t="n"/>
      <c r="B690" s="82" t="n"/>
      <c r="C690" s="82" t="n"/>
      <c r="D690" s="82" t="n"/>
      <c r="E690" s="81" t="n"/>
      <c r="F690" s="82" t="n"/>
      <c r="G690" s="82" t="n"/>
      <c r="H690" s="82" t="n"/>
      <c r="I690" s="82" t="n"/>
      <c r="J690" s="82" t="n"/>
      <c r="K690" s="82" t="n"/>
      <c r="L690" s="82" t="n"/>
      <c r="M690" s="82" t="n"/>
      <c r="N690" s="82" t="n"/>
      <c r="O690" s="82" t="n"/>
      <c r="P690" s="82" t="n"/>
      <c r="Q690" s="82" t="n"/>
      <c r="R690" s="82" t="n"/>
      <c r="S690" s="82" t="n"/>
      <c r="T690" s="82" t="n"/>
      <c r="U690" s="82" t="n"/>
      <c r="V690" s="82" t="n"/>
      <c r="W690" s="82" t="n"/>
      <c r="X690" s="82" t="n"/>
      <c r="Y690" s="82" t="n"/>
      <c r="Z690" s="82" t="n"/>
    </row>
    <row r="691" ht="15.75" customHeight="1" s="83">
      <c r="A691" s="82" t="n"/>
      <c r="B691" s="82" t="n"/>
      <c r="C691" s="82" t="n"/>
      <c r="D691" s="82" t="n"/>
      <c r="E691" s="81" t="n"/>
      <c r="F691" s="82" t="n"/>
      <c r="G691" s="82" t="n"/>
      <c r="H691" s="82" t="n"/>
      <c r="I691" s="82" t="n"/>
      <c r="J691" s="82" t="n"/>
      <c r="K691" s="82" t="n"/>
      <c r="L691" s="82" t="n"/>
      <c r="M691" s="82" t="n"/>
      <c r="N691" s="82" t="n"/>
      <c r="O691" s="82" t="n"/>
      <c r="P691" s="82" t="n"/>
      <c r="Q691" s="82" t="n"/>
      <c r="R691" s="82" t="n"/>
      <c r="S691" s="82" t="n"/>
      <c r="T691" s="82" t="n"/>
      <c r="U691" s="82" t="n"/>
      <c r="V691" s="82" t="n"/>
      <c r="W691" s="82" t="n"/>
      <c r="X691" s="82" t="n"/>
      <c r="Y691" s="82" t="n"/>
      <c r="Z691" s="82" t="n"/>
    </row>
    <row r="692" ht="15.75" customHeight="1" s="83">
      <c r="A692" s="82" t="n"/>
      <c r="B692" s="82" t="n"/>
      <c r="C692" s="82" t="n"/>
      <c r="D692" s="82" t="n"/>
      <c r="E692" s="81" t="n"/>
      <c r="F692" s="82" t="n"/>
      <c r="G692" s="82" t="n"/>
      <c r="H692" s="82" t="n"/>
      <c r="I692" s="82" t="n"/>
      <c r="J692" s="82" t="n"/>
      <c r="K692" s="82" t="n"/>
      <c r="L692" s="82" t="n"/>
      <c r="M692" s="82" t="n"/>
      <c r="N692" s="82" t="n"/>
      <c r="O692" s="82" t="n"/>
      <c r="P692" s="82" t="n"/>
      <c r="Q692" s="82" t="n"/>
      <c r="R692" s="82" t="n"/>
      <c r="S692" s="82" t="n"/>
      <c r="T692" s="82" t="n"/>
      <c r="U692" s="82" t="n"/>
      <c r="V692" s="82" t="n"/>
      <c r="W692" s="82" t="n"/>
      <c r="X692" s="82" t="n"/>
      <c r="Y692" s="82" t="n"/>
      <c r="Z692" s="82" t="n"/>
    </row>
    <row r="693" ht="15.75" customHeight="1" s="83">
      <c r="A693" s="82" t="n"/>
      <c r="B693" s="82" t="n"/>
      <c r="C693" s="82" t="n"/>
      <c r="D693" s="82" t="n"/>
      <c r="E693" s="81" t="n"/>
      <c r="F693" s="82" t="n"/>
      <c r="G693" s="82" t="n"/>
      <c r="H693" s="82" t="n"/>
      <c r="I693" s="82" t="n"/>
      <c r="J693" s="82" t="n"/>
      <c r="K693" s="82" t="n"/>
      <c r="L693" s="82" t="n"/>
      <c r="M693" s="82" t="n"/>
      <c r="N693" s="82" t="n"/>
      <c r="O693" s="82" t="n"/>
      <c r="P693" s="82" t="n"/>
      <c r="Q693" s="82" t="n"/>
      <c r="R693" s="82" t="n"/>
      <c r="S693" s="82" t="n"/>
      <c r="T693" s="82" t="n"/>
      <c r="U693" s="82" t="n"/>
      <c r="V693" s="82" t="n"/>
      <c r="W693" s="82" t="n"/>
      <c r="X693" s="82" t="n"/>
      <c r="Y693" s="82" t="n"/>
      <c r="Z693" s="82" t="n"/>
    </row>
    <row r="694" ht="15.75" customHeight="1" s="83">
      <c r="A694" s="82" t="n"/>
      <c r="B694" s="82" t="n"/>
      <c r="C694" s="82" t="n"/>
      <c r="D694" s="82" t="n"/>
      <c r="E694" s="81" t="n"/>
      <c r="F694" s="82" t="n"/>
      <c r="G694" s="82" t="n"/>
      <c r="H694" s="82" t="n"/>
      <c r="I694" s="82" t="n"/>
      <c r="J694" s="82" t="n"/>
      <c r="K694" s="82" t="n"/>
      <c r="L694" s="82" t="n"/>
      <c r="M694" s="82" t="n"/>
      <c r="N694" s="82" t="n"/>
      <c r="O694" s="82" t="n"/>
      <c r="P694" s="82" t="n"/>
      <c r="Q694" s="82" t="n"/>
      <c r="R694" s="82" t="n"/>
      <c r="S694" s="82" t="n"/>
      <c r="T694" s="82" t="n"/>
      <c r="U694" s="82" t="n"/>
      <c r="V694" s="82" t="n"/>
      <c r="W694" s="82" t="n"/>
      <c r="X694" s="82" t="n"/>
      <c r="Y694" s="82" t="n"/>
      <c r="Z694" s="82" t="n"/>
    </row>
    <row r="695" ht="15.75" customHeight="1" s="83">
      <c r="A695" s="82" t="n"/>
      <c r="B695" s="82" t="n"/>
      <c r="C695" s="82" t="n"/>
      <c r="D695" s="82" t="n"/>
      <c r="E695" s="81" t="n"/>
      <c r="F695" s="82" t="n"/>
      <c r="G695" s="82" t="n"/>
      <c r="H695" s="82" t="n"/>
      <c r="I695" s="82" t="n"/>
      <c r="J695" s="82" t="n"/>
      <c r="K695" s="82" t="n"/>
      <c r="L695" s="82" t="n"/>
      <c r="M695" s="82" t="n"/>
      <c r="N695" s="82" t="n"/>
      <c r="O695" s="82" t="n"/>
      <c r="P695" s="82" t="n"/>
      <c r="Q695" s="82" t="n"/>
      <c r="R695" s="82" t="n"/>
      <c r="S695" s="82" t="n"/>
      <c r="T695" s="82" t="n"/>
      <c r="U695" s="82" t="n"/>
      <c r="V695" s="82" t="n"/>
      <c r="W695" s="82" t="n"/>
      <c r="X695" s="82" t="n"/>
      <c r="Y695" s="82" t="n"/>
      <c r="Z695" s="82" t="n"/>
    </row>
    <row r="696" ht="15.75" customHeight="1" s="83">
      <c r="A696" s="82" t="n"/>
      <c r="B696" s="82" t="n"/>
      <c r="C696" s="82" t="n"/>
      <c r="D696" s="82" t="n"/>
      <c r="E696" s="81" t="n"/>
      <c r="F696" s="82" t="n"/>
      <c r="G696" s="82" t="n"/>
      <c r="H696" s="82" t="n"/>
      <c r="I696" s="82" t="n"/>
      <c r="J696" s="82" t="n"/>
      <c r="K696" s="82" t="n"/>
      <c r="L696" s="82" t="n"/>
      <c r="M696" s="82" t="n"/>
      <c r="N696" s="82" t="n"/>
      <c r="O696" s="82" t="n"/>
      <c r="P696" s="82" t="n"/>
      <c r="Q696" s="82" t="n"/>
      <c r="R696" s="82" t="n"/>
      <c r="S696" s="82" t="n"/>
      <c r="T696" s="82" t="n"/>
      <c r="U696" s="82" t="n"/>
      <c r="V696" s="82" t="n"/>
      <c r="W696" s="82" t="n"/>
      <c r="X696" s="82" t="n"/>
      <c r="Y696" s="82" t="n"/>
      <c r="Z696" s="82" t="n"/>
    </row>
    <row r="697" ht="15.75" customHeight="1" s="83">
      <c r="A697" s="82" t="n"/>
      <c r="B697" s="82" t="n"/>
      <c r="C697" s="82" t="n"/>
      <c r="D697" s="82" t="n"/>
      <c r="E697" s="81" t="n"/>
      <c r="F697" s="82" t="n"/>
      <c r="G697" s="82" t="n"/>
      <c r="H697" s="82" t="n"/>
      <c r="I697" s="82" t="n"/>
      <c r="J697" s="82" t="n"/>
      <c r="K697" s="82" t="n"/>
      <c r="L697" s="82" t="n"/>
      <c r="M697" s="82" t="n"/>
      <c r="N697" s="82" t="n"/>
      <c r="O697" s="82" t="n"/>
      <c r="P697" s="82" t="n"/>
      <c r="Q697" s="82" t="n"/>
      <c r="R697" s="82" t="n"/>
      <c r="S697" s="82" t="n"/>
      <c r="T697" s="82" t="n"/>
      <c r="U697" s="82" t="n"/>
      <c r="V697" s="82" t="n"/>
      <c r="W697" s="82" t="n"/>
      <c r="X697" s="82" t="n"/>
      <c r="Y697" s="82" t="n"/>
      <c r="Z697" s="82" t="n"/>
    </row>
    <row r="698" ht="15.75" customHeight="1" s="83">
      <c r="A698" s="82" t="n"/>
      <c r="B698" s="82" t="n"/>
      <c r="C698" s="82" t="n"/>
      <c r="D698" s="82" t="n"/>
      <c r="E698" s="81" t="n"/>
      <c r="F698" s="82" t="n"/>
      <c r="G698" s="82" t="n"/>
      <c r="H698" s="82" t="n"/>
      <c r="I698" s="82" t="n"/>
      <c r="J698" s="82" t="n"/>
      <c r="K698" s="82" t="n"/>
      <c r="L698" s="82" t="n"/>
      <c r="M698" s="82" t="n"/>
      <c r="N698" s="82" t="n"/>
      <c r="O698" s="82" t="n"/>
      <c r="P698" s="82" t="n"/>
      <c r="Q698" s="82" t="n"/>
      <c r="R698" s="82" t="n"/>
      <c r="S698" s="82" t="n"/>
      <c r="T698" s="82" t="n"/>
      <c r="U698" s="82" t="n"/>
      <c r="V698" s="82" t="n"/>
      <c r="W698" s="82" t="n"/>
      <c r="X698" s="82" t="n"/>
      <c r="Y698" s="82" t="n"/>
      <c r="Z698" s="82" t="n"/>
    </row>
    <row r="699" ht="15.75" customHeight="1" s="83">
      <c r="A699" s="82" t="n"/>
      <c r="B699" s="82" t="n"/>
      <c r="C699" s="82" t="n"/>
      <c r="D699" s="82" t="n"/>
      <c r="E699" s="81" t="n"/>
      <c r="F699" s="82" t="n"/>
      <c r="G699" s="82" t="n"/>
      <c r="H699" s="82" t="n"/>
      <c r="I699" s="82" t="n"/>
      <c r="J699" s="82" t="n"/>
      <c r="K699" s="82" t="n"/>
      <c r="L699" s="82" t="n"/>
      <c r="M699" s="82" t="n"/>
      <c r="N699" s="82" t="n"/>
      <c r="O699" s="82" t="n"/>
      <c r="P699" s="82" t="n"/>
      <c r="Q699" s="82" t="n"/>
      <c r="R699" s="82" t="n"/>
      <c r="S699" s="82" t="n"/>
      <c r="T699" s="82" t="n"/>
      <c r="U699" s="82" t="n"/>
      <c r="V699" s="82" t="n"/>
      <c r="W699" s="82" t="n"/>
      <c r="X699" s="82" t="n"/>
      <c r="Y699" s="82" t="n"/>
      <c r="Z699" s="82" t="n"/>
    </row>
    <row r="700" ht="15.75" customHeight="1" s="83">
      <c r="A700" s="82" t="n"/>
      <c r="B700" s="82" t="n"/>
      <c r="C700" s="82" t="n"/>
      <c r="D700" s="82" t="n"/>
      <c r="E700" s="81" t="n"/>
      <c r="F700" s="82" t="n"/>
      <c r="G700" s="82" t="n"/>
      <c r="H700" s="82" t="n"/>
      <c r="I700" s="82" t="n"/>
      <c r="J700" s="82" t="n"/>
      <c r="K700" s="82" t="n"/>
      <c r="L700" s="82" t="n"/>
      <c r="M700" s="82" t="n"/>
      <c r="N700" s="82" t="n"/>
      <c r="O700" s="82" t="n"/>
      <c r="P700" s="82" t="n"/>
      <c r="Q700" s="82" t="n"/>
      <c r="R700" s="82" t="n"/>
      <c r="S700" s="82" t="n"/>
      <c r="T700" s="82" t="n"/>
      <c r="U700" s="82" t="n"/>
      <c r="V700" s="82" t="n"/>
      <c r="W700" s="82" t="n"/>
      <c r="X700" s="82" t="n"/>
      <c r="Y700" s="82" t="n"/>
      <c r="Z700" s="82" t="n"/>
    </row>
    <row r="701" ht="15.75" customHeight="1" s="83">
      <c r="A701" s="82" t="n"/>
      <c r="B701" s="82" t="n"/>
      <c r="C701" s="82" t="n"/>
      <c r="D701" s="82" t="n"/>
      <c r="E701" s="81" t="n"/>
      <c r="F701" s="82" t="n"/>
      <c r="G701" s="82" t="n"/>
      <c r="H701" s="82" t="n"/>
      <c r="I701" s="82" t="n"/>
      <c r="J701" s="82" t="n"/>
      <c r="K701" s="82" t="n"/>
      <c r="L701" s="82" t="n"/>
      <c r="M701" s="82" t="n"/>
      <c r="N701" s="82" t="n"/>
      <c r="O701" s="82" t="n"/>
      <c r="P701" s="82" t="n"/>
      <c r="Q701" s="82" t="n"/>
      <c r="R701" s="82" t="n"/>
      <c r="S701" s="82" t="n"/>
      <c r="T701" s="82" t="n"/>
      <c r="U701" s="82" t="n"/>
      <c r="V701" s="82" t="n"/>
      <c r="W701" s="82" t="n"/>
      <c r="X701" s="82" t="n"/>
      <c r="Y701" s="82" t="n"/>
      <c r="Z701" s="82" t="n"/>
    </row>
    <row r="702" ht="15.75" customHeight="1" s="83">
      <c r="A702" s="82" t="n"/>
      <c r="B702" s="82" t="n"/>
      <c r="C702" s="82" t="n"/>
      <c r="D702" s="82" t="n"/>
      <c r="E702" s="81" t="n"/>
      <c r="F702" s="82" t="n"/>
      <c r="G702" s="82" t="n"/>
      <c r="H702" s="82" t="n"/>
      <c r="I702" s="82" t="n"/>
      <c r="J702" s="82" t="n"/>
      <c r="K702" s="82" t="n"/>
      <c r="L702" s="82" t="n"/>
      <c r="M702" s="82" t="n"/>
      <c r="N702" s="82" t="n"/>
      <c r="O702" s="82" t="n"/>
      <c r="P702" s="82" t="n"/>
      <c r="Q702" s="82" t="n"/>
      <c r="R702" s="82" t="n"/>
      <c r="S702" s="82" t="n"/>
      <c r="T702" s="82" t="n"/>
      <c r="U702" s="82" t="n"/>
      <c r="V702" s="82" t="n"/>
      <c r="W702" s="82" t="n"/>
      <c r="X702" s="82" t="n"/>
      <c r="Y702" s="82" t="n"/>
      <c r="Z702" s="82" t="n"/>
    </row>
    <row r="703" ht="15.75" customHeight="1" s="83">
      <c r="A703" s="82" t="n"/>
      <c r="B703" s="82" t="n"/>
      <c r="C703" s="82" t="n"/>
      <c r="D703" s="82" t="n"/>
      <c r="E703" s="81" t="n"/>
      <c r="F703" s="82" t="n"/>
      <c r="G703" s="82" t="n"/>
      <c r="H703" s="82" t="n"/>
      <c r="I703" s="82" t="n"/>
      <c r="J703" s="82" t="n"/>
      <c r="K703" s="82" t="n"/>
      <c r="L703" s="82" t="n"/>
      <c r="M703" s="82" t="n"/>
      <c r="N703" s="82" t="n"/>
      <c r="O703" s="82" t="n"/>
      <c r="P703" s="82" t="n"/>
      <c r="Q703" s="82" t="n"/>
      <c r="R703" s="82" t="n"/>
      <c r="S703" s="82" t="n"/>
      <c r="T703" s="82" t="n"/>
      <c r="U703" s="82" t="n"/>
      <c r="V703" s="82" t="n"/>
      <c r="W703" s="82" t="n"/>
      <c r="X703" s="82" t="n"/>
      <c r="Y703" s="82" t="n"/>
      <c r="Z703" s="82" t="n"/>
    </row>
    <row r="704" ht="15.75" customHeight="1" s="83">
      <c r="A704" s="82" t="n"/>
      <c r="B704" s="82" t="n"/>
      <c r="C704" s="82" t="n"/>
      <c r="D704" s="82" t="n"/>
      <c r="E704" s="81" t="n"/>
      <c r="F704" s="82" t="n"/>
      <c r="G704" s="82" t="n"/>
      <c r="H704" s="82" t="n"/>
      <c r="I704" s="82" t="n"/>
      <c r="J704" s="82" t="n"/>
      <c r="K704" s="82" t="n"/>
      <c r="L704" s="82" t="n"/>
      <c r="M704" s="82" t="n"/>
      <c r="N704" s="82" t="n"/>
      <c r="O704" s="82" t="n"/>
      <c r="P704" s="82" t="n"/>
      <c r="Q704" s="82" t="n"/>
      <c r="R704" s="82" t="n"/>
      <c r="S704" s="82" t="n"/>
      <c r="T704" s="82" t="n"/>
      <c r="U704" s="82" t="n"/>
      <c r="V704" s="82" t="n"/>
      <c r="W704" s="82" t="n"/>
      <c r="X704" s="82" t="n"/>
      <c r="Y704" s="82" t="n"/>
      <c r="Z704" s="82" t="n"/>
    </row>
    <row r="705" ht="15.75" customHeight="1" s="83">
      <c r="A705" s="82" t="n"/>
      <c r="B705" s="82" t="n"/>
      <c r="C705" s="82" t="n"/>
      <c r="D705" s="82" t="n"/>
      <c r="E705" s="81" t="n"/>
      <c r="F705" s="82" t="n"/>
      <c r="G705" s="82" t="n"/>
      <c r="H705" s="82" t="n"/>
      <c r="I705" s="82" t="n"/>
      <c r="J705" s="82" t="n"/>
      <c r="K705" s="82" t="n"/>
      <c r="L705" s="82" t="n"/>
      <c r="M705" s="82" t="n"/>
      <c r="N705" s="82" t="n"/>
      <c r="O705" s="82" t="n"/>
      <c r="P705" s="82" t="n"/>
      <c r="Q705" s="82" t="n"/>
      <c r="R705" s="82" t="n"/>
      <c r="S705" s="82" t="n"/>
      <c r="T705" s="82" t="n"/>
      <c r="U705" s="82" t="n"/>
      <c r="V705" s="82" t="n"/>
      <c r="W705" s="82" t="n"/>
      <c r="X705" s="82" t="n"/>
      <c r="Y705" s="82" t="n"/>
      <c r="Z705" s="82" t="n"/>
    </row>
    <row r="706" ht="15.75" customHeight="1" s="83">
      <c r="A706" s="82" t="n"/>
      <c r="B706" s="82" t="n"/>
      <c r="C706" s="82" t="n"/>
      <c r="D706" s="82" t="n"/>
      <c r="E706" s="81" t="n"/>
      <c r="F706" s="82" t="n"/>
      <c r="G706" s="82" t="n"/>
      <c r="H706" s="82" t="n"/>
      <c r="I706" s="82" t="n"/>
      <c r="J706" s="82" t="n"/>
      <c r="K706" s="82" t="n"/>
      <c r="L706" s="82" t="n"/>
      <c r="M706" s="82" t="n"/>
      <c r="N706" s="82" t="n"/>
      <c r="O706" s="82" t="n"/>
      <c r="P706" s="82" t="n"/>
      <c r="Q706" s="82" t="n"/>
      <c r="R706" s="82" t="n"/>
      <c r="S706" s="82" t="n"/>
      <c r="T706" s="82" t="n"/>
      <c r="U706" s="82" t="n"/>
      <c r="V706" s="82" t="n"/>
      <c r="W706" s="82" t="n"/>
      <c r="X706" s="82" t="n"/>
      <c r="Y706" s="82" t="n"/>
      <c r="Z706" s="82" t="n"/>
    </row>
    <row r="707" ht="15.75" customHeight="1" s="83">
      <c r="A707" s="82" t="n"/>
      <c r="B707" s="82" t="n"/>
      <c r="C707" s="82" t="n"/>
      <c r="D707" s="82" t="n"/>
      <c r="E707" s="81" t="n"/>
      <c r="F707" s="82" t="n"/>
      <c r="G707" s="82" t="n"/>
      <c r="H707" s="82" t="n"/>
      <c r="I707" s="82" t="n"/>
      <c r="J707" s="82" t="n"/>
      <c r="K707" s="82" t="n"/>
      <c r="L707" s="82" t="n"/>
      <c r="M707" s="82" t="n"/>
      <c r="N707" s="82" t="n"/>
      <c r="O707" s="82" t="n"/>
      <c r="P707" s="82" t="n"/>
      <c r="Q707" s="82" t="n"/>
      <c r="R707" s="82" t="n"/>
      <c r="S707" s="82" t="n"/>
      <c r="T707" s="82" t="n"/>
      <c r="U707" s="82" t="n"/>
      <c r="V707" s="82" t="n"/>
      <c r="W707" s="82" t="n"/>
      <c r="X707" s="82" t="n"/>
      <c r="Y707" s="82" t="n"/>
      <c r="Z707" s="82" t="n"/>
    </row>
    <row r="708" ht="15.75" customHeight="1" s="83">
      <c r="A708" s="82" t="n"/>
      <c r="B708" s="82" t="n"/>
      <c r="C708" s="82" t="n"/>
      <c r="D708" s="82" t="n"/>
      <c r="E708" s="81" t="n"/>
      <c r="F708" s="82" t="n"/>
      <c r="G708" s="82" t="n"/>
      <c r="H708" s="82" t="n"/>
      <c r="I708" s="82" t="n"/>
      <c r="J708" s="82" t="n"/>
      <c r="K708" s="82" t="n"/>
      <c r="L708" s="82" t="n"/>
      <c r="M708" s="82" t="n"/>
      <c r="N708" s="82" t="n"/>
      <c r="O708" s="82" t="n"/>
      <c r="P708" s="82" t="n"/>
      <c r="Q708" s="82" t="n"/>
      <c r="R708" s="82" t="n"/>
      <c r="S708" s="82" t="n"/>
      <c r="T708" s="82" t="n"/>
      <c r="U708" s="82" t="n"/>
      <c r="V708" s="82" t="n"/>
      <c r="W708" s="82" t="n"/>
      <c r="X708" s="82" t="n"/>
      <c r="Y708" s="82" t="n"/>
      <c r="Z708" s="82" t="n"/>
    </row>
    <row r="709" ht="15.75" customHeight="1" s="83">
      <c r="A709" s="82" t="n"/>
      <c r="B709" s="82" t="n"/>
      <c r="C709" s="82" t="n"/>
      <c r="D709" s="82" t="n"/>
      <c r="E709" s="81" t="n"/>
      <c r="F709" s="82" t="n"/>
      <c r="G709" s="82" t="n"/>
      <c r="H709" s="82" t="n"/>
      <c r="I709" s="82" t="n"/>
      <c r="J709" s="82" t="n"/>
      <c r="K709" s="82" t="n"/>
      <c r="L709" s="82" t="n"/>
      <c r="M709" s="82" t="n"/>
      <c r="N709" s="82" t="n"/>
      <c r="O709" s="82" t="n"/>
      <c r="P709" s="82" t="n"/>
      <c r="Q709" s="82" t="n"/>
      <c r="R709" s="82" t="n"/>
      <c r="S709" s="82" t="n"/>
      <c r="T709" s="82" t="n"/>
      <c r="U709" s="82" t="n"/>
      <c r="V709" s="82" t="n"/>
      <c r="W709" s="82" t="n"/>
      <c r="X709" s="82" t="n"/>
      <c r="Y709" s="82" t="n"/>
      <c r="Z709" s="82" t="n"/>
    </row>
    <row r="710" ht="15.75" customHeight="1" s="83">
      <c r="A710" s="82" t="n"/>
      <c r="B710" s="82" t="n"/>
      <c r="C710" s="82" t="n"/>
      <c r="D710" s="82" t="n"/>
      <c r="E710" s="81" t="n"/>
      <c r="F710" s="82" t="n"/>
      <c r="G710" s="82" t="n"/>
      <c r="H710" s="82" t="n"/>
      <c r="I710" s="82" t="n"/>
      <c r="J710" s="82" t="n"/>
      <c r="K710" s="82" t="n"/>
      <c r="L710" s="82" t="n"/>
      <c r="M710" s="82" t="n"/>
      <c r="N710" s="82" t="n"/>
      <c r="O710" s="82" t="n"/>
      <c r="P710" s="82" t="n"/>
      <c r="Q710" s="82" t="n"/>
      <c r="R710" s="82" t="n"/>
      <c r="S710" s="82" t="n"/>
      <c r="T710" s="82" t="n"/>
      <c r="U710" s="82" t="n"/>
      <c r="V710" s="82" t="n"/>
      <c r="W710" s="82" t="n"/>
      <c r="X710" s="82" t="n"/>
      <c r="Y710" s="82" t="n"/>
      <c r="Z710" s="82" t="n"/>
    </row>
    <row r="711" ht="15.75" customHeight="1" s="83">
      <c r="A711" s="82" t="n"/>
      <c r="B711" s="82" t="n"/>
      <c r="C711" s="82" t="n"/>
      <c r="D711" s="82" t="n"/>
      <c r="E711" s="81" t="n"/>
      <c r="F711" s="82" t="n"/>
      <c r="G711" s="82" t="n"/>
      <c r="H711" s="82" t="n"/>
      <c r="I711" s="82" t="n"/>
      <c r="J711" s="82" t="n"/>
      <c r="K711" s="82" t="n"/>
      <c r="L711" s="82" t="n"/>
      <c r="M711" s="82" t="n"/>
      <c r="N711" s="82" t="n"/>
      <c r="O711" s="82" t="n"/>
      <c r="P711" s="82" t="n"/>
      <c r="Q711" s="82" t="n"/>
      <c r="R711" s="82" t="n"/>
      <c r="S711" s="82" t="n"/>
      <c r="T711" s="82" t="n"/>
      <c r="U711" s="82" t="n"/>
      <c r="V711" s="82" t="n"/>
      <c r="W711" s="82" t="n"/>
      <c r="X711" s="82" t="n"/>
      <c r="Y711" s="82" t="n"/>
      <c r="Z711" s="82" t="n"/>
    </row>
    <row r="712" ht="15.75" customHeight="1" s="83">
      <c r="A712" s="82" t="n"/>
      <c r="B712" s="82" t="n"/>
      <c r="C712" s="82" t="n"/>
      <c r="D712" s="82" t="n"/>
      <c r="E712" s="81" t="n"/>
      <c r="F712" s="82" t="n"/>
      <c r="G712" s="82" t="n"/>
      <c r="H712" s="82" t="n"/>
      <c r="I712" s="82" t="n"/>
      <c r="J712" s="82" t="n"/>
      <c r="K712" s="82" t="n"/>
      <c r="L712" s="82" t="n"/>
      <c r="M712" s="82" t="n"/>
      <c r="N712" s="82" t="n"/>
      <c r="O712" s="82" t="n"/>
      <c r="P712" s="82" t="n"/>
      <c r="Q712" s="82" t="n"/>
      <c r="R712" s="82" t="n"/>
      <c r="S712" s="82" t="n"/>
      <c r="T712" s="82" t="n"/>
      <c r="U712" s="82" t="n"/>
      <c r="V712" s="82" t="n"/>
      <c r="W712" s="82" t="n"/>
      <c r="X712" s="82" t="n"/>
      <c r="Y712" s="82" t="n"/>
      <c r="Z712" s="82" t="n"/>
    </row>
    <row r="713" ht="15.75" customHeight="1" s="83">
      <c r="A713" s="82" t="n"/>
      <c r="B713" s="82" t="n"/>
      <c r="C713" s="82" t="n"/>
      <c r="D713" s="82" t="n"/>
      <c r="E713" s="81" t="n"/>
      <c r="F713" s="82" t="n"/>
      <c r="G713" s="82" t="n"/>
      <c r="H713" s="82" t="n"/>
      <c r="I713" s="82" t="n"/>
      <c r="J713" s="82" t="n"/>
      <c r="K713" s="82" t="n"/>
      <c r="L713" s="82" t="n"/>
      <c r="M713" s="82" t="n"/>
      <c r="N713" s="82" t="n"/>
      <c r="O713" s="82" t="n"/>
      <c r="P713" s="82" t="n"/>
      <c r="Q713" s="82" t="n"/>
      <c r="R713" s="82" t="n"/>
      <c r="S713" s="82" t="n"/>
      <c r="T713" s="82" t="n"/>
      <c r="U713" s="82" t="n"/>
      <c r="V713" s="82" t="n"/>
      <c r="W713" s="82" t="n"/>
      <c r="X713" s="82" t="n"/>
      <c r="Y713" s="82" t="n"/>
      <c r="Z713" s="82" t="n"/>
    </row>
    <row r="714" ht="15.75" customHeight="1" s="83">
      <c r="A714" s="82" t="n"/>
      <c r="B714" s="82" t="n"/>
      <c r="C714" s="82" t="n"/>
      <c r="D714" s="82" t="n"/>
      <c r="E714" s="81" t="n"/>
      <c r="F714" s="82" t="n"/>
      <c r="G714" s="82" t="n"/>
      <c r="H714" s="82" t="n"/>
      <c r="I714" s="82" t="n"/>
      <c r="J714" s="82" t="n"/>
      <c r="K714" s="82" t="n"/>
      <c r="L714" s="82" t="n"/>
      <c r="M714" s="82" t="n"/>
      <c r="N714" s="82" t="n"/>
      <c r="O714" s="82" t="n"/>
      <c r="P714" s="82" t="n"/>
      <c r="Q714" s="82" t="n"/>
      <c r="R714" s="82" t="n"/>
      <c r="S714" s="82" t="n"/>
      <c r="T714" s="82" t="n"/>
      <c r="U714" s="82" t="n"/>
      <c r="V714" s="82" t="n"/>
      <c r="W714" s="82" t="n"/>
      <c r="X714" s="82" t="n"/>
      <c r="Y714" s="82" t="n"/>
      <c r="Z714" s="82" t="n"/>
    </row>
    <row r="715" ht="15.75" customHeight="1" s="83">
      <c r="A715" s="82" t="n"/>
      <c r="B715" s="82" t="n"/>
      <c r="C715" s="82" t="n"/>
      <c r="D715" s="82" t="n"/>
      <c r="E715" s="81" t="n"/>
      <c r="F715" s="82" t="n"/>
      <c r="G715" s="82" t="n"/>
      <c r="H715" s="82" t="n"/>
      <c r="I715" s="82" t="n"/>
      <c r="J715" s="82" t="n"/>
      <c r="K715" s="82" t="n"/>
      <c r="L715" s="82" t="n"/>
      <c r="M715" s="82" t="n"/>
      <c r="N715" s="82" t="n"/>
      <c r="O715" s="82" t="n"/>
      <c r="P715" s="82" t="n"/>
      <c r="Q715" s="82" t="n"/>
      <c r="R715" s="82" t="n"/>
      <c r="S715" s="82" t="n"/>
      <c r="T715" s="82" t="n"/>
      <c r="U715" s="82" t="n"/>
      <c r="V715" s="82" t="n"/>
      <c r="W715" s="82" t="n"/>
      <c r="X715" s="82" t="n"/>
      <c r="Y715" s="82" t="n"/>
      <c r="Z715" s="82" t="n"/>
    </row>
    <row r="716" ht="15.75" customHeight="1" s="83">
      <c r="A716" s="82" t="n"/>
      <c r="B716" s="82" t="n"/>
      <c r="C716" s="82" t="n"/>
      <c r="D716" s="82" t="n"/>
      <c r="E716" s="81" t="n"/>
      <c r="F716" s="82" t="n"/>
      <c r="G716" s="82" t="n"/>
      <c r="H716" s="82" t="n"/>
      <c r="I716" s="82" t="n"/>
      <c r="J716" s="82" t="n"/>
      <c r="K716" s="82" t="n"/>
      <c r="L716" s="82" t="n"/>
      <c r="M716" s="82" t="n"/>
      <c r="N716" s="82" t="n"/>
      <c r="O716" s="82" t="n"/>
      <c r="P716" s="82" t="n"/>
      <c r="Q716" s="82" t="n"/>
      <c r="R716" s="82" t="n"/>
      <c r="S716" s="82" t="n"/>
      <c r="T716" s="82" t="n"/>
      <c r="U716" s="82" t="n"/>
      <c r="V716" s="82" t="n"/>
      <c r="W716" s="82" t="n"/>
      <c r="X716" s="82" t="n"/>
      <c r="Y716" s="82" t="n"/>
      <c r="Z716" s="82" t="n"/>
    </row>
    <row r="717" ht="15.75" customHeight="1" s="83">
      <c r="A717" s="82" t="n"/>
      <c r="B717" s="82" t="n"/>
      <c r="C717" s="82" t="n"/>
      <c r="D717" s="82" t="n"/>
      <c r="E717" s="81" t="n"/>
      <c r="F717" s="82" t="n"/>
      <c r="G717" s="82" t="n"/>
      <c r="H717" s="82" t="n"/>
      <c r="I717" s="82" t="n"/>
      <c r="J717" s="82" t="n"/>
      <c r="K717" s="82" t="n"/>
      <c r="L717" s="82" t="n"/>
      <c r="M717" s="82" t="n"/>
      <c r="N717" s="82" t="n"/>
      <c r="O717" s="82" t="n"/>
      <c r="P717" s="82" t="n"/>
      <c r="Q717" s="82" t="n"/>
      <c r="R717" s="82" t="n"/>
      <c r="S717" s="82" t="n"/>
      <c r="T717" s="82" t="n"/>
      <c r="U717" s="82" t="n"/>
      <c r="V717" s="82" t="n"/>
      <c r="W717" s="82" t="n"/>
      <c r="X717" s="82" t="n"/>
      <c r="Y717" s="82" t="n"/>
      <c r="Z717" s="82" t="n"/>
    </row>
    <row r="718" ht="15.75" customHeight="1" s="83">
      <c r="A718" s="82" t="n"/>
      <c r="B718" s="82" t="n"/>
      <c r="C718" s="82" t="n"/>
      <c r="D718" s="82" t="n"/>
      <c r="E718" s="81" t="n"/>
      <c r="F718" s="82" t="n"/>
      <c r="G718" s="82" t="n"/>
      <c r="H718" s="82" t="n"/>
      <c r="I718" s="82" t="n"/>
      <c r="J718" s="82" t="n"/>
      <c r="K718" s="82" t="n"/>
      <c r="L718" s="82" t="n"/>
      <c r="M718" s="82" t="n"/>
      <c r="N718" s="82" t="n"/>
      <c r="O718" s="82" t="n"/>
      <c r="P718" s="82" t="n"/>
      <c r="Q718" s="82" t="n"/>
      <c r="R718" s="82" t="n"/>
      <c r="S718" s="82" t="n"/>
      <c r="T718" s="82" t="n"/>
      <c r="U718" s="82" t="n"/>
      <c r="V718" s="82" t="n"/>
      <c r="W718" s="82" t="n"/>
      <c r="X718" s="82" t="n"/>
      <c r="Y718" s="82" t="n"/>
      <c r="Z718" s="82" t="n"/>
    </row>
    <row r="719" ht="15.75" customHeight="1" s="83">
      <c r="A719" s="82" t="n"/>
      <c r="B719" s="82" t="n"/>
      <c r="C719" s="82" t="n"/>
      <c r="D719" s="82" t="n"/>
      <c r="E719" s="81" t="n"/>
      <c r="F719" s="82" t="n"/>
      <c r="G719" s="82" t="n"/>
      <c r="H719" s="82" t="n"/>
      <c r="I719" s="82" t="n"/>
      <c r="J719" s="82" t="n"/>
      <c r="K719" s="82" t="n"/>
      <c r="L719" s="82" t="n"/>
      <c r="M719" s="82" t="n"/>
      <c r="N719" s="82" t="n"/>
      <c r="O719" s="82" t="n"/>
      <c r="P719" s="82" t="n"/>
      <c r="Q719" s="82" t="n"/>
      <c r="R719" s="82" t="n"/>
      <c r="S719" s="82" t="n"/>
      <c r="T719" s="82" t="n"/>
      <c r="U719" s="82" t="n"/>
      <c r="V719" s="82" t="n"/>
      <c r="W719" s="82" t="n"/>
      <c r="X719" s="82" t="n"/>
      <c r="Y719" s="82" t="n"/>
      <c r="Z719" s="82" t="n"/>
    </row>
    <row r="720" ht="15.75" customHeight="1" s="83">
      <c r="A720" s="82" t="n"/>
      <c r="B720" s="82" t="n"/>
      <c r="C720" s="82" t="n"/>
      <c r="D720" s="82" t="n"/>
      <c r="E720" s="81" t="n"/>
      <c r="F720" s="82" t="n"/>
      <c r="G720" s="82" t="n"/>
      <c r="H720" s="82" t="n"/>
      <c r="I720" s="82" t="n"/>
      <c r="J720" s="82" t="n"/>
      <c r="K720" s="82" t="n"/>
      <c r="L720" s="82" t="n"/>
      <c r="M720" s="82" t="n"/>
      <c r="N720" s="82" t="n"/>
      <c r="O720" s="82" t="n"/>
      <c r="P720" s="82" t="n"/>
      <c r="Q720" s="82" t="n"/>
      <c r="R720" s="82" t="n"/>
      <c r="S720" s="82" t="n"/>
      <c r="T720" s="82" t="n"/>
      <c r="U720" s="82" t="n"/>
      <c r="V720" s="82" t="n"/>
      <c r="W720" s="82" t="n"/>
      <c r="X720" s="82" t="n"/>
      <c r="Y720" s="82" t="n"/>
      <c r="Z720" s="82" t="n"/>
    </row>
    <row r="721" ht="15.75" customHeight="1" s="83">
      <c r="A721" s="82" t="n"/>
      <c r="B721" s="82" t="n"/>
      <c r="C721" s="82" t="n"/>
      <c r="D721" s="82" t="n"/>
      <c r="E721" s="81" t="n"/>
      <c r="F721" s="82" t="n"/>
      <c r="G721" s="82" t="n"/>
      <c r="H721" s="82" t="n"/>
      <c r="I721" s="82" t="n"/>
      <c r="J721" s="82" t="n"/>
      <c r="K721" s="82" t="n"/>
      <c r="L721" s="82" t="n"/>
      <c r="M721" s="82" t="n"/>
      <c r="N721" s="82" t="n"/>
      <c r="O721" s="82" t="n"/>
      <c r="P721" s="82" t="n"/>
      <c r="Q721" s="82" t="n"/>
      <c r="R721" s="82" t="n"/>
      <c r="S721" s="82" t="n"/>
      <c r="T721" s="82" t="n"/>
      <c r="U721" s="82" t="n"/>
      <c r="V721" s="82" t="n"/>
      <c r="W721" s="82" t="n"/>
      <c r="X721" s="82" t="n"/>
      <c r="Y721" s="82" t="n"/>
      <c r="Z721" s="82" t="n"/>
    </row>
    <row r="722" ht="15.75" customHeight="1" s="83">
      <c r="A722" s="82" t="n"/>
      <c r="B722" s="82" t="n"/>
      <c r="C722" s="82" t="n"/>
      <c r="D722" s="82" t="n"/>
      <c r="E722" s="81" t="n"/>
      <c r="F722" s="82" t="n"/>
      <c r="G722" s="82" t="n"/>
      <c r="H722" s="82" t="n"/>
      <c r="I722" s="82" t="n"/>
      <c r="J722" s="82" t="n"/>
      <c r="K722" s="82" t="n"/>
      <c r="L722" s="82" t="n"/>
      <c r="M722" s="82" t="n"/>
      <c r="N722" s="82" t="n"/>
      <c r="O722" s="82" t="n"/>
      <c r="P722" s="82" t="n"/>
      <c r="Q722" s="82" t="n"/>
      <c r="R722" s="82" t="n"/>
      <c r="S722" s="82" t="n"/>
      <c r="T722" s="82" t="n"/>
      <c r="U722" s="82" t="n"/>
      <c r="V722" s="82" t="n"/>
      <c r="W722" s="82" t="n"/>
      <c r="X722" s="82" t="n"/>
      <c r="Y722" s="82" t="n"/>
      <c r="Z722" s="82" t="n"/>
    </row>
    <row r="723" ht="15.75" customHeight="1" s="83">
      <c r="A723" s="82" t="n"/>
      <c r="B723" s="82" t="n"/>
      <c r="C723" s="82" t="n"/>
      <c r="D723" s="82" t="n"/>
      <c r="E723" s="81" t="n"/>
      <c r="F723" s="82" t="n"/>
      <c r="G723" s="82" t="n"/>
      <c r="H723" s="82" t="n"/>
      <c r="I723" s="82" t="n"/>
      <c r="J723" s="82" t="n"/>
      <c r="K723" s="82" t="n"/>
      <c r="L723" s="82" t="n"/>
      <c r="M723" s="82" t="n"/>
      <c r="N723" s="82" t="n"/>
      <c r="O723" s="82" t="n"/>
      <c r="P723" s="82" t="n"/>
      <c r="Q723" s="82" t="n"/>
      <c r="R723" s="82" t="n"/>
      <c r="S723" s="82" t="n"/>
      <c r="T723" s="82" t="n"/>
      <c r="U723" s="82" t="n"/>
      <c r="V723" s="82" t="n"/>
      <c r="W723" s="82" t="n"/>
      <c r="X723" s="82" t="n"/>
      <c r="Y723" s="82" t="n"/>
      <c r="Z723" s="82" t="n"/>
    </row>
    <row r="724" ht="15.75" customHeight="1" s="83">
      <c r="A724" s="82" t="n"/>
      <c r="B724" s="82" t="n"/>
      <c r="C724" s="82" t="n"/>
      <c r="D724" s="82" t="n"/>
      <c r="E724" s="81" t="n"/>
      <c r="F724" s="82" t="n"/>
      <c r="G724" s="82" t="n"/>
      <c r="H724" s="82" t="n"/>
      <c r="I724" s="82" t="n"/>
      <c r="J724" s="82" t="n"/>
      <c r="K724" s="82" t="n"/>
      <c r="L724" s="82" t="n"/>
      <c r="M724" s="82" t="n"/>
      <c r="N724" s="82" t="n"/>
      <c r="O724" s="82" t="n"/>
      <c r="P724" s="82" t="n"/>
      <c r="Q724" s="82" t="n"/>
      <c r="R724" s="82" t="n"/>
      <c r="S724" s="82" t="n"/>
      <c r="T724" s="82" t="n"/>
      <c r="U724" s="82" t="n"/>
      <c r="V724" s="82" t="n"/>
      <c r="W724" s="82" t="n"/>
      <c r="X724" s="82" t="n"/>
      <c r="Y724" s="82" t="n"/>
      <c r="Z724" s="82" t="n"/>
    </row>
    <row r="725" ht="15.75" customHeight="1" s="83">
      <c r="A725" s="82" t="n"/>
      <c r="B725" s="82" t="n"/>
      <c r="C725" s="82" t="n"/>
      <c r="D725" s="82" t="n"/>
      <c r="E725" s="81" t="n"/>
      <c r="F725" s="82" t="n"/>
      <c r="G725" s="82" t="n"/>
      <c r="H725" s="82" t="n"/>
      <c r="I725" s="82" t="n"/>
      <c r="J725" s="82" t="n"/>
      <c r="K725" s="82" t="n"/>
      <c r="L725" s="82" t="n"/>
      <c r="M725" s="82" t="n"/>
      <c r="N725" s="82" t="n"/>
      <c r="O725" s="82" t="n"/>
      <c r="P725" s="82" t="n"/>
      <c r="Q725" s="82" t="n"/>
      <c r="R725" s="82" t="n"/>
      <c r="S725" s="82" t="n"/>
      <c r="T725" s="82" t="n"/>
      <c r="U725" s="82" t="n"/>
      <c r="V725" s="82" t="n"/>
      <c r="W725" s="82" t="n"/>
      <c r="X725" s="82" t="n"/>
      <c r="Y725" s="82" t="n"/>
      <c r="Z725" s="82" t="n"/>
    </row>
    <row r="726" ht="15.75" customHeight="1" s="83">
      <c r="A726" s="82" t="n"/>
      <c r="B726" s="82" t="n"/>
      <c r="C726" s="82" t="n"/>
      <c r="D726" s="82" t="n"/>
      <c r="E726" s="81" t="n"/>
      <c r="F726" s="82" t="n"/>
      <c r="G726" s="82" t="n"/>
      <c r="H726" s="82" t="n"/>
      <c r="I726" s="82" t="n"/>
      <c r="J726" s="82" t="n"/>
      <c r="K726" s="82" t="n"/>
      <c r="L726" s="82" t="n"/>
      <c r="M726" s="82" t="n"/>
      <c r="N726" s="82" t="n"/>
      <c r="O726" s="82" t="n"/>
      <c r="P726" s="82" t="n"/>
      <c r="Q726" s="82" t="n"/>
      <c r="R726" s="82" t="n"/>
      <c r="S726" s="82" t="n"/>
      <c r="T726" s="82" t="n"/>
      <c r="U726" s="82" t="n"/>
      <c r="V726" s="82" t="n"/>
      <c r="W726" s="82" t="n"/>
      <c r="X726" s="82" t="n"/>
      <c r="Y726" s="82" t="n"/>
      <c r="Z726" s="82" t="n"/>
    </row>
    <row r="727" ht="15.75" customHeight="1" s="83">
      <c r="A727" s="82" t="n"/>
      <c r="B727" s="82" t="n"/>
      <c r="C727" s="82" t="n"/>
      <c r="D727" s="82" t="n"/>
      <c r="E727" s="81" t="n"/>
      <c r="F727" s="82" t="n"/>
      <c r="G727" s="82" t="n"/>
      <c r="H727" s="82" t="n"/>
      <c r="I727" s="82" t="n"/>
      <c r="J727" s="82" t="n"/>
      <c r="K727" s="82" t="n"/>
      <c r="L727" s="82" t="n"/>
      <c r="M727" s="82" t="n"/>
      <c r="N727" s="82" t="n"/>
      <c r="O727" s="82" t="n"/>
      <c r="P727" s="82" t="n"/>
      <c r="Q727" s="82" t="n"/>
      <c r="R727" s="82" t="n"/>
      <c r="S727" s="82" t="n"/>
      <c r="T727" s="82" t="n"/>
      <c r="U727" s="82" t="n"/>
      <c r="V727" s="82" t="n"/>
      <c r="W727" s="82" t="n"/>
      <c r="X727" s="82" t="n"/>
      <c r="Y727" s="82" t="n"/>
      <c r="Z727" s="82" t="n"/>
    </row>
    <row r="728" ht="15.75" customHeight="1" s="83">
      <c r="A728" s="82" t="n"/>
      <c r="B728" s="82" t="n"/>
      <c r="C728" s="82" t="n"/>
      <c r="D728" s="82" t="n"/>
      <c r="E728" s="81" t="n"/>
      <c r="F728" s="82" t="n"/>
      <c r="G728" s="82" t="n"/>
      <c r="H728" s="82" t="n"/>
      <c r="I728" s="82" t="n"/>
      <c r="J728" s="82" t="n"/>
      <c r="K728" s="82" t="n"/>
      <c r="L728" s="82" t="n"/>
      <c r="M728" s="82" t="n"/>
      <c r="N728" s="82" t="n"/>
      <c r="O728" s="82" t="n"/>
      <c r="P728" s="82" t="n"/>
      <c r="Q728" s="82" t="n"/>
      <c r="R728" s="82" t="n"/>
      <c r="S728" s="82" t="n"/>
      <c r="T728" s="82" t="n"/>
      <c r="U728" s="82" t="n"/>
      <c r="V728" s="82" t="n"/>
      <c r="W728" s="82" t="n"/>
      <c r="X728" s="82" t="n"/>
      <c r="Y728" s="82" t="n"/>
      <c r="Z728" s="82" t="n"/>
    </row>
    <row r="729" ht="15.75" customHeight="1" s="83">
      <c r="A729" s="82" t="n"/>
      <c r="B729" s="82" t="n"/>
      <c r="C729" s="82" t="n"/>
      <c r="D729" s="82" t="n"/>
      <c r="E729" s="81" t="n"/>
      <c r="F729" s="82" t="n"/>
      <c r="G729" s="82" t="n"/>
      <c r="H729" s="82" t="n"/>
      <c r="I729" s="82" t="n"/>
      <c r="J729" s="82" t="n"/>
      <c r="K729" s="82" t="n"/>
      <c r="L729" s="82" t="n"/>
      <c r="M729" s="82" t="n"/>
      <c r="N729" s="82" t="n"/>
      <c r="O729" s="82" t="n"/>
      <c r="P729" s="82" t="n"/>
      <c r="Q729" s="82" t="n"/>
      <c r="R729" s="82" t="n"/>
      <c r="S729" s="82" t="n"/>
      <c r="T729" s="82" t="n"/>
      <c r="U729" s="82" t="n"/>
      <c r="V729" s="82" t="n"/>
      <c r="W729" s="82" t="n"/>
      <c r="X729" s="82" t="n"/>
      <c r="Y729" s="82" t="n"/>
      <c r="Z729" s="82" t="n"/>
    </row>
    <row r="730" ht="15.75" customHeight="1" s="83">
      <c r="A730" s="82" t="n"/>
      <c r="B730" s="82" t="n"/>
      <c r="C730" s="82" t="n"/>
      <c r="D730" s="82" t="n"/>
      <c r="E730" s="81" t="n"/>
      <c r="F730" s="82" t="n"/>
      <c r="G730" s="82" t="n"/>
      <c r="H730" s="82" t="n"/>
      <c r="I730" s="82" t="n"/>
      <c r="J730" s="82" t="n"/>
      <c r="K730" s="82" t="n"/>
      <c r="L730" s="82" t="n"/>
      <c r="M730" s="82" t="n"/>
      <c r="N730" s="82" t="n"/>
      <c r="O730" s="82" t="n"/>
      <c r="P730" s="82" t="n"/>
      <c r="Q730" s="82" t="n"/>
      <c r="R730" s="82" t="n"/>
      <c r="S730" s="82" t="n"/>
      <c r="T730" s="82" t="n"/>
      <c r="U730" s="82" t="n"/>
      <c r="V730" s="82" t="n"/>
      <c r="W730" s="82" t="n"/>
      <c r="X730" s="82" t="n"/>
      <c r="Y730" s="82" t="n"/>
      <c r="Z730" s="82" t="n"/>
    </row>
    <row r="731" ht="15.75" customHeight="1" s="83">
      <c r="A731" s="82" t="n"/>
      <c r="B731" s="82" t="n"/>
      <c r="C731" s="82" t="n"/>
      <c r="D731" s="82" t="n"/>
      <c r="E731" s="81" t="n"/>
      <c r="F731" s="82" t="n"/>
      <c r="G731" s="82" t="n"/>
      <c r="H731" s="82" t="n"/>
      <c r="I731" s="82" t="n"/>
      <c r="J731" s="82" t="n"/>
      <c r="K731" s="82" t="n"/>
      <c r="L731" s="82" t="n"/>
      <c r="M731" s="82" t="n"/>
      <c r="N731" s="82" t="n"/>
      <c r="O731" s="82" t="n"/>
      <c r="P731" s="82" t="n"/>
      <c r="Q731" s="82" t="n"/>
      <c r="R731" s="82" t="n"/>
      <c r="S731" s="82" t="n"/>
      <c r="T731" s="82" t="n"/>
      <c r="U731" s="82" t="n"/>
      <c r="V731" s="82" t="n"/>
      <c r="W731" s="82" t="n"/>
      <c r="X731" s="82" t="n"/>
      <c r="Y731" s="82" t="n"/>
      <c r="Z731" s="82" t="n"/>
    </row>
    <row r="732" ht="15.75" customHeight="1" s="83">
      <c r="A732" s="82" t="n"/>
      <c r="B732" s="82" t="n"/>
      <c r="C732" s="82" t="n"/>
      <c r="D732" s="82" t="n"/>
      <c r="E732" s="81" t="n"/>
      <c r="F732" s="82" t="n"/>
      <c r="G732" s="82" t="n"/>
      <c r="H732" s="82" t="n"/>
      <c r="I732" s="82" t="n"/>
      <c r="J732" s="82" t="n"/>
      <c r="K732" s="82" t="n"/>
      <c r="L732" s="82" t="n"/>
      <c r="M732" s="82" t="n"/>
      <c r="N732" s="82" t="n"/>
      <c r="O732" s="82" t="n"/>
      <c r="P732" s="82" t="n"/>
      <c r="Q732" s="82" t="n"/>
      <c r="R732" s="82" t="n"/>
      <c r="S732" s="82" t="n"/>
      <c r="T732" s="82" t="n"/>
      <c r="U732" s="82" t="n"/>
      <c r="V732" s="82" t="n"/>
      <c r="W732" s="82" t="n"/>
      <c r="X732" s="82" t="n"/>
      <c r="Y732" s="82" t="n"/>
      <c r="Z732" s="82" t="n"/>
    </row>
    <row r="733" ht="15.75" customHeight="1" s="83">
      <c r="A733" s="82" t="n"/>
      <c r="B733" s="82" t="n"/>
      <c r="C733" s="82" t="n"/>
      <c r="D733" s="82" t="n"/>
      <c r="E733" s="81" t="n"/>
      <c r="F733" s="82" t="n"/>
      <c r="G733" s="82" t="n"/>
      <c r="H733" s="82" t="n"/>
      <c r="I733" s="82" t="n"/>
      <c r="J733" s="82" t="n"/>
      <c r="K733" s="82" t="n"/>
      <c r="L733" s="82" t="n"/>
      <c r="M733" s="82" t="n"/>
      <c r="N733" s="82" t="n"/>
      <c r="O733" s="82" t="n"/>
      <c r="P733" s="82" t="n"/>
      <c r="Q733" s="82" t="n"/>
      <c r="R733" s="82" t="n"/>
      <c r="S733" s="82" t="n"/>
      <c r="T733" s="82" t="n"/>
      <c r="U733" s="82" t="n"/>
      <c r="V733" s="82" t="n"/>
      <c r="W733" s="82" t="n"/>
      <c r="X733" s="82" t="n"/>
      <c r="Y733" s="82" t="n"/>
      <c r="Z733" s="82" t="n"/>
    </row>
    <row r="734" ht="15.75" customHeight="1" s="83">
      <c r="A734" s="82" t="n"/>
      <c r="B734" s="82" t="n"/>
      <c r="C734" s="82" t="n"/>
      <c r="D734" s="82" t="n"/>
      <c r="E734" s="81" t="n"/>
      <c r="F734" s="82" t="n"/>
      <c r="G734" s="82" t="n"/>
      <c r="H734" s="82" t="n"/>
      <c r="I734" s="82" t="n"/>
      <c r="J734" s="82" t="n"/>
      <c r="K734" s="82" t="n"/>
      <c r="L734" s="82" t="n"/>
      <c r="M734" s="82" t="n"/>
      <c r="N734" s="82" t="n"/>
      <c r="O734" s="82" t="n"/>
      <c r="P734" s="82" t="n"/>
      <c r="Q734" s="82" t="n"/>
      <c r="R734" s="82" t="n"/>
      <c r="S734" s="82" t="n"/>
      <c r="T734" s="82" t="n"/>
      <c r="U734" s="82" t="n"/>
      <c r="V734" s="82" t="n"/>
      <c r="W734" s="82" t="n"/>
      <c r="X734" s="82" t="n"/>
      <c r="Y734" s="82" t="n"/>
      <c r="Z734" s="82" t="n"/>
    </row>
    <row r="735" ht="15.75" customHeight="1" s="83">
      <c r="A735" s="82" t="n"/>
      <c r="B735" s="82" t="n"/>
      <c r="C735" s="82" t="n"/>
      <c r="D735" s="82" t="n"/>
      <c r="E735" s="81" t="n"/>
      <c r="F735" s="82" t="n"/>
      <c r="G735" s="82" t="n"/>
      <c r="H735" s="82" t="n"/>
      <c r="I735" s="82" t="n"/>
      <c r="J735" s="82" t="n"/>
      <c r="K735" s="82" t="n"/>
      <c r="L735" s="82" t="n"/>
      <c r="M735" s="82" t="n"/>
      <c r="N735" s="82" t="n"/>
      <c r="O735" s="82" t="n"/>
      <c r="P735" s="82" t="n"/>
      <c r="Q735" s="82" t="n"/>
      <c r="R735" s="82" t="n"/>
      <c r="S735" s="82" t="n"/>
      <c r="T735" s="82" t="n"/>
      <c r="U735" s="82" t="n"/>
      <c r="V735" s="82" t="n"/>
      <c r="W735" s="82" t="n"/>
      <c r="X735" s="82" t="n"/>
      <c r="Y735" s="82" t="n"/>
      <c r="Z735" s="82" t="n"/>
    </row>
    <row r="736" ht="15.75" customHeight="1" s="83">
      <c r="A736" s="82" t="n"/>
      <c r="B736" s="82" t="n"/>
      <c r="C736" s="82" t="n"/>
      <c r="D736" s="82" t="n"/>
      <c r="E736" s="81" t="n"/>
      <c r="F736" s="82" t="n"/>
      <c r="G736" s="82" t="n"/>
      <c r="H736" s="82" t="n"/>
      <c r="I736" s="82" t="n"/>
      <c r="J736" s="82" t="n"/>
      <c r="K736" s="82" t="n"/>
      <c r="L736" s="82" t="n"/>
      <c r="M736" s="82" t="n"/>
      <c r="N736" s="82" t="n"/>
      <c r="O736" s="82" t="n"/>
      <c r="P736" s="82" t="n"/>
      <c r="Q736" s="82" t="n"/>
      <c r="R736" s="82" t="n"/>
      <c r="S736" s="82" t="n"/>
      <c r="T736" s="82" t="n"/>
      <c r="U736" s="82" t="n"/>
      <c r="V736" s="82" t="n"/>
      <c r="W736" s="82" t="n"/>
      <c r="X736" s="82" t="n"/>
      <c r="Y736" s="82" t="n"/>
      <c r="Z736" s="82" t="n"/>
    </row>
    <row r="737" ht="15.75" customHeight="1" s="83">
      <c r="A737" s="82" t="n"/>
      <c r="B737" s="82" t="n"/>
      <c r="C737" s="82" t="n"/>
      <c r="D737" s="82" t="n"/>
      <c r="E737" s="81" t="n"/>
      <c r="F737" s="82" t="n"/>
      <c r="G737" s="82" t="n"/>
      <c r="H737" s="82" t="n"/>
      <c r="I737" s="82" t="n"/>
      <c r="J737" s="82" t="n"/>
      <c r="K737" s="82" t="n"/>
      <c r="L737" s="82" t="n"/>
      <c r="M737" s="82" t="n"/>
      <c r="N737" s="82" t="n"/>
      <c r="O737" s="82" t="n"/>
      <c r="P737" s="82" t="n"/>
      <c r="Q737" s="82" t="n"/>
      <c r="R737" s="82" t="n"/>
      <c r="S737" s="82" t="n"/>
      <c r="T737" s="82" t="n"/>
      <c r="U737" s="82" t="n"/>
      <c r="V737" s="82" t="n"/>
      <c r="W737" s="82" t="n"/>
      <c r="X737" s="82" t="n"/>
      <c r="Y737" s="82" t="n"/>
      <c r="Z737" s="82" t="n"/>
    </row>
    <row r="738" ht="15.75" customHeight="1" s="83">
      <c r="A738" s="82" t="n"/>
      <c r="B738" s="82" t="n"/>
      <c r="C738" s="82" t="n"/>
      <c r="D738" s="82" t="n"/>
      <c r="E738" s="81" t="n"/>
      <c r="F738" s="82" t="n"/>
      <c r="G738" s="82" t="n"/>
      <c r="H738" s="82" t="n"/>
      <c r="I738" s="82" t="n"/>
      <c r="J738" s="82" t="n"/>
      <c r="K738" s="82" t="n"/>
      <c r="L738" s="82" t="n"/>
      <c r="M738" s="82" t="n"/>
      <c r="N738" s="82" t="n"/>
      <c r="O738" s="82" t="n"/>
      <c r="P738" s="82" t="n"/>
      <c r="Q738" s="82" t="n"/>
      <c r="R738" s="82" t="n"/>
      <c r="S738" s="82" t="n"/>
      <c r="T738" s="82" t="n"/>
      <c r="U738" s="82" t="n"/>
      <c r="V738" s="82" t="n"/>
      <c r="W738" s="82" t="n"/>
      <c r="X738" s="82" t="n"/>
      <c r="Y738" s="82" t="n"/>
      <c r="Z738" s="82" t="n"/>
    </row>
    <row r="739" ht="15.75" customHeight="1" s="83">
      <c r="A739" s="82" t="n"/>
      <c r="B739" s="82" t="n"/>
      <c r="C739" s="82" t="n"/>
      <c r="D739" s="82" t="n"/>
      <c r="E739" s="81" t="n"/>
      <c r="F739" s="82" t="n"/>
      <c r="G739" s="82" t="n"/>
      <c r="H739" s="82" t="n"/>
      <c r="I739" s="82" t="n"/>
      <c r="J739" s="82" t="n"/>
      <c r="K739" s="82" t="n"/>
      <c r="L739" s="82" t="n"/>
      <c r="M739" s="82" t="n"/>
      <c r="N739" s="82" t="n"/>
      <c r="O739" s="82" t="n"/>
      <c r="P739" s="82" t="n"/>
      <c r="Q739" s="82" t="n"/>
      <c r="R739" s="82" t="n"/>
      <c r="S739" s="82" t="n"/>
      <c r="T739" s="82" t="n"/>
      <c r="U739" s="82" t="n"/>
      <c r="V739" s="82" t="n"/>
      <c r="W739" s="82" t="n"/>
      <c r="X739" s="82" t="n"/>
      <c r="Y739" s="82" t="n"/>
      <c r="Z739" s="82" t="n"/>
    </row>
    <row r="740" ht="15.75" customHeight="1" s="83">
      <c r="A740" s="82" t="n"/>
      <c r="B740" s="82" t="n"/>
      <c r="C740" s="82" t="n"/>
      <c r="D740" s="82" t="n"/>
      <c r="E740" s="81" t="n"/>
      <c r="F740" s="82" t="n"/>
      <c r="G740" s="82" t="n"/>
      <c r="H740" s="82" t="n"/>
      <c r="I740" s="82" t="n"/>
      <c r="J740" s="82" t="n"/>
      <c r="K740" s="82" t="n"/>
      <c r="L740" s="82" t="n"/>
      <c r="M740" s="82" t="n"/>
      <c r="N740" s="82" t="n"/>
      <c r="O740" s="82" t="n"/>
      <c r="P740" s="82" t="n"/>
      <c r="Q740" s="82" t="n"/>
      <c r="R740" s="82" t="n"/>
      <c r="S740" s="82" t="n"/>
      <c r="T740" s="82" t="n"/>
      <c r="U740" s="82" t="n"/>
      <c r="V740" s="82" t="n"/>
      <c r="W740" s="82" t="n"/>
      <c r="X740" s="82" t="n"/>
      <c r="Y740" s="82" t="n"/>
      <c r="Z740" s="82" t="n"/>
    </row>
    <row r="741" ht="15.75" customHeight="1" s="83">
      <c r="A741" s="82" t="n"/>
      <c r="B741" s="82" t="n"/>
      <c r="C741" s="82" t="n"/>
      <c r="D741" s="82" t="n"/>
      <c r="E741" s="81" t="n"/>
      <c r="F741" s="82" t="n"/>
      <c r="G741" s="82" t="n"/>
      <c r="H741" s="82" t="n"/>
      <c r="I741" s="82" t="n"/>
      <c r="J741" s="82" t="n"/>
      <c r="K741" s="82" t="n"/>
      <c r="L741" s="82" t="n"/>
      <c r="M741" s="82" t="n"/>
      <c r="N741" s="82" t="n"/>
      <c r="O741" s="82" t="n"/>
      <c r="P741" s="82" t="n"/>
      <c r="Q741" s="82" t="n"/>
      <c r="R741" s="82" t="n"/>
      <c r="S741" s="82" t="n"/>
      <c r="T741" s="82" t="n"/>
      <c r="U741" s="82" t="n"/>
      <c r="V741" s="82" t="n"/>
      <c r="W741" s="82" t="n"/>
      <c r="X741" s="82" t="n"/>
      <c r="Y741" s="82" t="n"/>
      <c r="Z741" s="82" t="n"/>
    </row>
    <row r="742" ht="15.75" customHeight="1" s="83">
      <c r="A742" s="82" t="n"/>
      <c r="B742" s="82" t="n"/>
      <c r="C742" s="82" t="n"/>
      <c r="D742" s="82" t="n"/>
      <c r="E742" s="81" t="n"/>
      <c r="F742" s="82" t="n"/>
      <c r="G742" s="82" t="n"/>
      <c r="H742" s="82" t="n"/>
      <c r="I742" s="82" t="n"/>
      <c r="J742" s="82" t="n"/>
      <c r="K742" s="82" t="n"/>
      <c r="L742" s="82" t="n"/>
      <c r="M742" s="82" t="n"/>
      <c r="N742" s="82" t="n"/>
      <c r="O742" s="82" t="n"/>
      <c r="P742" s="82" t="n"/>
      <c r="Q742" s="82" t="n"/>
      <c r="R742" s="82" t="n"/>
      <c r="S742" s="82" t="n"/>
      <c r="T742" s="82" t="n"/>
      <c r="U742" s="82" t="n"/>
      <c r="V742" s="82" t="n"/>
      <c r="W742" s="82" t="n"/>
      <c r="X742" s="82" t="n"/>
      <c r="Y742" s="82" t="n"/>
      <c r="Z742" s="82" t="n"/>
    </row>
    <row r="743" ht="15.75" customHeight="1" s="83">
      <c r="A743" s="82" t="n"/>
      <c r="B743" s="82" t="n"/>
      <c r="C743" s="82" t="n"/>
      <c r="D743" s="82" t="n"/>
      <c r="E743" s="81" t="n"/>
      <c r="F743" s="82" t="n"/>
      <c r="G743" s="82" t="n"/>
      <c r="H743" s="82" t="n"/>
      <c r="I743" s="82" t="n"/>
      <c r="J743" s="82" t="n"/>
      <c r="K743" s="82" t="n"/>
      <c r="L743" s="82" t="n"/>
      <c r="M743" s="82" t="n"/>
      <c r="N743" s="82" t="n"/>
      <c r="O743" s="82" t="n"/>
      <c r="P743" s="82" t="n"/>
      <c r="Q743" s="82" t="n"/>
      <c r="R743" s="82" t="n"/>
      <c r="S743" s="82" t="n"/>
      <c r="T743" s="82" t="n"/>
      <c r="U743" s="82" t="n"/>
      <c r="V743" s="82" t="n"/>
      <c r="W743" s="82" t="n"/>
      <c r="X743" s="82" t="n"/>
      <c r="Y743" s="82" t="n"/>
      <c r="Z743" s="82" t="n"/>
    </row>
    <row r="744" ht="15.75" customHeight="1" s="83">
      <c r="A744" s="82" t="n"/>
      <c r="B744" s="82" t="n"/>
      <c r="C744" s="82" t="n"/>
      <c r="D744" s="82" t="n"/>
      <c r="E744" s="81" t="n"/>
      <c r="F744" s="82" t="n"/>
      <c r="G744" s="82" t="n"/>
      <c r="H744" s="82" t="n"/>
      <c r="I744" s="82" t="n"/>
      <c r="J744" s="82" t="n"/>
      <c r="K744" s="82" t="n"/>
      <c r="L744" s="82" t="n"/>
      <c r="M744" s="82" t="n"/>
      <c r="N744" s="82" t="n"/>
      <c r="O744" s="82" t="n"/>
      <c r="P744" s="82" t="n"/>
      <c r="Q744" s="82" t="n"/>
      <c r="R744" s="82" t="n"/>
      <c r="S744" s="82" t="n"/>
      <c r="T744" s="82" t="n"/>
      <c r="U744" s="82" t="n"/>
      <c r="V744" s="82" t="n"/>
      <c r="W744" s="82" t="n"/>
      <c r="X744" s="82" t="n"/>
      <c r="Y744" s="82" t="n"/>
      <c r="Z744" s="82" t="n"/>
    </row>
    <row r="745" ht="15.75" customHeight="1" s="83">
      <c r="A745" s="82" t="n"/>
      <c r="B745" s="82" t="n"/>
      <c r="C745" s="82" t="n"/>
      <c r="D745" s="82" t="n"/>
      <c r="E745" s="81" t="n"/>
      <c r="F745" s="82" t="n"/>
      <c r="G745" s="82" t="n"/>
      <c r="H745" s="82" t="n"/>
      <c r="I745" s="82" t="n"/>
      <c r="J745" s="82" t="n"/>
      <c r="K745" s="82" t="n"/>
      <c r="L745" s="82" t="n"/>
      <c r="M745" s="82" t="n"/>
      <c r="N745" s="82" t="n"/>
      <c r="O745" s="82" t="n"/>
      <c r="P745" s="82" t="n"/>
      <c r="Q745" s="82" t="n"/>
      <c r="R745" s="82" t="n"/>
      <c r="S745" s="82" t="n"/>
      <c r="T745" s="82" t="n"/>
      <c r="U745" s="82" t="n"/>
      <c r="V745" s="82" t="n"/>
      <c r="W745" s="82" t="n"/>
      <c r="X745" s="82" t="n"/>
      <c r="Y745" s="82" t="n"/>
      <c r="Z745" s="82" t="n"/>
    </row>
    <row r="746" ht="15.75" customHeight="1" s="83">
      <c r="A746" s="82" t="n"/>
      <c r="B746" s="82" t="n"/>
      <c r="C746" s="82" t="n"/>
      <c r="D746" s="82" t="n"/>
      <c r="E746" s="81" t="n"/>
      <c r="F746" s="82" t="n"/>
      <c r="G746" s="82" t="n"/>
      <c r="H746" s="82" t="n"/>
      <c r="I746" s="82" t="n"/>
      <c r="J746" s="82" t="n"/>
      <c r="K746" s="82" t="n"/>
      <c r="L746" s="82" t="n"/>
      <c r="M746" s="82" t="n"/>
      <c r="N746" s="82" t="n"/>
      <c r="O746" s="82" t="n"/>
      <c r="P746" s="82" t="n"/>
      <c r="Q746" s="82" t="n"/>
      <c r="R746" s="82" t="n"/>
      <c r="S746" s="82" t="n"/>
      <c r="T746" s="82" t="n"/>
      <c r="U746" s="82" t="n"/>
      <c r="V746" s="82" t="n"/>
      <c r="W746" s="82" t="n"/>
      <c r="X746" s="82" t="n"/>
      <c r="Y746" s="82" t="n"/>
      <c r="Z746" s="82" t="n"/>
    </row>
    <row r="747" ht="15.75" customHeight="1" s="83">
      <c r="A747" s="82" t="n"/>
      <c r="B747" s="82" t="n"/>
      <c r="C747" s="82" t="n"/>
      <c r="D747" s="82" t="n"/>
      <c r="E747" s="81" t="n"/>
      <c r="F747" s="82" t="n"/>
      <c r="G747" s="82" t="n"/>
      <c r="H747" s="82" t="n"/>
      <c r="I747" s="82" t="n"/>
      <c r="J747" s="82" t="n"/>
      <c r="K747" s="82" t="n"/>
      <c r="L747" s="82" t="n"/>
      <c r="M747" s="82" t="n"/>
      <c r="N747" s="82" t="n"/>
      <c r="O747" s="82" t="n"/>
      <c r="P747" s="82" t="n"/>
      <c r="Q747" s="82" t="n"/>
      <c r="R747" s="82" t="n"/>
      <c r="S747" s="82" t="n"/>
      <c r="T747" s="82" t="n"/>
      <c r="U747" s="82" t="n"/>
      <c r="V747" s="82" t="n"/>
      <c r="W747" s="82" t="n"/>
      <c r="X747" s="82" t="n"/>
      <c r="Y747" s="82" t="n"/>
      <c r="Z747" s="82" t="n"/>
    </row>
    <row r="748" ht="15.75" customHeight="1" s="83">
      <c r="A748" s="82" t="n"/>
      <c r="B748" s="82" t="n"/>
      <c r="C748" s="82" t="n"/>
      <c r="D748" s="82" t="n"/>
      <c r="E748" s="81" t="n"/>
      <c r="F748" s="82" t="n"/>
      <c r="G748" s="82" t="n"/>
      <c r="H748" s="82" t="n"/>
      <c r="I748" s="82" t="n"/>
      <c r="J748" s="82" t="n"/>
      <c r="K748" s="82" t="n"/>
      <c r="L748" s="82" t="n"/>
      <c r="M748" s="82" t="n"/>
      <c r="N748" s="82" t="n"/>
      <c r="O748" s="82" t="n"/>
      <c r="P748" s="82" t="n"/>
      <c r="Q748" s="82" t="n"/>
      <c r="R748" s="82" t="n"/>
      <c r="S748" s="82" t="n"/>
      <c r="T748" s="82" t="n"/>
      <c r="U748" s="82" t="n"/>
      <c r="V748" s="82" t="n"/>
      <c r="W748" s="82" t="n"/>
      <c r="X748" s="82" t="n"/>
      <c r="Y748" s="82" t="n"/>
      <c r="Z748" s="82" t="n"/>
    </row>
    <row r="749" ht="15.75" customHeight="1" s="83">
      <c r="A749" s="82" t="n"/>
      <c r="B749" s="82" t="n"/>
      <c r="C749" s="82" t="n"/>
      <c r="D749" s="82" t="n"/>
      <c r="E749" s="81" t="n"/>
      <c r="F749" s="82" t="n"/>
      <c r="G749" s="82" t="n"/>
      <c r="H749" s="82" t="n"/>
      <c r="I749" s="82" t="n"/>
      <c r="J749" s="82" t="n"/>
      <c r="K749" s="82" t="n"/>
      <c r="L749" s="82" t="n"/>
      <c r="M749" s="82" t="n"/>
      <c r="N749" s="82" t="n"/>
      <c r="O749" s="82" t="n"/>
      <c r="P749" s="82" t="n"/>
      <c r="Q749" s="82" t="n"/>
      <c r="R749" s="82" t="n"/>
      <c r="S749" s="82" t="n"/>
      <c r="T749" s="82" t="n"/>
      <c r="U749" s="82" t="n"/>
      <c r="V749" s="82" t="n"/>
      <c r="W749" s="82" t="n"/>
      <c r="X749" s="82" t="n"/>
      <c r="Y749" s="82" t="n"/>
      <c r="Z749" s="82" t="n"/>
    </row>
    <row r="750" ht="15.75" customHeight="1" s="83">
      <c r="A750" s="82" t="n"/>
      <c r="B750" s="82" t="n"/>
      <c r="C750" s="82" t="n"/>
      <c r="D750" s="82" t="n"/>
      <c r="E750" s="81" t="n"/>
      <c r="F750" s="82" t="n"/>
      <c r="G750" s="82" t="n"/>
      <c r="H750" s="82" t="n"/>
      <c r="I750" s="82" t="n"/>
      <c r="J750" s="82" t="n"/>
      <c r="K750" s="82" t="n"/>
      <c r="L750" s="82" t="n"/>
      <c r="M750" s="82" t="n"/>
      <c r="N750" s="82" t="n"/>
      <c r="O750" s="82" t="n"/>
      <c r="P750" s="82" t="n"/>
      <c r="Q750" s="82" t="n"/>
      <c r="R750" s="82" t="n"/>
      <c r="S750" s="82" t="n"/>
      <c r="T750" s="82" t="n"/>
      <c r="U750" s="82" t="n"/>
      <c r="V750" s="82" t="n"/>
      <c r="W750" s="82" t="n"/>
      <c r="X750" s="82" t="n"/>
      <c r="Y750" s="82" t="n"/>
      <c r="Z750" s="82" t="n"/>
    </row>
    <row r="751" ht="15.75" customHeight="1" s="83">
      <c r="A751" s="82" t="n"/>
      <c r="B751" s="82" t="n"/>
      <c r="C751" s="82" t="n"/>
      <c r="D751" s="82" t="n"/>
      <c r="E751" s="81" t="n"/>
      <c r="F751" s="82" t="n"/>
      <c r="G751" s="82" t="n"/>
      <c r="H751" s="82" t="n"/>
      <c r="I751" s="82" t="n"/>
      <c r="J751" s="82" t="n"/>
      <c r="K751" s="82" t="n"/>
      <c r="L751" s="82" t="n"/>
      <c r="M751" s="82" t="n"/>
      <c r="N751" s="82" t="n"/>
      <c r="O751" s="82" t="n"/>
      <c r="P751" s="82" t="n"/>
      <c r="Q751" s="82" t="n"/>
      <c r="R751" s="82" t="n"/>
      <c r="S751" s="82" t="n"/>
      <c r="T751" s="82" t="n"/>
      <c r="U751" s="82" t="n"/>
      <c r="V751" s="82" t="n"/>
      <c r="W751" s="82" t="n"/>
      <c r="X751" s="82" t="n"/>
      <c r="Y751" s="82" t="n"/>
      <c r="Z751" s="82" t="n"/>
    </row>
    <row r="752" ht="15.75" customHeight="1" s="83">
      <c r="A752" s="82" t="n"/>
      <c r="B752" s="82" t="n"/>
      <c r="C752" s="82" t="n"/>
      <c r="D752" s="82" t="n"/>
      <c r="E752" s="81" t="n"/>
      <c r="F752" s="82" t="n"/>
      <c r="G752" s="82" t="n"/>
      <c r="H752" s="82" t="n"/>
      <c r="I752" s="82" t="n"/>
      <c r="J752" s="82" t="n"/>
      <c r="K752" s="82" t="n"/>
      <c r="L752" s="82" t="n"/>
      <c r="M752" s="82" t="n"/>
      <c r="N752" s="82" t="n"/>
      <c r="O752" s="82" t="n"/>
      <c r="P752" s="82" t="n"/>
      <c r="Q752" s="82" t="n"/>
      <c r="R752" s="82" t="n"/>
      <c r="S752" s="82" t="n"/>
      <c r="T752" s="82" t="n"/>
      <c r="U752" s="82" t="n"/>
      <c r="V752" s="82" t="n"/>
      <c r="W752" s="82" t="n"/>
      <c r="X752" s="82" t="n"/>
      <c r="Y752" s="82" t="n"/>
      <c r="Z752" s="82" t="n"/>
    </row>
    <row r="753" ht="15.75" customHeight="1" s="83">
      <c r="A753" s="82" t="n"/>
      <c r="B753" s="82" t="n"/>
      <c r="C753" s="82" t="n"/>
      <c r="D753" s="82" t="n"/>
      <c r="E753" s="81" t="n"/>
      <c r="F753" s="82" t="n"/>
      <c r="G753" s="82" t="n"/>
      <c r="H753" s="82" t="n"/>
      <c r="I753" s="82" t="n"/>
      <c r="J753" s="82" t="n"/>
      <c r="K753" s="82" t="n"/>
      <c r="L753" s="82" t="n"/>
      <c r="M753" s="82" t="n"/>
      <c r="N753" s="82" t="n"/>
      <c r="O753" s="82" t="n"/>
      <c r="P753" s="82" t="n"/>
      <c r="Q753" s="82" t="n"/>
      <c r="R753" s="82" t="n"/>
      <c r="S753" s="82" t="n"/>
      <c r="T753" s="82" t="n"/>
      <c r="U753" s="82" t="n"/>
      <c r="V753" s="82" t="n"/>
      <c r="W753" s="82" t="n"/>
      <c r="X753" s="82" t="n"/>
      <c r="Y753" s="82" t="n"/>
      <c r="Z753" s="82" t="n"/>
    </row>
    <row r="754" ht="15.75" customHeight="1" s="83">
      <c r="A754" s="82" t="n"/>
      <c r="B754" s="82" t="n"/>
      <c r="C754" s="82" t="n"/>
      <c r="D754" s="82" t="n"/>
      <c r="E754" s="81" t="n"/>
      <c r="F754" s="82" t="n"/>
      <c r="G754" s="82" t="n"/>
      <c r="H754" s="82" t="n"/>
      <c r="I754" s="82" t="n"/>
      <c r="J754" s="82" t="n"/>
      <c r="K754" s="82" t="n"/>
      <c r="L754" s="82" t="n"/>
      <c r="M754" s="82" t="n"/>
      <c r="N754" s="82" t="n"/>
      <c r="O754" s="82" t="n"/>
      <c r="P754" s="82" t="n"/>
      <c r="Q754" s="82" t="n"/>
      <c r="R754" s="82" t="n"/>
      <c r="S754" s="82" t="n"/>
      <c r="T754" s="82" t="n"/>
      <c r="U754" s="82" t="n"/>
      <c r="V754" s="82" t="n"/>
      <c r="W754" s="82" t="n"/>
      <c r="X754" s="82" t="n"/>
      <c r="Y754" s="82" t="n"/>
      <c r="Z754" s="82" t="n"/>
    </row>
    <row r="755" ht="15.75" customHeight="1" s="83">
      <c r="A755" s="82" t="n"/>
      <c r="B755" s="82" t="n"/>
      <c r="C755" s="82" t="n"/>
      <c r="D755" s="82" t="n"/>
      <c r="E755" s="81" t="n"/>
      <c r="F755" s="82" t="n"/>
      <c r="G755" s="82" t="n"/>
      <c r="H755" s="82" t="n"/>
      <c r="I755" s="82" t="n"/>
      <c r="J755" s="82" t="n"/>
      <c r="K755" s="82" t="n"/>
      <c r="L755" s="82" t="n"/>
      <c r="M755" s="82" t="n"/>
      <c r="N755" s="82" t="n"/>
      <c r="O755" s="82" t="n"/>
      <c r="P755" s="82" t="n"/>
      <c r="Q755" s="82" t="n"/>
      <c r="R755" s="82" t="n"/>
      <c r="S755" s="82" t="n"/>
      <c r="T755" s="82" t="n"/>
      <c r="U755" s="82" t="n"/>
      <c r="V755" s="82" t="n"/>
      <c r="W755" s="82" t="n"/>
      <c r="X755" s="82" t="n"/>
      <c r="Y755" s="82" t="n"/>
      <c r="Z755" s="82" t="n"/>
    </row>
    <row r="756" ht="15.75" customHeight="1" s="83">
      <c r="A756" s="82" t="n"/>
      <c r="B756" s="82" t="n"/>
      <c r="C756" s="82" t="n"/>
      <c r="D756" s="82" t="n"/>
      <c r="E756" s="81" t="n"/>
      <c r="F756" s="82" t="n"/>
      <c r="G756" s="82" t="n"/>
      <c r="H756" s="82" t="n"/>
      <c r="I756" s="82" t="n"/>
      <c r="J756" s="82" t="n"/>
      <c r="K756" s="82" t="n"/>
      <c r="L756" s="82" t="n"/>
      <c r="M756" s="82" t="n"/>
      <c r="N756" s="82" t="n"/>
      <c r="O756" s="82" t="n"/>
      <c r="P756" s="82" t="n"/>
      <c r="Q756" s="82" t="n"/>
      <c r="R756" s="82" t="n"/>
      <c r="S756" s="82" t="n"/>
      <c r="T756" s="82" t="n"/>
      <c r="U756" s="82" t="n"/>
      <c r="V756" s="82" t="n"/>
      <c r="W756" s="82" t="n"/>
      <c r="X756" s="82" t="n"/>
      <c r="Y756" s="82" t="n"/>
      <c r="Z756" s="82" t="n"/>
    </row>
    <row r="757" ht="15.75" customHeight="1" s="83">
      <c r="A757" s="82" t="n"/>
      <c r="B757" s="82" t="n"/>
      <c r="C757" s="82" t="n"/>
      <c r="D757" s="82" t="n"/>
      <c r="E757" s="81" t="n"/>
      <c r="F757" s="82" t="n"/>
      <c r="G757" s="82" t="n"/>
      <c r="H757" s="82" t="n"/>
      <c r="I757" s="82" t="n"/>
      <c r="J757" s="82" t="n"/>
      <c r="K757" s="82" t="n"/>
      <c r="L757" s="82" t="n"/>
      <c r="M757" s="82" t="n"/>
      <c r="N757" s="82" t="n"/>
      <c r="O757" s="82" t="n"/>
      <c r="P757" s="82" t="n"/>
      <c r="Q757" s="82" t="n"/>
      <c r="R757" s="82" t="n"/>
      <c r="S757" s="82" t="n"/>
      <c r="T757" s="82" t="n"/>
      <c r="U757" s="82" t="n"/>
      <c r="V757" s="82" t="n"/>
      <c r="W757" s="82" t="n"/>
      <c r="X757" s="82" t="n"/>
      <c r="Y757" s="82" t="n"/>
      <c r="Z757" s="82" t="n"/>
    </row>
    <row r="758" ht="15.75" customHeight="1" s="83">
      <c r="A758" s="82" t="n"/>
      <c r="B758" s="82" t="n"/>
      <c r="C758" s="82" t="n"/>
      <c r="D758" s="82" t="n"/>
      <c r="E758" s="81" t="n"/>
      <c r="F758" s="82" t="n"/>
      <c r="G758" s="82" t="n"/>
      <c r="H758" s="82" t="n"/>
      <c r="I758" s="82" t="n"/>
      <c r="J758" s="82" t="n"/>
      <c r="K758" s="82" t="n"/>
      <c r="L758" s="82" t="n"/>
      <c r="M758" s="82" t="n"/>
      <c r="N758" s="82" t="n"/>
      <c r="O758" s="82" t="n"/>
      <c r="P758" s="82" t="n"/>
      <c r="Q758" s="82" t="n"/>
      <c r="R758" s="82" t="n"/>
      <c r="S758" s="82" t="n"/>
      <c r="T758" s="82" t="n"/>
      <c r="U758" s="82" t="n"/>
      <c r="V758" s="82" t="n"/>
      <c r="W758" s="82" t="n"/>
      <c r="X758" s="82" t="n"/>
      <c r="Y758" s="82" t="n"/>
      <c r="Z758" s="82" t="n"/>
    </row>
    <row r="759" ht="15.75" customHeight="1" s="83">
      <c r="A759" s="82" t="n"/>
      <c r="B759" s="82" t="n"/>
      <c r="C759" s="82" t="n"/>
      <c r="D759" s="82" t="n"/>
      <c r="E759" s="81" t="n"/>
      <c r="F759" s="82" t="n"/>
      <c r="G759" s="82" t="n"/>
      <c r="H759" s="82" t="n"/>
      <c r="I759" s="82" t="n"/>
      <c r="J759" s="82" t="n"/>
      <c r="K759" s="82" t="n"/>
      <c r="L759" s="82" t="n"/>
      <c r="M759" s="82" t="n"/>
      <c r="N759" s="82" t="n"/>
      <c r="O759" s="82" t="n"/>
      <c r="P759" s="82" t="n"/>
      <c r="Q759" s="82" t="n"/>
      <c r="R759" s="82" t="n"/>
      <c r="S759" s="82" t="n"/>
      <c r="T759" s="82" t="n"/>
      <c r="U759" s="82" t="n"/>
      <c r="V759" s="82" t="n"/>
      <c r="W759" s="82" t="n"/>
      <c r="X759" s="82" t="n"/>
      <c r="Y759" s="82" t="n"/>
      <c r="Z759" s="82" t="n"/>
    </row>
    <row r="760" ht="15.75" customHeight="1" s="83">
      <c r="A760" s="82" t="n"/>
      <c r="B760" s="82" t="n"/>
      <c r="C760" s="82" t="n"/>
      <c r="D760" s="82" t="n"/>
      <c r="E760" s="81" t="n"/>
      <c r="F760" s="82" t="n"/>
      <c r="G760" s="82" t="n"/>
      <c r="H760" s="82" t="n"/>
      <c r="I760" s="82" t="n"/>
      <c r="J760" s="82" t="n"/>
      <c r="K760" s="82" t="n"/>
      <c r="L760" s="82" t="n"/>
      <c r="M760" s="82" t="n"/>
      <c r="N760" s="82" t="n"/>
      <c r="O760" s="82" t="n"/>
      <c r="P760" s="82" t="n"/>
      <c r="Q760" s="82" t="n"/>
      <c r="R760" s="82" t="n"/>
      <c r="S760" s="82" t="n"/>
      <c r="T760" s="82" t="n"/>
      <c r="U760" s="82" t="n"/>
      <c r="V760" s="82" t="n"/>
      <c r="W760" s="82" t="n"/>
      <c r="X760" s="82" t="n"/>
      <c r="Y760" s="82" t="n"/>
      <c r="Z760" s="82" t="n"/>
    </row>
    <row r="761" ht="15.75" customHeight="1" s="83">
      <c r="A761" s="82" t="n"/>
      <c r="B761" s="82" t="n"/>
      <c r="C761" s="82" t="n"/>
      <c r="D761" s="82" t="n"/>
      <c r="E761" s="81" t="n"/>
      <c r="F761" s="82" t="n"/>
      <c r="G761" s="82" t="n"/>
      <c r="H761" s="82" t="n"/>
      <c r="I761" s="82" t="n"/>
      <c r="J761" s="82" t="n"/>
      <c r="K761" s="82" t="n"/>
      <c r="L761" s="82" t="n"/>
      <c r="M761" s="82" t="n"/>
      <c r="N761" s="82" t="n"/>
      <c r="O761" s="82" t="n"/>
      <c r="P761" s="82" t="n"/>
      <c r="Q761" s="82" t="n"/>
      <c r="R761" s="82" t="n"/>
      <c r="S761" s="82" t="n"/>
      <c r="T761" s="82" t="n"/>
      <c r="U761" s="82" t="n"/>
      <c r="V761" s="82" t="n"/>
      <c r="W761" s="82" t="n"/>
      <c r="X761" s="82" t="n"/>
      <c r="Y761" s="82" t="n"/>
      <c r="Z761" s="82" t="n"/>
    </row>
    <row r="762" ht="15.75" customHeight="1" s="83">
      <c r="A762" s="82" t="n"/>
      <c r="B762" s="82" t="n"/>
      <c r="C762" s="82" t="n"/>
      <c r="D762" s="82" t="n"/>
      <c r="E762" s="81" t="n"/>
      <c r="F762" s="82" t="n"/>
      <c r="G762" s="82" t="n"/>
      <c r="H762" s="82" t="n"/>
      <c r="I762" s="82" t="n"/>
      <c r="J762" s="82" t="n"/>
      <c r="K762" s="82" t="n"/>
      <c r="L762" s="82" t="n"/>
      <c r="M762" s="82" t="n"/>
      <c r="N762" s="82" t="n"/>
      <c r="O762" s="82" t="n"/>
      <c r="P762" s="82" t="n"/>
      <c r="Q762" s="82" t="n"/>
      <c r="R762" s="82" t="n"/>
      <c r="S762" s="82" t="n"/>
      <c r="T762" s="82" t="n"/>
      <c r="U762" s="82" t="n"/>
      <c r="V762" s="82" t="n"/>
      <c r="W762" s="82" t="n"/>
      <c r="X762" s="82" t="n"/>
      <c r="Y762" s="82" t="n"/>
      <c r="Z762" s="82" t="n"/>
    </row>
    <row r="763" ht="15.75" customHeight="1" s="83">
      <c r="A763" s="82" t="n"/>
      <c r="B763" s="82" t="n"/>
      <c r="C763" s="82" t="n"/>
      <c r="D763" s="82" t="n"/>
      <c r="E763" s="81" t="n"/>
      <c r="F763" s="82" t="n"/>
      <c r="G763" s="82" t="n"/>
      <c r="H763" s="82" t="n"/>
      <c r="I763" s="82" t="n"/>
      <c r="J763" s="82" t="n"/>
      <c r="K763" s="82" t="n"/>
      <c r="L763" s="82" t="n"/>
      <c r="M763" s="82" t="n"/>
      <c r="N763" s="82" t="n"/>
      <c r="O763" s="82" t="n"/>
      <c r="P763" s="82" t="n"/>
      <c r="Q763" s="82" t="n"/>
      <c r="R763" s="82" t="n"/>
      <c r="S763" s="82" t="n"/>
      <c r="T763" s="82" t="n"/>
      <c r="U763" s="82" t="n"/>
      <c r="V763" s="82" t="n"/>
      <c r="W763" s="82" t="n"/>
      <c r="X763" s="82" t="n"/>
      <c r="Y763" s="82" t="n"/>
      <c r="Z763" s="82" t="n"/>
    </row>
    <row r="764" ht="15.75" customHeight="1" s="83">
      <c r="A764" s="82" t="n"/>
      <c r="B764" s="82" t="n"/>
      <c r="C764" s="82" t="n"/>
      <c r="D764" s="82" t="n"/>
      <c r="E764" s="81" t="n"/>
      <c r="F764" s="82" t="n"/>
      <c r="G764" s="82" t="n"/>
      <c r="H764" s="82" t="n"/>
      <c r="I764" s="82" t="n"/>
      <c r="J764" s="82" t="n"/>
      <c r="K764" s="82" t="n"/>
      <c r="L764" s="82" t="n"/>
      <c r="M764" s="82" t="n"/>
      <c r="N764" s="82" t="n"/>
      <c r="O764" s="82" t="n"/>
      <c r="P764" s="82" t="n"/>
      <c r="Q764" s="82" t="n"/>
      <c r="R764" s="82" t="n"/>
      <c r="S764" s="82" t="n"/>
      <c r="T764" s="82" t="n"/>
      <c r="U764" s="82" t="n"/>
      <c r="V764" s="82" t="n"/>
      <c r="W764" s="82" t="n"/>
      <c r="X764" s="82" t="n"/>
      <c r="Y764" s="82" t="n"/>
      <c r="Z764" s="82" t="n"/>
    </row>
    <row r="765" ht="15.75" customHeight="1" s="83">
      <c r="A765" s="82" t="n"/>
      <c r="B765" s="82" t="n"/>
      <c r="C765" s="82" t="n"/>
      <c r="D765" s="82" t="n"/>
      <c r="E765" s="81" t="n"/>
      <c r="F765" s="82" t="n"/>
      <c r="G765" s="82" t="n"/>
      <c r="H765" s="82" t="n"/>
      <c r="I765" s="82" t="n"/>
      <c r="J765" s="82" t="n"/>
      <c r="K765" s="82" t="n"/>
      <c r="L765" s="82" t="n"/>
      <c r="M765" s="82" t="n"/>
      <c r="N765" s="82" t="n"/>
      <c r="O765" s="82" t="n"/>
      <c r="P765" s="82" t="n"/>
      <c r="Q765" s="82" t="n"/>
      <c r="R765" s="82" t="n"/>
      <c r="S765" s="82" t="n"/>
      <c r="T765" s="82" t="n"/>
      <c r="U765" s="82" t="n"/>
      <c r="V765" s="82" t="n"/>
      <c r="W765" s="82" t="n"/>
      <c r="X765" s="82" t="n"/>
      <c r="Y765" s="82" t="n"/>
      <c r="Z765" s="82" t="n"/>
    </row>
    <row r="766" ht="15.75" customHeight="1" s="83">
      <c r="A766" s="82" t="n"/>
      <c r="B766" s="82" t="n"/>
      <c r="C766" s="82" t="n"/>
      <c r="D766" s="82" t="n"/>
      <c r="E766" s="81" t="n"/>
      <c r="F766" s="82" t="n"/>
      <c r="G766" s="82" t="n"/>
      <c r="H766" s="82" t="n"/>
      <c r="I766" s="82" t="n"/>
      <c r="J766" s="82" t="n"/>
      <c r="K766" s="82" t="n"/>
      <c r="L766" s="82" t="n"/>
      <c r="M766" s="82" t="n"/>
      <c r="N766" s="82" t="n"/>
      <c r="O766" s="82" t="n"/>
      <c r="P766" s="82" t="n"/>
      <c r="Q766" s="82" t="n"/>
      <c r="R766" s="82" t="n"/>
      <c r="S766" s="82" t="n"/>
      <c r="T766" s="82" t="n"/>
      <c r="U766" s="82" t="n"/>
      <c r="V766" s="82" t="n"/>
      <c r="W766" s="82" t="n"/>
      <c r="X766" s="82" t="n"/>
      <c r="Y766" s="82" t="n"/>
      <c r="Z766" s="82" t="n"/>
    </row>
    <row r="767" ht="15.75" customHeight="1" s="83">
      <c r="A767" s="82" t="n"/>
      <c r="B767" s="82" t="n"/>
      <c r="C767" s="82" t="n"/>
      <c r="D767" s="82" t="n"/>
      <c r="E767" s="81" t="n"/>
      <c r="F767" s="82" t="n"/>
      <c r="G767" s="82" t="n"/>
      <c r="H767" s="82" t="n"/>
      <c r="I767" s="82" t="n"/>
      <c r="J767" s="82" t="n"/>
      <c r="K767" s="82" t="n"/>
      <c r="L767" s="82" t="n"/>
      <c r="M767" s="82" t="n"/>
      <c r="N767" s="82" t="n"/>
      <c r="O767" s="82" t="n"/>
      <c r="P767" s="82" t="n"/>
      <c r="Q767" s="82" t="n"/>
      <c r="R767" s="82" t="n"/>
      <c r="S767" s="82" t="n"/>
      <c r="T767" s="82" t="n"/>
      <c r="U767" s="82" t="n"/>
      <c r="V767" s="82" t="n"/>
      <c r="W767" s="82" t="n"/>
      <c r="X767" s="82" t="n"/>
      <c r="Y767" s="82" t="n"/>
      <c r="Z767" s="82" t="n"/>
    </row>
    <row r="768" ht="15.75" customHeight="1" s="83">
      <c r="A768" s="82" t="n"/>
      <c r="B768" s="82" t="n"/>
      <c r="C768" s="82" t="n"/>
      <c r="D768" s="82" t="n"/>
      <c r="E768" s="81" t="n"/>
      <c r="F768" s="82" t="n"/>
      <c r="G768" s="82" t="n"/>
      <c r="H768" s="82" t="n"/>
      <c r="I768" s="82" t="n"/>
      <c r="J768" s="82" t="n"/>
      <c r="K768" s="82" t="n"/>
      <c r="L768" s="82" t="n"/>
      <c r="M768" s="82" t="n"/>
      <c r="N768" s="82" t="n"/>
      <c r="O768" s="82" t="n"/>
      <c r="P768" s="82" t="n"/>
      <c r="Q768" s="82" t="n"/>
      <c r="R768" s="82" t="n"/>
      <c r="S768" s="82" t="n"/>
      <c r="T768" s="82" t="n"/>
      <c r="U768" s="82" t="n"/>
      <c r="V768" s="82" t="n"/>
      <c r="W768" s="82" t="n"/>
      <c r="X768" s="82" t="n"/>
      <c r="Y768" s="82" t="n"/>
      <c r="Z768" s="82" t="n"/>
    </row>
    <row r="769" ht="15.75" customHeight="1" s="83">
      <c r="A769" s="82" t="n"/>
      <c r="B769" s="82" t="n"/>
      <c r="C769" s="82" t="n"/>
      <c r="D769" s="82" t="n"/>
      <c r="E769" s="81" t="n"/>
      <c r="F769" s="82" t="n"/>
      <c r="G769" s="82" t="n"/>
      <c r="H769" s="82" t="n"/>
      <c r="I769" s="82" t="n"/>
      <c r="J769" s="82" t="n"/>
      <c r="K769" s="82" t="n"/>
      <c r="L769" s="82" t="n"/>
      <c r="M769" s="82" t="n"/>
      <c r="N769" s="82" t="n"/>
      <c r="O769" s="82" t="n"/>
      <c r="P769" s="82" t="n"/>
      <c r="Q769" s="82" t="n"/>
      <c r="R769" s="82" t="n"/>
      <c r="S769" s="82" t="n"/>
      <c r="T769" s="82" t="n"/>
      <c r="U769" s="82" t="n"/>
      <c r="V769" s="82" t="n"/>
      <c r="W769" s="82" t="n"/>
      <c r="X769" s="82" t="n"/>
      <c r="Y769" s="82" t="n"/>
      <c r="Z769" s="82" t="n"/>
    </row>
    <row r="770" ht="15.75" customHeight="1" s="83">
      <c r="A770" s="82" t="n"/>
      <c r="B770" s="82" t="n"/>
      <c r="C770" s="82" t="n"/>
      <c r="D770" s="82" t="n"/>
      <c r="E770" s="81" t="n"/>
      <c r="F770" s="82" t="n"/>
      <c r="G770" s="82" t="n"/>
      <c r="H770" s="82" t="n"/>
      <c r="I770" s="82" t="n"/>
      <c r="J770" s="82" t="n"/>
      <c r="K770" s="82" t="n"/>
      <c r="L770" s="82" t="n"/>
      <c r="M770" s="82" t="n"/>
      <c r="N770" s="82" t="n"/>
      <c r="O770" s="82" t="n"/>
      <c r="P770" s="82" t="n"/>
      <c r="Q770" s="82" t="n"/>
      <c r="R770" s="82" t="n"/>
      <c r="S770" s="82" t="n"/>
      <c r="T770" s="82" t="n"/>
      <c r="U770" s="82" t="n"/>
      <c r="V770" s="82" t="n"/>
      <c r="W770" s="82" t="n"/>
      <c r="X770" s="82" t="n"/>
      <c r="Y770" s="82" t="n"/>
      <c r="Z770" s="82" t="n"/>
    </row>
    <row r="771" ht="15.75" customHeight="1" s="83">
      <c r="A771" s="82" t="n"/>
      <c r="B771" s="82" t="n"/>
      <c r="C771" s="82" t="n"/>
      <c r="D771" s="82" t="n"/>
      <c r="E771" s="81" t="n"/>
      <c r="F771" s="82" t="n"/>
      <c r="G771" s="82" t="n"/>
      <c r="H771" s="82" t="n"/>
      <c r="I771" s="82" t="n"/>
      <c r="J771" s="82" t="n"/>
      <c r="K771" s="82" t="n"/>
      <c r="L771" s="82" t="n"/>
      <c r="M771" s="82" t="n"/>
      <c r="N771" s="82" t="n"/>
      <c r="O771" s="82" t="n"/>
      <c r="P771" s="82" t="n"/>
      <c r="Q771" s="82" t="n"/>
      <c r="R771" s="82" t="n"/>
      <c r="S771" s="82" t="n"/>
      <c r="T771" s="82" t="n"/>
      <c r="U771" s="82" t="n"/>
      <c r="V771" s="82" t="n"/>
      <c r="W771" s="82" t="n"/>
      <c r="X771" s="82" t="n"/>
      <c r="Y771" s="82" t="n"/>
      <c r="Z771" s="82" t="n"/>
    </row>
    <row r="772" ht="15.75" customHeight="1" s="83">
      <c r="A772" s="82" t="n"/>
      <c r="B772" s="82" t="n"/>
      <c r="C772" s="82" t="n"/>
      <c r="D772" s="82" t="n"/>
      <c r="E772" s="81" t="n"/>
      <c r="F772" s="82" t="n"/>
      <c r="G772" s="82" t="n"/>
      <c r="H772" s="82" t="n"/>
      <c r="I772" s="82" t="n"/>
      <c r="J772" s="82" t="n"/>
      <c r="K772" s="82" t="n"/>
      <c r="L772" s="82" t="n"/>
      <c r="M772" s="82" t="n"/>
      <c r="N772" s="82" t="n"/>
      <c r="O772" s="82" t="n"/>
      <c r="P772" s="82" t="n"/>
      <c r="Q772" s="82" t="n"/>
      <c r="R772" s="82" t="n"/>
      <c r="S772" s="82" t="n"/>
      <c r="T772" s="82" t="n"/>
      <c r="U772" s="82" t="n"/>
      <c r="V772" s="82" t="n"/>
      <c r="W772" s="82" t="n"/>
      <c r="X772" s="82" t="n"/>
      <c r="Y772" s="82" t="n"/>
      <c r="Z772" s="82" t="n"/>
    </row>
    <row r="773" ht="15.75" customHeight="1" s="83">
      <c r="A773" s="82" t="n"/>
      <c r="B773" s="82" t="n"/>
      <c r="C773" s="82" t="n"/>
      <c r="D773" s="82" t="n"/>
      <c r="E773" s="81" t="n"/>
      <c r="F773" s="82" t="n"/>
      <c r="G773" s="82" t="n"/>
      <c r="H773" s="82" t="n"/>
      <c r="I773" s="82" t="n"/>
      <c r="J773" s="82" t="n"/>
      <c r="K773" s="82" t="n"/>
      <c r="L773" s="82" t="n"/>
      <c r="M773" s="82" t="n"/>
      <c r="N773" s="82" t="n"/>
      <c r="O773" s="82" t="n"/>
      <c r="P773" s="82" t="n"/>
      <c r="Q773" s="82" t="n"/>
      <c r="R773" s="82" t="n"/>
      <c r="S773" s="82" t="n"/>
      <c r="T773" s="82" t="n"/>
      <c r="U773" s="82" t="n"/>
      <c r="V773" s="82" t="n"/>
      <c r="W773" s="82" t="n"/>
      <c r="X773" s="82" t="n"/>
      <c r="Y773" s="82" t="n"/>
      <c r="Z773" s="82" t="n"/>
    </row>
    <row r="774" ht="15.75" customHeight="1" s="83">
      <c r="A774" s="82" t="n"/>
      <c r="B774" s="82" t="n"/>
      <c r="C774" s="82" t="n"/>
      <c r="D774" s="82" t="n"/>
      <c r="E774" s="81" t="n"/>
      <c r="F774" s="82" t="n"/>
      <c r="G774" s="82" t="n"/>
      <c r="H774" s="82" t="n"/>
      <c r="I774" s="82" t="n"/>
      <c r="J774" s="82" t="n"/>
      <c r="K774" s="82" t="n"/>
      <c r="L774" s="82" t="n"/>
      <c r="M774" s="82" t="n"/>
      <c r="N774" s="82" t="n"/>
      <c r="O774" s="82" t="n"/>
      <c r="P774" s="82" t="n"/>
      <c r="Q774" s="82" t="n"/>
      <c r="R774" s="82" t="n"/>
      <c r="S774" s="82" t="n"/>
      <c r="T774" s="82" t="n"/>
      <c r="U774" s="82" t="n"/>
      <c r="V774" s="82" t="n"/>
      <c r="W774" s="82" t="n"/>
      <c r="X774" s="82" t="n"/>
      <c r="Y774" s="82" t="n"/>
      <c r="Z774" s="82" t="n"/>
    </row>
    <row r="775" ht="15.75" customHeight="1" s="83">
      <c r="A775" s="82" t="n"/>
      <c r="B775" s="82" t="n"/>
      <c r="C775" s="82" t="n"/>
      <c r="D775" s="82" t="n"/>
      <c r="E775" s="81" t="n"/>
      <c r="F775" s="82" t="n"/>
      <c r="G775" s="82" t="n"/>
      <c r="H775" s="82" t="n"/>
      <c r="I775" s="82" t="n"/>
      <c r="J775" s="82" t="n"/>
      <c r="K775" s="82" t="n"/>
      <c r="L775" s="82" t="n"/>
      <c r="M775" s="82" t="n"/>
      <c r="N775" s="82" t="n"/>
      <c r="O775" s="82" t="n"/>
      <c r="P775" s="82" t="n"/>
      <c r="Q775" s="82" t="n"/>
      <c r="R775" s="82" t="n"/>
      <c r="S775" s="82" t="n"/>
      <c r="T775" s="82" t="n"/>
      <c r="U775" s="82" t="n"/>
      <c r="V775" s="82" t="n"/>
      <c r="W775" s="82" t="n"/>
      <c r="X775" s="82" t="n"/>
      <c r="Y775" s="82" t="n"/>
      <c r="Z775" s="82" t="n"/>
    </row>
    <row r="776" ht="15.75" customHeight="1" s="83">
      <c r="A776" s="82" t="n"/>
      <c r="B776" s="82" t="n"/>
      <c r="C776" s="82" t="n"/>
      <c r="D776" s="82" t="n"/>
      <c r="E776" s="81" t="n"/>
      <c r="F776" s="82" t="n"/>
      <c r="G776" s="82" t="n"/>
      <c r="H776" s="82" t="n"/>
      <c r="I776" s="82" t="n"/>
      <c r="J776" s="82" t="n"/>
      <c r="K776" s="82" t="n"/>
      <c r="L776" s="82" t="n"/>
      <c r="M776" s="82" t="n"/>
      <c r="N776" s="82" t="n"/>
      <c r="O776" s="82" t="n"/>
      <c r="P776" s="82" t="n"/>
      <c r="Q776" s="82" t="n"/>
      <c r="R776" s="82" t="n"/>
      <c r="S776" s="82" t="n"/>
      <c r="T776" s="82" t="n"/>
      <c r="U776" s="82" t="n"/>
      <c r="V776" s="82" t="n"/>
      <c r="W776" s="82" t="n"/>
      <c r="X776" s="82" t="n"/>
      <c r="Y776" s="82" t="n"/>
      <c r="Z776" s="82" t="n"/>
    </row>
    <row r="777" ht="15.75" customHeight="1" s="83">
      <c r="A777" s="82" t="n"/>
      <c r="B777" s="82" t="n"/>
      <c r="C777" s="82" t="n"/>
      <c r="D777" s="82" t="n"/>
      <c r="E777" s="81" t="n"/>
      <c r="F777" s="82" t="n"/>
      <c r="G777" s="82" t="n"/>
      <c r="H777" s="82" t="n"/>
      <c r="I777" s="82" t="n"/>
      <c r="J777" s="82" t="n"/>
      <c r="K777" s="82" t="n"/>
      <c r="L777" s="82" t="n"/>
      <c r="M777" s="82" t="n"/>
      <c r="N777" s="82" t="n"/>
      <c r="O777" s="82" t="n"/>
      <c r="P777" s="82" t="n"/>
      <c r="Q777" s="82" t="n"/>
      <c r="R777" s="82" t="n"/>
      <c r="S777" s="82" t="n"/>
      <c r="T777" s="82" t="n"/>
      <c r="U777" s="82" t="n"/>
      <c r="V777" s="82" t="n"/>
      <c r="W777" s="82" t="n"/>
      <c r="X777" s="82" t="n"/>
      <c r="Y777" s="82" t="n"/>
      <c r="Z777" s="82" t="n"/>
    </row>
    <row r="778" ht="15.75" customHeight="1" s="83">
      <c r="A778" s="82" t="n"/>
      <c r="B778" s="82" t="n"/>
      <c r="C778" s="82" t="n"/>
      <c r="D778" s="82" t="n"/>
      <c r="E778" s="81" t="n"/>
      <c r="F778" s="82" t="n"/>
      <c r="G778" s="82" t="n"/>
      <c r="H778" s="82" t="n"/>
      <c r="I778" s="82" t="n"/>
      <c r="J778" s="82" t="n"/>
      <c r="K778" s="82" t="n"/>
      <c r="L778" s="82" t="n"/>
      <c r="M778" s="82" t="n"/>
      <c r="N778" s="82" t="n"/>
      <c r="O778" s="82" t="n"/>
      <c r="P778" s="82" t="n"/>
      <c r="Q778" s="82" t="n"/>
      <c r="R778" s="82" t="n"/>
      <c r="S778" s="82" t="n"/>
      <c r="T778" s="82" t="n"/>
      <c r="U778" s="82" t="n"/>
      <c r="V778" s="82" t="n"/>
      <c r="W778" s="82" t="n"/>
      <c r="X778" s="82" t="n"/>
      <c r="Y778" s="82" t="n"/>
      <c r="Z778" s="82" t="n"/>
    </row>
    <row r="779" ht="15.75" customHeight="1" s="83">
      <c r="A779" s="82" t="n"/>
      <c r="B779" s="82" t="n"/>
      <c r="C779" s="82" t="n"/>
      <c r="D779" s="82" t="n"/>
      <c r="E779" s="81" t="n"/>
      <c r="F779" s="82" t="n"/>
      <c r="G779" s="82" t="n"/>
      <c r="H779" s="82" t="n"/>
      <c r="I779" s="82" t="n"/>
      <c r="J779" s="82" t="n"/>
      <c r="K779" s="82" t="n"/>
      <c r="L779" s="82" t="n"/>
      <c r="M779" s="82" t="n"/>
      <c r="N779" s="82" t="n"/>
      <c r="O779" s="82" t="n"/>
      <c r="P779" s="82" t="n"/>
      <c r="Q779" s="82" t="n"/>
      <c r="R779" s="82" t="n"/>
      <c r="S779" s="82" t="n"/>
      <c r="T779" s="82" t="n"/>
      <c r="U779" s="82" t="n"/>
      <c r="V779" s="82" t="n"/>
      <c r="W779" s="82" t="n"/>
      <c r="X779" s="82" t="n"/>
      <c r="Y779" s="82" t="n"/>
      <c r="Z779" s="82" t="n"/>
    </row>
    <row r="780" ht="15.75" customHeight="1" s="83">
      <c r="A780" s="82" t="n"/>
      <c r="B780" s="82" t="n"/>
      <c r="C780" s="82" t="n"/>
      <c r="D780" s="82" t="n"/>
      <c r="E780" s="81" t="n"/>
      <c r="F780" s="82" t="n"/>
      <c r="G780" s="82" t="n"/>
      <c r="H780" s="82" t="n"/>
      <c r="I780" s="82" t="n"/>
      <c r="J780" s="82" t="n"/>
      <c r="K780" s="82" t="n"/>
      <c r="L780" s="82" t="n"/>
      <c r="M780" s="82" t="n"/>
      <c r="N780" s="82" t="n"/>
      <c r="O780" s="82" t="n"/>
      <c r="P780" s="82" t="n"/>
      <c r="Q780" s="82" t="n"/>
      <c r="R780" s="82" t="n"/>
      <c r="S780" s="82" t="n"/>
      <c r="T780" s="82" t="n"/>
      <c r="U780" s="82" t="n"/>
      <c r="V780" s="82" t="n"/>
      <c r="W780" s="82" t="n"/>
      <c r="X780" s="82" t="n"/>
      <c r="Y780" s="82" t="n"/>
      <c r="Z780" s="82" t="n"/>
    </row>
    <row r="781" ht="15.75" customHeight="1" s="83">
      <c r="A781" s="82" t="n"/>
      <c r="B781" s="82" t="n"/>
      <c r="C781" s="82" t="n"/>
      <c r="D781" s="82" t="n"/>
      <c r="E781" s="81" t="n"/>
      <c r="F781" s="82" t="n"/>
      <c r="G781" s="82" t="n"/>
      <c r="H781" s="82" t="n"/>
      <c r="I781" s="82" t="n"/>
      <c r="J781" s="82" t="n"/>
      <c r="K781" s="82" t="n"/>
      <c r="L781" s="82" t="n"/>
      <c r="M781" s="82" t="n"/>
      <c r="N781" s="82" t="n"/>
      <c r="O781" s="82" t="n"/>
      <c r="P781" s="82" t="n"/>
      <c r="Q781" s="82" t="n"/>
      <c r="R781" s="82" t="n"/>
      <c r="S781" s="82" t="n"/>
      <c r="T781" s="82" t="n"/>
      <c r="U781" s="82" t="n"/>
      <c r="V781" s="82" t="n"/>
      <c r="W781" s="82" t="n"/>
      <c r="X781" s="82" t="n"/>
      <c r="Y781" s="82" t="n"/>
      <c r="Z781" s="82" t="n"/>
    </row>
    <row r="782" ht="15.75" customHeight="1" s="83">
      <c r="A782" s="82" t="n"/>
      <c r="B782" s="82" t="n"/>
      <c r="C782" s="82" t="n"/>
      <c r="D782" s="82" t="n"/>
      <c r="E782" s="81" t="n"/>
      <c r="F782" s="82" t="n"/>
      <c r="G782" s="82" t="n"/>
      <c r="H782" s="82" t="n"/>
      <c r="I782" s="82" t="n"/>
      <c r="J782" s="82" t="n"/>
      <c r="K782" s="82" t="n"/>
      <c r="L782" s="82" t="n"/>
      <c r="M782" s="82" t="n"/>
      <c r="N782" s="82" t="n"/>
      <c r="O782" s="82" t="n"/>
      <c r="P782" s="82" t="n"/>
      <c r="Q782" s="82" t="n"/>
      <c r="R782" s="82" t="n"/>
      <c r="S782" s="82" t="n"/>
      <c r="T782" s="82" t="n"/>
      <c r="U782" s="82" t="n"/>
      <c r="V782" s="82" t="n"/>
      <c r="W782" s="82" t="n"/>
      <c r="X782" s="82" t="n"/>
      <c r="Y782" s="82" t="n"/>
      <c r="Z782" s="82" t="n"/>
    </row>
    <row r="783" ht="15.75" customHeight="1" s="83">
      <c r="A783" s="82" t="n"/>
      <c r="B783" s="82" t="n"/>
      <c r="C783" s="82" t="n"/>
      <c r="D783" s="82" t="n"/>
      <c r="E783" s="81" t="n"/>
      <c r="F783" s="82" t="n"/>
      <c r="G783" s="82" t="n"/>
      <c r="H783" s="82" t="n"/>
      <c r="I783" s="82" t="n"/>
      <c r="J783" s="82" t="n"/>
      <c r="K783" s="82" t="n"/>
      <c r="L783" s="82" t="n"/>
      <c r="M783" s="82" t="n"/>
      <c r="N783" s="82" t="n"/>
      <c r="O783" s="82" t="n"/>
      <c r="P783" s="82" t="n"/>
      <c r="Q783" s="82" t="n"/>
      <c r="R783" s="82" t="n"/>
      <c r="S783" s="82" t="n"/>
      <c r="T783" s="82" t="n"/>
      <c r="U783" s="82" t="n"/>
      <c r="V783" s="82" t="n"/>
      <c r="W783" s="82" t="n"/>
      <c r="X783" s="82" t="n"/>
      <c r="Y783" s="82" t="n"/>
      <c r="Z783" s="82" t="n"/>
    </row>
    <row r="784" ht="15.75" customHeight="1" s="83">
      <c r="A784" s="82" t="n"/>
      <c r="B784" s="82" t="n"/>
      <c r="C784" s="82" t="n"/>
      <c r="D784" s="82" t="n"/>
      <c r="E784" s="81" t="n"/>
      <c r="F784" s="82" t="n"/>
      <c r="G784" s="82" t="n"/>
      <c r="H784" s="82" t="n"/>
      <c r="I784" s="82" t="n"/>
      <c r="J784" s="82" t="n"/>
      <c r="K784" s="82" t="n"/>
      <c r="L784" s="82" t="n"/>
      <c r="M784" s="82" t="n"/>
      <c r="N784" s="82" t="n"/>
      <c r="O784" s="82" t="n"/>
      <c r="P784" s="82" t="n"/>
      <c r="Q784" s="82" t="n"/>
      <c r="R784" s="82" t="n"/>
      <c r="S784" s="82" t="n"/>
      <c r="T784" s="82" t="n"/>
      <c r="U784" s="82" t="n"/>
      <c r="V784" s="82" t="n"/>
      <c r="W784" s="82" t="n"/>
      <c r="X784" s="82" t="n"/>
      <c r="Y784" s="82" t="n"/>
      <c r="Z784" s="82" t="n"/>
    </row>
    <row r="785" ht="15.75" customHeight="1" s="83">
      <c r="A785" s="82" t="n"/>
      <c r="B785" s="82" t="n"/>
      <c r="C785" s="82" t="n"/>
      <c r="D785" s="82" t="n"/>
      <c r="E785" s="81" t="n"/>
      <c r="F785" s="82" t="n"/>
      <c r="G785" s="82" t="n"/>
      <c r="H785" s="82" t="n"/>
      <c r="I785" s="82" t="n"/>
      <c r="J785" s="82" t="n"/>
      <c r="K785" s="82" t="n"/>
      <c r="L785" s="82" t="n"/>
      <c r="M785" s="82" t="n"/>
      <c r="N785" s="82" t="n"/>
      <c r="O785" s="82" t="n"/>
      <c r="P785" s="82" t="n"/>
      <c r="Q785" s="82" t="n"/>
      <c r="R785" s="82" t="n"/>
      <c r="S785" s="82" t="n"/>
      <c r="T785" s="82" t="n"/>
      <c r="U785" s="82" t="n"/>
      <c r="V785" s="82" t="n"/>
      <c r="W785" s="82" t="n"/>
      <c r="X785" s="82" t="n"/>
      <c r="Y785" s="82" t="n"/>
      <c r="Z785" s="82" t="n"/>
    </row>
    <row r="786" ht="15.75" customHeight="1" s="83">
      <c r="A786" s="82" t="n"/>
      <c r="B786" s="82" t="n"/>
      <c r="C786" s="82" t="n"/>
      <c r="D786" s="82" t="n"/>
      <c r="E786" s="81" t="n"/>
      <c r="F786" s="82" t="n"/>
      <c r="G786" s="82" t="n"/>
      <c r="H786" s="82" t="n"/>
      <c r="I786" s="82" t="n"/>
      <c r="J786" s="82" t="n"/>
      <c r="K786" s="82" t="n"/>
      <c r="L786" s="82" t="n"/>
      <c r="M786" s="82" t="n"/>
      <c r="N786" s="82" t="n"/>
      <c r="O786" s="82" t="n"/>
      <c r="P786" s="82" t="n"/>
      <c r="Q786" s="82" t="n"/>
      <c r="R786" s="82" t="n"/>
      <c r="S786" s="82" t="n"/>
      <c r="T786" s="82" t="n"/>
      <c r="U786" s="82" t="n"/>
      <c r="V786" s="82" t="n"/>
      <c r="W786" s="82" t="n"/>
      <c r="X786" s="82" t="n"/>
      <c r="Y786" s="82" t="n"/>
      <c r="Z786" s="82" t="n"/>
    </row>
    <row r="787" ht="15.75" customHeight="1" s="83">
      <c r="A787" s="82" t="n"/>
      <c r="B787" s="82" t="n"/>
      <c r="C787" s="82" t="n"/>
      <c r="D787" s="82" t="n"/>
      <c r="E787" s="81" t="n"/>
      <c r="F787" s="82" t="n"/>
      <c r="G787" s="82" t="n"/>
      <c r="H787" s="82" t="n"/>
      <c r="I787" s="82" t="n"/>
      <c r="J787" s="82" t="n"/>
      <c r="K787" s="82" t="n"/>
      <c r="L787" s="82" t="n"/>
      <c r="M787" s="82" t="n"/>
      <c r="N787" s="82" t="n"/>
      <c r="O787" s="82" t="n"/>
      <c r="P787" s="82" t="n"/>
      <c r="Q787" s="82" t="n"/>
      <c r="R787" s="82" t="n"/>
      <c r="S787" s="82" t="n"/>
      <c r="T787" s="82" t="n"/>
      <c r="U787" s="82" t="n"/>
      <c r="V787" s="82" t="n"/>
      <c r="W787" s="82" t="n"/>
      <c r="X787" s="82" t="n"/>
      <c r="Y787" s="82" t="n"/>
      <c r="Z787" s="82" t="n"/>
    </row>
    <row r="788" ht="15.75" customHeight="1" s="83">
      <c r="A788" s="82" t="n"/>
      <c r="B788" s="82" t="n"/>
      <c r="C788" s="82" t="n"/>
      <c r="D788" s="82" t="n"/>
      <c r="E788" s="81" t="n"/>
      <c r="F788" s="82" t="n"/>
      <c r="G788" s="82" t="n"/>
      <c r="H788" s="82" t="n"/>
      <c r="I788" s="82" t="n"/>
      <c r="J788" s="82" t="n"/>
      <c r="K788" s="82" t="n"/>
      <c r="L788" s="82" t="n"/>
      <c r="M788" s="82" t="n"/>
      <c r="N788" s="82" t="n"/>
      <c r="O788" s="82" t="n"/>
      <c r="P788" s="82" t="n"/>
      <c r="Q788" s="82" t="n"/>
      <c r="R788" s="82" t="n"/>
      <c r="S788" s="82" t="n"/>
      <c r="T788" s="82" t="n"/>
      <c r="U788" s="82" t="n"/>
      <c r="V788" s="82" t="n"/>
      <c r="W788" s="82" t="n"/>
      <c r="X788" s="82" t="n"/>
      <c r="Y788" s="82" t="n"/>
      <c r="Z788" s="82" t="n"/>
    </row>
    <row r="789" ht="15.75" customHeight="1" s="83">
      <c r="A789" s="82" t="n"/>
      <c r="B789" s="82" t="n"/>
      <c r="C789" s="82" t="n"/>
      <c r="D789" s="82" t="n"/>
      <c r="E789" s="81" t="n"/>
      <c r="F789" s="82" t="n"/>
      <c r="G789" s="82" t="n"/>
      <c r="H789" s="82" t="n"/>
      <c r="I789" s="82" t="n"/>
      <c r="J789" s="82" t="n"/>
      <c r="K789" s="82" t="n"/>
      <c r="L789" s="82" t="n"/>
      <c r="M789" s="82" t="n"/>
      <c r="N789" s="82" t="n"/>
      <c r="O789" s="82" t="n"/>
      <c r="P789" s="82" t="n"/>
      <c r="Q789" s="82" t="n"/>
      <c r="R789" s="82" t="n"/>
      <c r="S789" s="82" t="n"/>
      <c r="T789" s="82" t="n"/>
      <c r="U789" s="82" t="n"/>
      <c r="V789" s="82" t="n"/>
      <c r="W789" s="82" t="n"/>
      <c r="X789" s="82" t="n"/>
      <c r="Y789" s="82" t="n"/>
      <c r="Z789" s="82" t="n"/>
    </row>
    <row r="790" ht="15.75" customHeight="1" s="83">
      <c r="A790" s="82" t="n"/>
      <c r="B790" s="82" t="n"/>
      <c r="C790" s="82" t="n"/>
      <c r="D790" s="82" t="n"/>
      <c r="E790" s="81" t="n"/>
      <c r="F790" s="82" t="n"/>
      <c r="G790" s="82" t="n"/>
      <c r="H790" s="82" t="n"/>
      <c r="I790" s="82" t="n"/>
      <c r="J790" s="82" t="n"/>
      <c r="K790" s="82" t="n"/>
      <c r="L790" s="82" t="n"/>
      <c r="M790" s="82" t="n"/>
      <c r="N790" s="82" t="n"/>
      <c r="O790" s="82" t="n"/>
      <c r="P790" s="82" t="n"/>
      <c r="Q790" s="82" t="n"/>
      <c r="R790" s="82" t="n"/>
      <c r="S790" s="82" t="n"/>
      <c r="T790" s="82" t="n"/>
      <c r="U790" s="82" t="n"/>
      <c r="V790" s="82" t="n"/>
      <c r="W790" s="82" t="n"/>
      <c r="X790" s="82" t="n"/>
      <c r="Y790" s="82" t="n"/>
      <c r="Z790" s="82" t="n"/>
    </row>
    <row r="791" ht="15.75" customHeight="1" s="83">
      <c r="A791" s="82" t="n"/>
      <c r="B791" s="82" t="n"/>
      <c r="C791" s="82" t="n"/>
      <c r="D791" s="82" t="n"/>
      <c r="E791" s="81" t="n"/>
      <c r="F791" s="82" t="n"/>
      <c r="G791" s="82" t="n"/>
      <c r="H791" s="82" t="n"/>
      <c r="I791" s="82" t="n"/>
      <c r="J791" s="82" t="n"/>
      <c r="K791" s="82" t="n"/>
      <c r="L791" s="82" t="n"/>
      <c r="M791" s="82" t="n"/>
      <c r="N791" s="82" t="n"/>
      <c r="O791" s="82" t="n"/>
      <c r="P791" s="82" t="n"/>
      <c r="Q791" s="82" t="n"/>
      <c r="R791" s="82" t="n"/>
      <c r="S791" s="82" t="n"/>
      <c r="T791" s="82" t="n"/>
      <c r="U791" s="82" t="n"/>
      <c r="V791" s="82" t="n"/>
      <c r="W791" s="82" t="n"/>
      <c r="X791" s="82" t="n"/>
      <c r="Y791" s="82" t="n"/>
      <c r="Z791" s="82" t="n"/>
    </row>
    <row r="792" ht="15.75" customHeight="1" s="83">
      <c r="A792" s="82" t="n"/>
      <c r="B792" s="82" t="n"/>
      <c r="C792" s="82" t="n"/>
      <c r="D792" s="82" t="n"/>
      <c r="E792" s="81" t="n"/>
      <c r="F792" s="82" t="n"/>
      <c r="G792" s="82" t="n"/>
      <c r="H792" s="82" t="n"/>
      <c r="I792" s="82" t="n"/>
      <c r="J792" s="82" t="n"/>
      <c r="K792" s="82" t="n"/>
      <c r="L792" s="82" t="n"/>
      <c r="M792" s="82" t="n"/>
      <c r="N792" s="82" t="n"/>
      <c r="O792" s="82" t="n"/>
      <c r="P792" s="82" t="n"/>
      <c r="Q792" s="82" t="n"/>
      <c r="R792" s="82" t="n"/>
      <c r="S792" s="82" t="n"/>
      <c r="T792" s="82" t="n"/>
      <c r="U792" s="82" t="n"/>
      <c r="V792" s="82" t="n"/>
      <c r="W792" s="82" t="n"/>
      <c r="X792" s="82" t="n"/>
      <c r="Y792" s="82" t="n"/>
      <c r="Z792" s="82" t="n"/>
    </row>
    <row r="793" ht="15.75" customHeight="1" s="83">
      <c r="A793" s="82" t="n"/>
      <c r="B793" s="82" t="n"/>
      <c r="C793" s="82" t="n"/>
      <c r="D793" s="82" t="n"/>
      <c r="E793" s="81" t="n"/>
      <c r="F793" s="82" t="n"/>
      <c r="G793" s="82" t="n"/>
      <c r="H793" s="82" t="n"/>
      <c r="I793" s="82" t="n"/>
      <c r="J793" s="82" t="n"/>
      <c r="K793" s="82" t="n"/>
      <c r="L793" s="82" t="n"/>
      <c r="M793" s="82" t="n"/>
      <c r="N793" s="82" t="n"/>
      <c r="O793" s="82" t="n"/>
      <c r="P793" s="82" t="n"/>
      <c r="Q793" s="82" t="n"/>
      <c r="R793" s="82" t="n"/>
      <c r="S793" s="82" t="n"/>
      <c r="T793" s="82" t="n"/>
      <c r="U793" s="82" t="n"/>
      <c r="V793" s="82" t="n"/>
      <c r="W793" s="82" t="n"/>
      <c r="X793" s="82" t="n"/>
      <c r="Y793" s="82" t="n"/>
      <c r="Z793" s="82" t="n"/>
    </row>
    <row r="794" ht="15.75" customHeight="1" s="83">
      <c r="A794" s="82" t="n"/>
      <c r="B794" s="82" t="n"/>
      <c r="C794" s="82" t="n"/>
      <c r="D794" s="82" t="n"/>
      <c r="E794" s="81" t="n"/>
      <c r="F794" s="82" t="n"/>
      <c r="G794" s="82" t="n"/>
      <c r="H794" s="82" t="n"/>
      <c r="I794" s="82" t="n"/>
      <c r="J794" s="82" t="n"/>
      <c r="K794" s="82" t="n"/>
      <c r="L794" s="82" t="n"/>
      <c r="M794" s="82" t="n"/>
      <c r="N794" s="82" t="n"/>
      <c r="O794" s="82" t="n"/>
      <c r="P794" s="82" t="n"/>
      <c r="Q794" s="82" t="n"/>
      <c r="R794" s="82" t="n"/>
      <c r="S794" s="82" t="n"/>
      <c r="T794" s="82" t="n"/>
      <c r="U794" s="82" t="n"/>
      <c r="V794" s="82" t="n"/>
      <c r="W794" s="82" t="n"/>
      <c r="X794" s="82" t="n"/>
      <c r="Y794" s="82" t="n"/>
      <c r="Z794" s="82" t="n"/>
    </row>
    <row r="795" ht="15.75" customHeight="1" s="83">
      <c r="A795" s="82" t="n"/>
      <c r="B795" s="82" t="n"/>
      <c r="C795" s="82" t="n"/>
      <c r="D795" s="82" t="n"/>
      <c r="E795" s="81" t="n"/>
      <c r="F795" s="82" t="n"/>
      <c r="G795" s="82" t="n"/>
      <c r="H795" s="82" t="n"/>
      <c r="I795" s="82" t="n"/>
      <c r="J795" s="82" t="n"/>
      <c r="K795" s="82" t="n"/>
      <c r="L795" s="82" t="n"/>
      <c r="M795" s="82" t="n"/>
      <c r="N795" s="82" t="n"/>
      <c r="O795" s="82" t="n"/>
      <c r="P795" s="82" t="n"/>
      <c r="Q795" s="82" t="n"/>
      <c r="R795" s="82" t="n"/>
      <c r="S795" s="82" t="n"/>
      <c r="T795" s="82" t="n"/>
      <c r="U795" s="82" t="n"/>
      <c r="V795" s="82" t="n"/>
      <c r="W795" s="82" t="n"/>
      <c r="X795" s="82" t="n"/>
      <c r="Y795" s="82" t="n"/>
      <c r="Z795" s="82" t="n"/>
    </row>
    <row r="796" ht="15.75" customHeight="1" s="83">
      <c r="A796" s="82" t="n"/>
      <c r="B796" s="82" t="n"/>
      <c r="C796" s="82" t="n"/>
      <c r="D796" s="82" t="n"/>
      <c r="E796" s="81" t="n"/>
      <c r="F796" s="82" t="n"/>
      <c r="G796" s="82" t="n"/>
      <c r="H796" s="82" t="n"/>
      <c r="I796" s="82" t="n"/>
      <c r="J796" s="82" t="n"/>
      <c r="K796" s="82" t="n"/>
      <c r="L796" s="82" t="n"/>
      <c r="M796" s="82" t="n"/>
      <c r="N796" s="82" t="n"/>
      <c r="O796" s="82" t="n"/>
      <c r="P796" s="82" t="n"/>
      <c r="Q796" s="82" t="n"/>
      <c r="R796" s="82" t="n"/>
      <c r="S796" s="82" t="n"/>
      <c r="T796" s="82" t="n"/>
      <c r="U796" s="82" t="n"/>
      <c r="V796" s="82" t="n"/>
      <c r="W796" s="82" t="n"/>
      <c r="X796" s="82" t="n"/>
      <c r="Y796" s="82" t="n"/>
      <c r="Z796" s="82" t="n"/>
    </row>
    <row r="797" ht="15.75" customHeight="1" s="83">
      <c r="A797" s="82" t="n"/>
      <c r="B797" s="82" t="n"/>
      <c r="C797" s="82" t="n"/>
      <c r="D797" s="82" t="n"/>
      <c r="E797" s="81" t="n"/>
      <c r="F797" s="82" t="n"/>
      <c r="G797" s="82" t="n"/>
      <c r="H797" s="82" t="n"/>
      <c r="I797" s="82" t="n"/>
      <c r="J797" s="82" t="n"/>
      <c r="K797" s="82" t="n"/>
      <c r="L797" s="82" t="n"/>
      <c r="M797" s="82" t="n"/>
      <c r="N797" s="82" t="n"/>
      <c r="O797" s="82" t="n"/>
      <c r="P797" s="82" t="n"/>
      <c r="Q797" s="82" t="n"/>
      <c r="R797" s="82" t="n"/>
      <c r="S797" s="82" t="n"/>
      <c r="T797" s="82" t="n"/>
      <c r="U797" s="82" t="n"/>
      <c r="V797" s="82" t="n"/>
      <c r="W797" s="82" t="n"/>
      <c r="X797" s="82" t="n"/>
      <c r="Y797" s="82" t="n"/>
      <c r="Z797" s="82" t="n"/>
    </row>
    <row r="798" ht="15.75" customHeight="1" s="83">
      <c r="A798" s="82" t="n"/>
      <c r="B798" s="82" t="n"/>
      <c r="C798" s="82" t="n"/>
      <c r="D798" s="82" t="n"/>
      <c r="E798" s="81" t="n"/>
      <c r="F798" s="82" t="n"/>
      <c r="G798" s="82" t="n"/>
      <c r="H798" s="82" t="n"/>
      <c r="I798" s="82" t="n"/>
      <c r="J798" s="82" t="n"/>
      <c r="K798" s="82" t="n"/>
      <c r="L798" s="82" t="n"/>
      <c r="M798" s="82" t="n"/>
      <c r="N798" s="82" t="n"/>
      <c r="O798" s="82" t="n"/>
      <c r="P798" s="82" t="n"/>
      <c r="Q798" s="82" t="n"/>
      <c r="R798" s="82" t="n"/>
      <c r="S798" s="82" t="n"/>
      <c r="T798" s="82" t="n"/>
      <c r="U798" s="82" t="n"/>
      <c r="V798" s="82" t="n"/>
      <c r="W798" s="82" t="n"/>
      <c r="X798" s="82" t="n"/>
      <c r="Y798" s="82" t="n"/>
      <c r="Z798" s="82" t="n"/>
    </row>
    <row r="799" ht="15.75" customHeight="1" s="83">
      <c r="A799" s="82" t="n"/>
      <c r="B799" s="82" t="n"/>
      <c r="C799" s="82" t="n"/>
      <c r="D799" s="82" t="n"/>
      <c r="E799" s="81" t="n"/>
      <c r="F799" s="82" t="n"/>
      <c r="G799" s="82" t="n"/>
      <c r="H799" s="82" t="n"/>
      <c r="I799" s="82" t="n"/>
      <c r="J799" s="82" t="n"/>
      <c r="K799" s="82" t="n"/>
      <c r="L799" s="82" t="n"/>
      <c r="M799" s="82" t="n"/>
      <c r="N799" s="82" t="n"/>
      <c r="O799" s="82" t="n"/>
      <c r="P799" s="82" t="n"/>
      <c r="Q799" s="82" t="n"/>
      <c r="R799" s="82" t="n"/>
      <c r="S799" s="82" t="n"/>
      <c r="T799" s="82" t="n"/>
      <c r="U799" s="82" t="n"/>
      <c r="V799" s="82" t="n"/>
      <c r="W799" s="82" t="n"/>
      <c r="X799" s="82" t="n"/>
      <c r="Y799" s="82" t="n"/>
      <c r="Z799" s="82" t="n"/>
    </row>
    <row r="800" ht="15.75" customHeight="1" s="83">
      <c r="A800" s="82" t="n"/>
      <c r="B800" s="82" t="n"/>
      <c r="C800" s="82" t="n"/>
      <c r="D800" s="82" t="n"/>
      <c r="E800" s="81" t="n"/>
      <c r="F800" s="82" t="n"/>
      <c r="G800" s="82" t="n"/>
      <c r="H800" s="82" t="n"/>
      <c r="I800" s="82" t="n"/>
      <c r="J800" s="82" t="n"/>
      <c r="K800" s="82" t="n"/>
      <c r="L800" s="82" t="n"/>
      <c r="M800" s="82" t="n"/>
      <c r="N800" s="82" t="n"/>
      <c r="O800" s="82" t="n"/>
      <c r="P800" s="82" t="n"/>
      <c r="Q800" s="82" t="n"/>
      <c r="R800" s="82" t="n"/>
      <c r="S800" s="82" t="n"/>
      <c r="T800" s="82" t="n"/>
      <c r="U800" s="82" t="n"/>
      <c r="V800" s="82" t="n"/>
      <c r="W800" s="82" t="n"/>
      <c r="X800" s="82" t="n"/>
      <c r="Y800" s="82" t="n"/>
      <c r="Z800" s="82" t="n"/>
    </row>
    <row r="801" ht="15.75" customHeight="1" s="83">
      <c r="A801" s="82" t="n"/>
      <c r="B801" s="82" t="n"/>
      <c r="C801" s="82" t="n"/>
      <c r="D801" s="82" t="n"/>
      <c r="E801" s="81" t="n"/>
      <c r="F801" s="82" t="n"/>
      <c r="G801" s="82" t="n"/>
      <c r="H801" s="82" t="n"/>
      <c r="I801" s="82" t="n"/>
      <c r="J801" s="82" t="n"/>
      <c r="K801" s="82" t="n"/>
      <c r="L801" s="82" t="n"/>
      <c r="M801" s="82" t="n"/>
      <c r="N801" s="82" t="n"/>
      <c r="O801" s="82" t="n"/>
      <c r="P801" s="82" t="n"/>
      <c r="Q801" s="82" t="n"/>
      <c r="R801" s="82" t="n"/>
      <c r="S801" s="82" t="n"/>
      <c r="T801" s="82" t="n"/>
      <c r="U801" s="82" t="n"/>
      <c r="V801" s="82" t="n"/>
      <c r="W801" s="82" t="n"/>
      <c r="X801" s="82" t="n"/>
      <c r="Y801" s="82" t="n"/>
      <c r="Z801" s="82" t="n"/>
    </row>
    <row r="802" ht="15.75" customHeight="1" s="83">
      <c r="A802" s="82" t="n"/>
      <c r="B802" s="82" t="n"/>
      <c r="C802" s="82" t="n"/>
      <c r="D802" s="82" t="n"/>
      <c r="E802" s="81" t="n"/>
      <c r="F802" s="82" t="n"/>
      <c r="G802" s="82" t="n"/>
      <c r="H802" s="82" t="n"/>
      <c r="I802" s="82" t="n"/>
      <c r="J802" s="82" t="n"/>
      <c r="K802" s="82" t="n"/>
      <c r="L802" s="82" t="n"/>
      <c r="M802" s="82" t="n"/>
      <c r="N802" s="82" t="n"/>
      <c r="O802" s="82" t="n"/>
      <c r="P802" s="82" t="n"/>
      <c r="Q802" s="82" t="n"/>
      <c r="R802" s="82" t="n"/>
      <c r="S802" s="82" t="n"/>
      <c r="T802" s="82" t="n"/>
      <c r="U802" s="82" t="n"/>
      <c r="V802" s="82" t="n"/>
      <c r="W802" s="82" t="n"/>
      <c r="X802" s="82" t="n"/>
      <c r="Y802" s="82" t="n"/>
      <c r="Z802" s="82" t="n"/>
    </row>
    <row r="803" ht="15.75" customHeight="1" s="83">
      <c r="A803" s="82" t="n"/>
      <c r="B803" s="82" t="n"/>
      <c r="C803" s="82" t="n"/>
      <c r="D803" s="82" t="n"/>
      <c r="E803" s="81" t="n"/>
      <c r="F803" s="82" t="n"/>
      <c r="G803" s="82" t="n"/>
      <c r="H803" s="82" t="n"/>
      <c r="I803" s="82" t="n"/>
      <c r="J803" s="82" t="n"/>
      <c r="K803" s="82" t="n"/>
      <c r="L803" s="82" t="n"/>
      <c r="M803" s="82" t="n"/>
      <c r="N803" s="82" t="n"/>
      <c r="O803" s="82" t="n"/>
      <c r="P803" s="82" t="n"/>
      <c r="Q803" s="82" t="n"/>
      <c r="R803" s="82" t="n"/>
      <c r="S803" s="82" t="n"/>
      <c r="T803" s="82" t="n"/>
      <c r="U803" s="82" t="n"/>
      <c r="V803" s="82" t="n"/>
      <c r="W803" s="82" t="n"/>
      <c r="X803" s="82" t="n"/>
      <c r="Y803" s="82" t="n"/>
      <c r="Z803" s="82" t="n"/>
    </row>
    <row r="804" ht="15.75" customHeight="1" s="83">
      <c r="A804" s="82" t="n"/>
      <c r="B804" s="82" t="n"/>
      <c r="C804" s="82" t="n"/>
      <c r="D804" s="82" t="n"/>
      <c r="E804" s="81" t="n"/>
      <c r="F804" s="82" t="n"/>
      <c r="G804" s="82" t="n"/>
      <c r="H804" s="82" t="n"/>
      <c r="I804" s="82" t="n"/>
      <c r="J804" s="82" t="n"/>
      <c r="K804" s="82" t="n"/>
      <c r="L804" s="82" t="n"/>
      <c r="M804" s="82" t="n"/>
      <c r="N804" s="82" t="n"/>
      <c r="O804" s="82" t="n"/>
      <c r="P804" s="82" t="n"/>
      <c r="Q804" s="82" t="n"/>
      <c r="R804" s="82" t="n"/>
      <c r="S804" s="82" t="n"/>
      <c r="T804" s="82" t="n"/>
      <c r="U804" s="82" t="n"/>
      <c r="V804" s="82" t="n"/>
      <c r="W804" s="82" t="n"/>
      <c r="X804" s="82" t="n"/>
      <c r="Y804" s="82" t="n"/>
      <c r="Z804" s="82" t="n"/>
    </row>
    <row r="805" ht="15.75" customHeight="1" s="83">
      <c r="A805" s="82" t="n"/>
      <c r="B805" s="82" t="n"/>
      <c r="C805" s="82" t="n"/>
      <c r="D805" s="82" t="n"/>
      <c r="E805" s="81" t="n"/>
      <c r="F805" s="82" t="n"/>
      <c r="G805" s="82" t="n"/>
      <c r="H805" s="82" t="n"/>
      <c r="I805" s="82" t="n"/>
      <c r="J805" s="82" t="n"/>
      <c r="K805" s="82" t="n"/>
      <c r="L805" s="82" t="n"/>
      <c r="M805" s="82" t="n"/>
      <c r="N805" s="82" t="n"/>
      <c r="O805" s="82" t="n"/>
      <c r="P805" s="82" t="n"/>
      <c r="Q805" s="82" t="n"/>
      <c r="R805" s="82" t="n"/>
      <c r="S805" s="82" t="n"/>
      <c r="T805" s="82" t="n"/>
      <c r="U805" s="82" t="n"/>
      <c r="V805" s="82" t="n"/>
      <c r="W805" s="82" t="n"/>
      <c r="X805" s="82" t="n"/>
      <c r="Y805" s="82" t="n"/>
      <c r="Z805" s="82" t="n"/>
    </row>
    <row r="806" ht="15.75" customHeight="1" s="83">
      <c r="A806" s="82" t="n"/>
      <c r="B806" s="82" t="n"/>
      <c r="C806" s="82" t="n"/>
      <c r="D806" s="82" t="n"/>
      <c r="E806" s="81" t="n"/>
      <c r="F806" s="82" t="n"/>
      <c r="G806" s="82" t="n"/>
      <c r="H806" s="82" t="n"/>
      <c r="I806" s="82" t="n"/>
      <c r="J806" s="82" t="n"/>
      <c r="K806" s="82" t="n"/>
      <c r="L806" s="82" t="n"/>
      <c r="M806" s="82" t="n"/>
      <c r="N806" s="82" t="n"/>
      <c r="O806" s="82" t="n"/>
      <c r="P806" s="82" t="n"/>
      <c r="Q806" s="82" t="n"/>
      <c r="R806" s="82" t="n"/>
      <c r="S806" s="82" t="n"/>
      <c r="T806" s="82" t="n"/>
      <c r="U806" s="82" t="n"/>
      <c r="V806" s="82" t="n"/>
      <c r="W806" s="82" t="n"/>
      <c r="X806" s="82" t="n"/>
      <c r="Y806" s="82" t="n"/>
      <c r="Z806" s="82" t="n"/>
    </row>
    <row r="807" ht="15.75" customHeight="1" s="83">
      <c r="A807" s="82" t="n"/>
      <c r="B807" s="82" t="n"/>
      <c r="C807" s="82" t="n"/>
      <c r="D807" s="82" t="n"/>
      <c r="E807" s="81" t="n"/>
      <c r="F807" s="82" t="n"/>
      <c r="G807" s="82" t="n"/>
      <c r="H807" s="82" t="n"/>
      <c r="I807" s="82" t="n"/>
      <c r="J807" s="82" t="n"/>
      <c r="K807" s="82" t="n"/>
      <c r="L807" s="82" t="n"/>
      <c r="M807" s="82" t="n"/>
      <c r="N807" s="82" t="n"/>
      <c r="O807" s="82" t="n"/>
      <c r="P807" s="82" t="n"/>
      <c r="Q807" s="82" t="n"/>
      <c r="R807" s="82" t="n"/>
      <c r="S807" s="82" t="n"/>
      <c r="T807" s="82" t="n"/>
      <c r="U807" s="82" t="n"/>
      <c r="V807" s="82" t="n"/>
      <c r="W807" s="82" t="n"/>
      <c r="X807" s="82" t="n"/>
      <c r="Y807" s="82" t="n"/>
      <c r="Z807" s="82" t="n"/>
    </row>
    <row r="808" ht="15.75" customHeight="1" s="83">
      <c r="A808" s="82" t="n"/>
      <c r="B808" s="82" t="n"/>
      <c r="C808" s="82" t="n"/>
      <c r="D808" s="82" t="n"/>
      <c r="E808" s="81" t="n"/>
      <c r="F808" s="82" t="n"/>
      <c r="G808" s="82" t="n"/>
      <c r="H808" s="82" t="n"/>
      <c r="I808" s="82" t="n"/>
      <c r="J808" s="82" t="n"/>
      <c r="K808" s="82" t="n"/>
      <c r="L808" s="82" t="n"/>
      <c r="M808" s="82" t="n"/>
      <c r="N808" s="82" t="n"/>
      <c r="O808" s="82" t="n"/>
      <c r="P808" s="82" t="n"/>
      <c r="Q808" s="82" t="n"/>
      <c r="R808" s="82" t="n"/>
      <c r="S808" s="82" t="n"/>
      <c r="T808" s="82" t="n"/>
      <c r="U808" s="82" t="n"/>
      <c r="V808" s="82" t="n"/>
      <c r="W808" s="82" t="n"/>
      <c r="X808" s="82" t="n"/>
      <c r="Y808" s="82" t="n"/>
      <c r="Z808" s="82" t="n"/>
    </row>
    <row r="809" ht="15.75" customHeight="1" s="83">
      <c r="A809" s="82" t="n"/>
      <c r="B809" s="82" t="n"/>
      <c r="C809" s="82" t="n"/>
      <c r="D809" s="82" t="n"/>
      <c r="E809" s="81" t="n"/>
      <c r="F809" s="82" t="n"/>
      <c r="G809" s="82" t="n"/>
      <c r="H809" s="82" t="n"/>
      <c r="I809" s="82" t="n"/>
      <c r="J809" s="82" t="n"/>
      <c r="K809" s="82" t="n"/>
      <c r="L809" s="82" t="n"/>
      <c r="M809" s="82" t="n"/>
      <c r="N809" s="82" t="n"/>
      <c r="O809" s="82" t="n"/>
      <c r="P809" s="82" t="n"/>
      <c r="Q809" s="82" t="n"/>
      <c r="R809" s="82" t="n"/>
      <c r="S809" s="82" t="n"/>
      <c r="T809" s="82" t="n"/>
      <c r="U809" s="82" t="n"/>
      <c r="V809" s="82" t="n"/>
      <c r="W809" s="82" t="n"/>
      <c r="X809" s="82" t="n"/>
      <c r="Y809" s="82" t="n"/>
      <c r="Z809" s="82" t="n"/>
    </row>
    <row r="810" ht="15.75" customHeight="1" s="83">
      <c r="A810" s="82" t="n"/>
      <c r="B810" s="82" t="n"/>
      <c r="C810" s="82" t="n"/>
      <c r="D810" s="82" t="n"/>
      <c r="E810" s="81" t="n"/>
      <c r="F810" s="82" t="n"/>
      <c r="G810" s="82" t="n"/>
      <c r="H810" s="82" t="n"/>
      <c r="I810" s="82" t="n"/>
      <c r="J810" s="82" t="n"/>
      <c r="K810" s="82" t="n"/>
      <c r="L810" s="82" t="n"/>
      <c r="M810" s="82" t="n"/>
      <c r="N810" s="82" t="n"/>
      <c r="O810" s="82" t="n"/>
      <c r="P810" s="82" t="n"/>
      <c r="Q810" s="82" t="n"/>
      <c r="R810" s="82" t="n"/>
      <c r="S810" s="82" t="n"/>
      <c r="T810" s="82" t="n"/>
      <c r="U810" s="82" t="n"/>
      <c r="V810" s="82" t="n"/>
      <c r="W810" s="82" t="n"/>
      <c r="X810" s="82" t="n"/>
      <c r="Y810" s="82" t="n"/>
      <c r="Z810" s="82" t="n"/>
    </row>
    <row r="811" ht="15.75" customHeight="1" s="83">
      <c r="A811" s="82" t="n"/>
      <c r="B811" s="82" t="n"/>
      <c r="C811" s="82" t="n"/>
      <c r="D811" s="82" t="n"/>
      <c r="E811" s="81" t="n"/>
      <c r="F811" s="82" t="n"/>
      <c r="G811" s="82" t="n"/>
      <c r="H811" s="82" t="n"/>
      <c r="I811" s="82" t="n"/>
      <c r="J811" s="82" t="n"/>
      <c r="K811" s="82" t="n"/>
      <c r="L811" s="82" t="n"/>
      <c r="M811" s="82" t="n"/>
      <c r="N811" s="82" t="n"/>
      <c r="O811" s="82" t="n"/>
      <c r="P811" s="82" t="n"/>
      <c r="Q811" s="82" t="n"/>
      <c r="R811" s="82" t="n"/>
      <c r="S811" s="82" t="n"/>
      <c r="T811" s="82" t="n"/>
      <c r="U811" s="82" t="n"/>
      <c r="V811" s="82" t="n"/>
      <c r="W811" s="82" t="n"/>
      <c r="X811" s="82" t="n"/>
      <c r="Y811" s="82" t="n"/>
      <c r="Z811" s="82" t="n"/>
    </row>
    <row r="812" ht="15.75" customHeight="1" s="83">
      <c r="A812" s="82" t="n"/>
      <c r="B812" s="82" t="n"/>
      <c r="C812" s="82" t="n"/>
      <c r="D812" s="82" t="n"/>
      <c r="E812" s="81" t="n"/>
      <c r="F812" s="82" t="n"/>
      <c r="G812" s="82" t="n"/>
      <c r="H812" s="82" t="n"/>
      <c r="I812" s="82" t="n"/>
      <c r="J812" s="82" t="n"/>
      <c r="K812" s="82" t="n"/>
      <c r="L812" s="82" t="n"/>
      <c r="M812" s="82" t="n"/>
      <c r="N812" s="82" t="n"/>
      <c r="O812" s="82" t="n"/>
      <c r="P812" s="82" t="n"/>
      <c r="Q812" s="82" t="n"/>
      <c r="R812" s="82" t="n"/>
      <c r="S812" s="82" t="n"/>
      <c r="T812" s="82" t="n"/>
      <c r="U812" s="82" t="n"/>
      <c r="V812" s="82" t="n"/>
      <c r="W812" s="82" t="n"/>
      <c r="X812" s="82" t="n"/>
      <c r="Y812" s="82" t="n"/>
      <c r="Z812" s="82" t="n"/>
    </row>
    <row r="813" ht="15.75" customHeight="1" s="83">
      <c r="A813" s="82" t="n"/>
      <c r="B813" s="82" t="n"/>
      <c r="C813" s="82" t="n"/>
      <c r="D813" s="82" t="n"/>
      <c r="E813" s="81" t="n"/>
      <c r="F813" s="82" t="n"/>
      <c r="G813" s="82" t="n"/>
      <c r="H813" s="82" t="n"/>
      <c r="I813" s="82" t="n"/>
      <c r="J813" s="82" t="n"/>
      <c r="K813" s="82" t="n"/>
      <c r="L813" s="82" t="n"/>
      <c r="M813" s="82" t="n"/>
      <c r="N813" s="82" t="n"/>
      <c r="O813" s="82" t="n"/>
      <c r="P813" s="82" t="n"/>
      <c r="Q813" s="82" t="n"/>
      <c r="R813" s="82" t="n"/>
      <c r="S813" s="82" t="n"/>
      <c r="T813" s="82" t="n"/>
      <c r="U813" s="82" t="n"/>
      <c r="V813" s="82" t="n"/>
      <c r="W813" s="82" t="n"/>
      <c r="X813" s="82" t="n"/>
      <c r="Y813" s="82" t="n"/>
      <c r="Z813" s="82" t="n"/>
    </row>
    <row r="814" ht="15.75" customHeight="1" s="83">
      <c r="A814" s="82" t="n"/>
      <c r="B814" s="82" t="n"/>
      <c r="C814" s="82" t="n"/>
      <c r="D814" s="82" t="n"/>
      <c r="E814" s="81" t="n"/>
      <c r="F814" s="82" t="n"/>
      <c r="G814" s="82" t="n"/>
      <c r="H814" s="82" t="n"/>
      <c r="I814" s="82" t="n"/>
      <c r="J814" s="82" t="n"/>
      <c r="K814" s="82" t="n"/>
      <c r="L814" s="82" t="n"/>
      <c r="M814" s="82" t="n"/>
      <c r="N814" s="82" t="n"/>
      <c r="O814" s="82" t="n"/>
      <c r="P814" s="82" t="n"/>
      <c r="Q814" s="82" t="n"/>
      <c r="R814" s="82" t="n"/>
      <c r="S814" s="82" t="n"/>
      <c r="T814" s="82" t="n"/>
      <c r="U814" s="82" t="n"/>
      <c r="V814" s="82" t="n"/>
      <c r="W814" s="82" t="n"/>
      <c r="X814" s="82" t="n"/>
      <c r="Y814" s="82" t="n"/>
      <c r="Z814" s="82" t="n"/>
    </row>
    <row r="815" ht="15.75" customHeight="1" s="83">
      <c r="A815" s="82" t="n"/>
      <c r="B815" s="82" t="n"/>
      <c r="C815" s="82" t="n"/>
      <c r="D815" s="82" t="n"/>
      <c r="E815" s="81" t="n"/>
      <c r="F815" s="82" t="n"/>
      <c r="G815" s="82" t="n"/>
      <c r="H815" s="82" t="n"/>
      <c r="I815" s="82" t="n"/>
      <c r="J815" s="82" t="n"/>
      <c r="K815" s="82" t="n"/>
      <c r="L815" s="82" t="n"/>
      <c r="M815" s="82" t="n"/>
      <c r="N815" s="82" t="n"/>
      <c r="O815" s="82" t="n"/>
      <c r="P815" s="82" t="n"/>
      <c r="Q815" s="82" t="n"/>
      <c r="R815" s="82" t="n"/>
      <c r="S815" s="82" t="n"/>
      <c r="T815" s="82" t="n"/>
      <c r="U815" s="82" t="n"/>
      <c r="V815" s="82" t="n"/>
      <c r="W815" s="82" t="n"/>
      <c r="X815" s="82" t="n"/>
      <c r="Y815" s="82" t="n"/>
      <c r="Z815" s="82" t="n"/>
    </row>
    <row r="816" ht="15.75" customHeight="1" s="83">
      <c r="A816" s="82" t="n"/>
      <c r="B816" s="82" t="n"/>
      <c r="C816" s="82" t="n"/>
      <c r="D816" s="82" t="n"/>
      <c r="E816" s="81" t="n"/>
      <c r="F816" s="82" t="n"/>
      <c r="G816" s="82" t="n"/>
      <c r="H816" s="82" t="n"/>
      <c r="I816" s="82" t="n"/>
      <c r="J816" s="82" t="n"/>
      <c r="K816" s="82" t="n"/>
      <c r="L816" s="82" t="n"/>
      <c r="M816" s="82" t="n"/>
      <c r="N816" s="82" t="n"/>
      <c r="O816" s="82" t="n"/>
      <c r="P816" s="82" t="n"/>
      <c r="Q816" s="82" t="n"/>
      <c r="R816" s="82" t="n"/>
      <c r="S816" s="82" t="n"/>
      <c r="T816" s="82" t="n"/>
      <c r="U816" s="82" t="n"/>
      <c r="V816" s="82" t="n"/>
      <c r="W816" s="82" t="n"/>
      <c r="X816" s="82" t="n"/>
      <c r="Y816" s="82" t="n"/>
      <c r="Z816" s="82" t="n"/>
    </row>
    <row r="817" ht="15.75" customHeight="1" s="83">
      <c r="A817" s="82" t="n"/>
      <c r="B817" s="82" t="n"/>
      <c r="C817" s="82" t="n"/>
      <c r="D817" s="82" t="n"/>
      <c r="E817" s="81" t="n"/>
      <c r="F817" s="82" t="n"/>
      <c r="G817" s="82" t="n"/>
      <c r="H817" s="82" t="n"/>
      <c r="I817" s="82" t="n"/>
      <c r="J817" s="82" t="n"/>
      <c r="K817" s="82" t="n"/>
      <c r="L817" s="82" t="n"/>
      <c r="M817" s="82" t="n"/>
      <c r="N817" s="82" t="n"/>
      <c r="O817" s="82" t="n"/>
      <c r="P817" s="82" t="n"/>
      <c r="Q817" s="82" t="n"/>
      <c r="R817" s="82" t="n"/>
      <c r="S817" s="82" t="n"/>
      <c r="T817" s="82" t="n"/>
      <c r="U817" s="82" t="n"/>
      <c r="V817" s="82" t="n"/>
      <c r="W817" s="82" t="n"/>
      <c r="X817" s="82" t="n"/>
      <c r="Y817" s="82" t="n"/>
      <c r="Z817" s="82" t="n"/>
    </row>
    <row r="818" ht="15.75" customHeight="1" s="83">
      <c r="A818" s="82" t="n"/>
      <c r="B818" s="82" t="n"/>
      <c r="C818" s="82" t="n"/>
      <c r="D818" s="82" t="n"/>
      <c r="E818" s="81" t="n"/>
      <c r="F818" s="82" t="n"/>
      <c r="G818" s="82" t="n"/>
      <c r="H818" s="82" t="n"/>
      <c r="I818" s="82" t="n"/>
      <c r="J818" s="82" t="n"/>
      <c r="K818" s="82" t="n"/>
      <c r="L818" s="82" t="n"/>
      <c r="M818" s="82" t="n"/>
      <c r="N818" s="82" t="n"/>
      <c r="O818" s="82" t="n"/>
      <c r="P818" s="82" t="n"/>
      <c r="Q818" s="82" t="n"/>
      <c r="R818" s="82" t="n"/>
      <c r="S818" s="82" t="n"/>
      <c r="T818" s="82" t="n"/>
      <c r="U818" s="82" t="n"/>
      <c r="V818" s="82" t="n"/>
      <c r="W818" s="82" t="n"/>
      <c r="X818" s="82" t="n"/>
      <c r="Y818" s="82" t="n"/>
      <c r="Z818" s="82" t="n"/>
    </row>
    <row r="819" ht="15.75" customHeight="1" s="83">
      <c r="A819" s="82" t="n"/>
      <c r="B819" s="82" t="n"/>
      <c r="C819" s="82" t="n"/>
      <c r="D819" s="82" t="n"/>
      <c r="E819" s="81" t="n"/>
      <c r="F819" s="82" t="n"/>
      <c r="G819" s="82" t="n"/>
      <c r="H819" s="82" t="n"/>
      <c r="I819" s="82" t="n"/>
      <c r="J819" s="82" t="n"/>
      <c r="K819" s="82" t="n"/>
      <c r="L819" s="82" t="n"/>
      <c r="M819" s="82" t="n"/>
      <c r="N819" s="82" t="n"/>
      <c r="O819" s="82" t="n"/>
      <c r="P819" s="82" t="n"/>
      <c r="Q819" s="82" t="n"/>
      <c r="R819" s="82" t="n"/>
      <c r="S819" s="82" t="n"/>
      <c r="T819" s="82" t="n"/>
      <c r="U819" s="82" t="n"/>
      <c r="V819" s="82" t="n"/>
      <c r="W819" s="82" t="n"/>
      <c r="X819" s="82" t="n"/>
      <c r="Y819" s="82" t="n"/>
      <c r="Z819" s="82" t="n"/>
    </row>
    <row r="820" ht="15.75" customHeight="1" s="83">
      <c r="A820" s="82" t="n"/>
      <c r="B820" s="82" t="n"/>
      <c r="C820" s="82" t="n"/>
      <c r="D820" s="82" t="n"/>
      <c r="E820" s="81" t="n"/>
      <c r="F820" s="82" t="n"/>
      <c r="G820" s="82" t="n"/>
      <c r="H820" s="82" t="n"/>
      <c r="I820" s="82" t="n"/>
      <c r="J820" s="82" t="n"/>
      <c r="K820" s="82" t="n"/>
      <c r="L820" s="82" t="n"/>
      <c r="M820" s="82" t="n"/>
      <c r="N820" s="82" t="n"/>
      <c r="O820" s="82" t="n"/>
      <c r="P820" s="82" t="n"/>
      <c r="Q820" s="82" t="n"/>
      <c r="R820" s="82" t="n"/>
      <c r="S820" s="82" t="n"/>
      <c r="T820" s="82" t="n"/>
      <c r="U820" s="82" t="n"/>
      <c r="V820" s="82" t="n"/>
      <c r="W820" s="82" t="n"/>
      <c r="X820" s="82" t="n"/>
      <c r="Y820" s="82" t="n"/>
      <c r="Z820" s="82" t="n"/>
    </row>
    <row r="821" ht="15.75" customHeight="1" s="83">
      <c r="A821" s="82" t="n"/>
      <c r="B821" s="82" t="n"/>
      <c r="C821" s="82" t="n"/>
      <c r="D821" s="82" t="n"/>
      <c r="E821" s="81" t="n"/>
      <c r="F821" s="82" t="n"/>
      <c r="G821" s="82" t="n"/>
      <c r="H821" s="82" t="n"/>
      <c r="I821" s="82" t="n"/>
      <c r="J821" s="82" t="n"/>
      <c r="K821" s="82" t="n"/>
      <c r="L821" s="82" t="n"/>
      <c r="M821" s="82" t="n"/>
      <c r="N821" s="82" t="n"/>
      <c r="O821" s="82" t="n"/>
      <c r="P821" s="82" t="n"/>
      <c r="Q821" s="82" t="n"/>
      <c r="R821" s="82" t="n"/>
      <c r="S821" s="82" t="n"/>
      <c r="T821" s="82" t="n"/>
      <c r="U821" s="82" t="n"/>
      <c r="V821" s="82" t="n"/>
      <c r="W821" s="82" t="n"/>
      <c r="X821" s="82" t="n"/>
      <c r="Y821" s="82" t="n"/>
      <c r="Z821" s="82" t="n"/>
    </row>
    <row r="822" ht="15.75" customHeight="1" s="83">
      <c r="A822" s="82" t="n"/>
      <c r="B822" s="82" t="n"/>
      <c r="C822" s="82" t="n"/>
      <c r="D822" s="82" t="n"/>
      <c r="E822" s="81" t="n"/>
      <c r="F822" s="82" t="n"/>
      <c r="G822" s="82" t="n"/>
      <c r="H822" s="82" t="n"/>
      <c r="I822" s="82" t="n"/>
      <c r="J822" s="82" t="n"/>
      <c r="K822" s="82" t="n"/>
      <c r="L822" s="82" t="n"/>
      <c r="M822" s="82" t="n"/>
      <c r="N822" s="82" t="n"/>
      <c r="O822" s="82" t="n"/>
      <c r="P822" s="82" t="n"/>
      <c r="Q822" s="82" t="n"/>
      <c r="R822" s="82" t="n"/>
      <c r="S822" s="82" t="n"/>
      <c r="T822" s="82" t="n"/>
      <c r="U822" s="82" t="n"/>
      <c r="V822" s="82" t="n"/>
      <c r="W822" s="82" t="n"/>
      <c r="X822" s="82" t="n"/>
      <c r="Y822" s="82" t="n"/>
      <c r="Z822" s="82" t="n"/>
    </row>
    <row r="823" ht="15.75" customHeight="1" s="83">
      <c r="A823" s="82" t="n"/>
      <c r="B823" s="82" t="n"/>
      <c r="C823" s="82" t="n"/>
      <c r="D823" s="82" t="n"/>
      <c r="E823" s="81" t="n"/>
      <c r="F823" s="82" t="n"/>
      <c r="G823" s="82" t="n"/>
      <c r="H823" s="82" t="n"/>
      <c r="I823" s="82" t="n"/>
      <c r="J823" s="82" t="n"/>
      <c r="K823" s="82" t="n"/>
      <c r="L823" s="82" t="n"/>
      <c r="M823" s="82" t="n"/>
      <c r="N823" s="82" t="n"/>
      <c r="O823" s="82" t="n"/>
      <c r="P823" s="82" t="n"/>
      <c r="Q823" s="82" t="n"/>
      <c r="R823" s="82" t="n"/>
      <c r="S823" s="82" t="n"/>
      <c r="T823" s="82" t="n"/>
      <c r="U823" s="82" t="n"/>
      <c r="V823" s="82" t="n"/>
      <c r="W823" s="82" t="n"/>
      <c r="X823" s="82" t="n"/>
      <c r="Y823" s="82" t="n"/>
      <c r="Z823" s="82" t="n"/>
    </row>
    <row r="824" ht="15.75" customHeight="1" s="83">
      <c r="A824" s="82" t="n"/>
      <c r="B824" s="82" t="n"/>
      <c r="C824" s="82" t="n"/>
      <c r="D824" s="82" t="n"/>
      <c r="E824" s="81" t="n"/>
      <c r="F824" s="82" t="n"/>
      <c r="G824" s="82" t="n"/>
      <c r="H824" s="82" t="n"/>
      <c r="I824" s="82" t="n"/>
      <c r="J824" s="82" t="n"/>
      <c r="K824" s="82" t="n"/>
      <c r="L824" s="82" t="n"/>
      <c r="M824" s="82" t="n"/>
      <c r="N824" s="82" t="n"/>
      <c r="O824" s="82" t="n"/>
      <c r="P824" s="82" t="n"/>
      <c r="Q824" s="82" t="n"/>
      <c r="R824" s="82" t="n"/>
      <c r="S824" s="82" t="n"/>
      <c r="T824" s="82" t="n"/>
      <c r="U824" s="82" t="n"/>
      <c r="V824" s="82" t="n"/>
      <c r="W824" s="82" t="n"/>
      <c r="X824" s="82" t="n"/>
      <c r="Y824" s="82" t="n"/>
      <c r="Z824" s="82" t="n"/>
    </row>
    <row r="825" ht="15.75" customHeight="1" s="83">
      <c r="A825" s="82" t="n"/>
      <c r="B825" s="82" t="n"/>
      <c r="C825" s="82" t="n"/>
      <c r="D825" s="82" t="n"/>
      <c r="E825" s="81" t="n"/>
      <c r="F825" s="82" t="n"/>
      <c r="G825" s="82" t="n"/>
      <c r="H825" s="82" t="n"/>
      <c r="I825" s="82" t="n"/>
      <c r="J825" s="82" t="n"/>
      <c r="K825" s="82" t="n"/>
      <c r="L825" s="82" t="n"/>
      <c r="M825" s="82" t="n"/>
      <c r="N825" s="82" t="n"/>
      <c r="O825" s="82" t="n"/>
      <c r="P825" s="82" t="n"/>
      <c r="Q825" s="82" t="n"/>
      <c r="R825" s="82" t="n"/>
      <c r="S825" s="82" t="n"/>
      <c r="T825" s="82" t="n"/>
      <c r="U825" s="82" t="n"/>
      <c r="V825" s="82" t="n"/>
      <c r="W825" s="82" t="n"/>
      <c r="X825" s="82" t="n"/>
      <c r="Y825" s="82" t="n"/>
      <c r="Z825" s="82" t="n"/>
    </row>
    <row r="826" ht="15.75" customHeight="1" s="83">
      <c r="A826" s="82" t="n"/>
      <c r="B826" s="82" t="n"/>
      <c r="C826" s="82" t="n"/>
      <c r="D826" s="82" t="n"/>
      <c r="E826" s="81" t="n"/>
      <c r="F826" s="82" t="n"/>
      <c r="G826" s="82" t="n"/>
      <c r="H826" s="82" t="n"/>
      <c r="I826" s="82" t="n"/>
      <c r="J826" s="82" t="n"/>
      <c r="K826" s="82" t="n"/>
      <c r="L826" s="82" t="n"/>
      <c r="M826" s="82" t="n"/>
      <c r="N826" s="82" t="n"/>
      <c r="O826" s="82" t="n"/>
      <c r="P826" s="82" t="n"/>
      <c r="Q826" s="82" t="n"/>
      <c r="R826" s="82" t="n"/>
      <c r="S826" s="82" t="n"/>
      <c r="T826" s="82" t="n"/>
      <c r="U826" s="82" t="n"/>
      <c r="V826" s="82" t="n"/>
      <c r="W826" s="82" t="n"/>
      <c r="X826" s="82" t="n"/>
      <c r="Y826" s="82" t="n"/>
      <c r="Z826" s="82" t="n"/>
    </row>
    <row r="827" ht="15.75" customHeight="1" s="83">
      <c r="A827" s="82" t="n"/>
      <c r="B827" s="82" t="n"/>
      <c r="C827" s="82" t="n"/>
      <c r="D827" s="82" t="n"/>
      <c r="E827" s="81" t="n"/>
      <c r="F827" s="82" t="n"/>
      <c r="G827" s="82" t="n"/>
      <c r="H827" s="82" t="n"/>
      <c r="I827" s="82" t="n"/>
      <c r="J827" s="82" t="n"/>
      <c r="K827" s="82" t="n"/>
      <c r="L827" s="82" t="n"/>
      <c r="M827" s="82" t="n"/>
      <c r="N827" s="82" t="n"/>
      <c r="O827" s="82" t="n"/>
      <c r="P827" s="82" t="n"/>
      <c r="Q827" s="82" t="n"/>
      <c r="R827" s="82" t="n"/>
      <c r="S827" s="82" t="n"/>
      <c r="T827" s="82" t="n"/>
      <c r="U827" s="82" t="n"/>
      <c r="V827" s="82" t="n"/>
      <c r="W827" s="82" t="n"/>
      <c r="X827" s="82" t="n"/>
      <c r="Y827" s="82" t="n"/>
      <c r="Z827" s="82" t="n"/>
    </row>
    <row r="828" ht="15.75" customHeight="1" s="83">
      <c r="A828" s="82" t="n"/>
      <c r="B828" s="82" t="n"/>
      <c r="C828" s="82" t="n"/>
      <c r="D828" s="82" t="n"/>
      <c r="E828" s="81" t="n"/>
      <c r="F828" s="82" t="n"/>
      <c r="G828" s="82" t="n"/>
      <c r="H828" s="82" t="n"/>
      <c r="I828" s="82" t="n"/>
      <c r="J828" s="82" t="n"/>
      <c r="K828" s="82" t="n"/>
      <c r="L828" s="82" t="n"/>
      <c r="M828" s="82" t="n"/>
      <c r="N828" s="82" t="n"/>
      <c r="O828" s="82" t="n"/>
      <c r="P828" s="82" t="n"/>
      <c r="Q828" s="82" t="n"/>
      <c r="R828" s="82" t="n"/>
      <c r="S828" s="82" t="n"/>
      <c r="T828" s="82" t="n"/>
      <c r="U828" s="82" t="n"/>
      <c r="V828" s="82" t="n"/>
      <c r="W828" s="82" t="n"/>
      <c r="X828" s="82" t="n"/>
      <c r="Y828" s="82" t="n"/>
      <c r="Z828" s="82" t="n"/>
    </row>
    <row r="829" ht="15.75" customHeight="1" s="83">
      <c r="A829" s="82" t="n"/>
      <c r="B829" s="82" t="n"/>
      <c r="C829" s="82" t="n"/>
      <c r="D829" s="82" t="n"/>
      <c r="E829" s="81" t="n"/>
      <c r="F829" s="82" t="n"/>
      <c r="G829" s="82" t="n"/>
      <c r="H829" s="82" t="n"/>
      <c r="I829" s="82" t="n"/>
      <c r="J829" s="82" t="n"/>
      <c r="K829" s="82" t="n"/>
      <c r="L829" s="82" t="n"/>
      <c r="M829" s="82" t="n"/>
      <c r="N829" s="82" t="n"/>
      <c r="O829" s="82" t="n"/>
      <c r="P829" s="82" t="n"/>
      <c r="Q829" s="82" t="n"/>
      <c r="R829" s="82" t="n"/>
      <c r="S829" s="82" t="n"/>
      <c r="T829" s="82" t="n"/>
      <c r="U829" s="82" t="n"/>
      <c r="V829" s="82" t="n"/>
      <c r="W829" s="82" t="n"/>
      <c r="X829" s="82" t="n"/>
      <c r="Y829" s="82" t="n"/>
      <c r="Z829" s="82" t="n"/>
    </row>
    <row r="830" ht="15.75" customHeight="1" s="83">
      <c r="A830" s="82" t="n"/>
      <c r="B830" s="82" t="n"/>
      <c r="C830" s="82" t="n"/>
      <c r="D830" s="82" t="n"/>
      <c r="E830" s="81" t="n"/>
      <c r="F830" s="82" t="n"/>
      <c r="G830" s="82" t="n"/>
      <c r="H830" s="82" t="n"/>
      <c r="I830" s="82" t="n"/>
      <c r="J830" s="82" t="n"/>
      <c r="K830" s="82" t="n"/>
      <c r="L830" s="82" t="n"/>
      <c r="M830" s="82" t="n"/>
      <c r="N830" s="82" t="n"/>
      <c r="O830" s="82" t="n"/>
      <c r="P830" s="82" t="n"/>
      <c r="Q830" s="82" t="n"/>
      <c r="R830" s="82" t="n"/>
      <c r="S830" s="82" t="n"/>
      <c r="T830" s="82" t="n"/>
      <c r="U830" s="82" t="n"/>
      <c r="V830" s="82" t="n"/>
      <c r="W830" s="82" t="n"/>
      <c r="X830" s="82" t="n"/>
      <c r="Y830" s="82" t="n"/>
      <c r="Z830" s="82" t="n"/>
    </row>
    <row r="831" ht="15.75" customHeight="1" s="83">
      <c r="A831" s="82" t="n"/>
      <c r="B831" s="82" t="n"/>
      <c r="C831" s="82" t="n"/>
      <c r="D831" s="82" t="n"/>
      <c r="E831" s="81" t="n"/>
      <c r="F831" s="82" t="n"/>
      <c r="G831" s="82" t="n"/>
      <c r="H831" s="82" t="n"/>
      <c r="I831" s="82" t="n"/>
      <c r="J831" s="82" t="n"/>
      <c r="K831" s="82" t="n"/>
      <c r="L831" s="82" t="n"/>
      <c r="M831" s="82" t="n"/>
      <c r="N831" s="82" t="n"/>
      <c r="O831" s="82" t="n"/>
      <c r="P831" s="82" t="n"/>
      <c r="Q831" s="82" t="n"/>
      <c r="R831" s="82" t="n"/>
      <c r="S831" s="82" t="n"/>
      <c r="T831" s="82" t="n"/>
      <c r="U831" s="82" t="n"/>
      <c r="V831" s="82" t="n"/>
      <c r="W831" s="82" t="n"/>
      <c r="X831" s="82" t="n"/>
      <c r="Y831" s="82" t="n"/>
      <c r="Z831" s="82" t="n"/>
    </row>
    <row r="832" ht="15.75" customHeight="1" s="83">
      <c r="A832" s="82" t="n"/>
      <c r="B832" s="82" t="n"/>
      <c r="C832" s="82" t="n"/>
      <c r="D832" s="82" t="n"/>
      <c r="E832" s="81" t="n"/>
      <c r="F832" s="82" t="n"/>
      <c r="G832" s="82" t="n"/>
      <c r="H832" s="82" t="n"/>
      <c r="I832" s="82" t="n"/>
      <c r="J832" s="82" t="n"/>
      <c r="K832" s="82" t="n"/>
      <c r="L832" s="82" t="n"/>
      <c r="M832" s="82" t="n"/>
      <c r="N832" s="82" t="n"/>
      <c r="O832" s="82" t="n"/>
      <c r="P832" s="82" t="n"/>
      <c r="Q832" s="82" t="n"/>
      <c r="R832" s="82" t="n"/>
      <c r="S832" s="82" t="n"/>
      <c r="T832" s="82" t="n"/>
      <c r="U832" s="82" t="n"/>
      <c r="V832" s="82" t="n"/>
      <c r="W832" s="82" t="n"/>
      <c r="X832" s="82" t="n"/>
      <c r="Y832" s="82" t="n"/>
      <c r="Z832" s="82" t="n"/>
    </row>
    <row r="833" ht="15.75" customHeight="1" s="83">
      <c r="A833" s="82" t="n"/>
      <c r="B833" s="82" t="n"/>
      <c r="C833" s="82" t="n"/>
      <c r="D833" s="82" t="n"/>
      <c r="E833" s="81" t="n"/>
      <c r="F833" s="82" t="n"/>
      <c r="G833" s="82" t="n"/>
      <c r="H833" s="82" t="n"/>
      <c r="I833" s="82" t="n"/>
      <c r="J833" s="82" t="n"/>
      <c r="K833" s="82" t="n"/>
      <c r="L833" s="82" t="n"/>
      <c r="M833" s="82" t="n"/>
      <c r="N833" s="82" t="n"/>
      <c r="O833" s="82" t="n"/>
      <c r="P833" s="82" t="n"/>
      <c r="Q833" s="82" t="n"/>
      <c r="R833" s="82" t="n"/>
      <c r="S833" s="82" t="n"/>
      <c r="T833" s="82" t="n"/>
      <c r="U833" s="82" t="n"/>
      <c r="V833" s="82" t="n"/>
      <c r="W833" s="82" t="n"/>
      <c r="X833" s="82" t="n"/>
      <c r="Y833" s="82" t="n"/>
      <c r="Z833" s="82" t="n"/>
    </row>
    <row r="834" ht="15.75" customHeight="1" s="83">
      <c r="A834" s="82" t="n"/>
      <c r="B834" s="82" t="n"/>
      <c r="C834" s="82" t="n"/>
      <c r="D834" s="82" t="n"/>
      <c r="E834" s="81" t="n"/>
      <c r="F834" s="82" t="n"/>
      <c r="G834" s="82" t="n"/>
      <c r="H834" s="82" t="n"/>
      <c r="I834" s="82" t="n"/>
      <c r="J834" s="82" t="n"/>
      <c r="K834" s="82" t="n"/>
      <c r="L834" s="82" t="n"/>
      <c r="M834" s="82" t="n"/>
      <c r="N834" s="82" t="n"/>
      <c r="O834" s="82" t="n"/>
      <c r="P834" s="82" t="n"/>
      <c r="Q834" s="82" t="n"/>
      <c r="R834" s="82" t="n"/>
      <c r="S834" s="82" t="n"/>
      <c r="T834" s="82" t="n"/>
      <c r="U834" s="82" t="n"/>
      <c r="V834" s="82" t="n"/>
      <c r="W834" s="82" t="n"/>
      <c r="X834" s="82" t="n"/>
      <c r="Y834" s="82" t="n"/>
      <c r="Z834" s="82" t="n"/>
    </row>
    <row r="835" ht="15.75" customHeight="1" s="83">
      <c r="A835" s="82" t="n"/>
      <c r="B835" s="82" t="n"/>
      <c r="C835" s="82" t="n"/>
      <c r="D835" s="82" t="n"/>
      <c r="E835" s="81" t="n"/>
      <c r="F835" s="82" t="n"/>
      <c r="G835" s="82" t="n"/>
      <c r="H835" s="82" t="n"/>
      <c r="I835" s="82" t="n"/>
      <c r="J835" s="82" t="n"/>
      <c r="K835" s="82" t="n"/>
      <c r="L835" s="82" t="n"/>
      <c r="M835" s="82" t="n"/>
      <c r="N835" s="82" t="n"/>
      <c r="O835" s="82" t="n"/>
      <c r="P835" s="82" t="n"/>
      <c r="Q835" s="82" t="n"/>
      <c r="R835" s="82" t="n"/>
      <c r="S835" s="82" t="n"/>
      <c r="T835" s="82" t="n"/>
      <c r="U835" s="82" t="n"/>
      <c r="V835" s="82" t="n"/>
      <c r="W835" s="82" t="n"/>
      <c r="X835" s="82" t="n"/>
      <c r="Y835" s="82" t="n"/>
      <c r="Z835" s="82" t="n"/>
    </row>
    <row r="836" ht="15.75" customHeight="1" s="83">
      <c r="A836" s="82" t="n"/>
      <c r="B836" s="82" t="n"/>
      <c r="C836" s="82" t="n"/>
      <c r="D836" s="82" t="n"/>
      <c r="E836" s="81" t="n"/>
      <c r="F836" s="82" t="n"/>
      <c r="G836" s="82" t="n"/>
      <c r="H836" s="82" t="n"/>
      <c r="I836" s="82" t="n"/>
      <c r="J836" s="82" t="n"/>
      <c r="K836" s="82" t="n"/>
      <c r="L836" s="82" t="n"/>
      <c r="M836" s="82" t="n"/>
      <c r="N836" s="82" t="n"/>
      <c r="O836" s="82" t="n"/>
      <c r="P836" s="82" t="n"/>
      <c r="Q836" s="82" t="n"/>
      <c r="R836" s="82" t="n"/>
      <c r="S836" s="82" t="n"/>
      <c r="T836" s="82" t="n"/>
      <c r="U836" s="82" t="n"/>
      <c r="V836" s="82" t="n"/>
      <c r="W836" s="82" t="n"/>
      <c r="X836" s="82" t="n"/>
      <c r="Y836" s="82" t="n"/>
      <c r="Z836" s="82" t="n"/>
    </row>
    <row r="837" ht="15.75" customHeight="1" s="83">
      <c r="A837" s="82" t="n"/>
      <c r="B837" s="82" t="n"/>
      <c r="C837" s="82" t="n"/>
      <c r="D837" s="82" t="n"/>
      <c r="E837" s="81" t="n"/>
      <c r="F837" s="82" t="n"/>
      <c r="G837" s="82" t="n"/>
      <c r="H837" s="82" t="n"/>
      <c r="I837" s="82" t="n"/>
      <c r="J837" s="82" t="n"/>
      <c r="K837" s="82" t="n"/>
      <c r="L837" s="82" t="n"/>
      <c r="M837" s="82" t="n"/>
      <c r="N837" s="82" t="n"/>
      <c r="O837" s="82" t="n"/>
      <c r="P837" s="82" t="n"/>
      <c r="Q837" s="82" t="n"/>
      <c r="R837" s="82" t="n"/>
      <c r="S837" s="82" t="n"/>
      <c r="T837" s="82" t="n"/>
      <c r="U837" s="82" t="n"/>
      <c r="V837" s="82" t="n"/>
      <c r="W837" s="82" t="n"/>
      <c r="X837" s="82" t="n"/>
      <c r="Y837" s="82" t="n"/>
      <c r="Z837" s="82" t="n"/>
    </row>
    <row r="838" ht="15.75" customHeight="1" s="83">
      <c r="A838" s="82" t="n"/>
      <c r="B838" s="82" t="n"/>
      <c r="C838" s="82" t="n"/>
      <c r="D838" s="82" t="n"/>
      <c r="E838" s="81" t="n"/>
      <c r="F838" s="82" t="n"/>
      <c r="G838" s="82" t="n"/>
      <c r="H838" s="82" t="n"/>
      <c r="I838" s="82" t="n"/>
      <c r="J838" s="82" t="n"/>
      <c r="K838" s="82" t="n"/>
      <c r="L838" s="82" t="n"/>
      <c r="M838" s="82" t="n"/>
      <c r="N838" s="82" t="n"/>
      <c r="O838" s="82" t="n"/>
      <c r="P838" s="82" t="n"/>
      <c r="Q838" s="82" t="n"/>
      <c r="R838" s="82" t="n"/>
      <c r="S838" s="82" t="n"/>
      <c r="T838" s="82" t="n"/>
      <c r="U838" s="82" t="n"/>
      <c r="V838" s="82" t="n"/>
      <c r="W838" s="82" t="n"/>
      <c r="X838" s="82" t="n"/>
      <c r="Y838" s="82" t="n"/>
      <c r="Z838" s="82" t="n"/>
    </row>
    <row r="839" ht="15.75" customHeight="1" s="83">
      <c r="A839" s="82" t="n"/>
      <c r="B839" s="82" t="n"/>
      <c r="C839" s="82" t="n"/>
      <c r="D839" s="82" t="n"/>
      <c r="E839" s="81" t="n"/>
      <c r="F839" s="82" t="n"/>
      <c r="G839" s="82" t="n"/>
      <c r="H839" s="82" t="n"/>
      <c r="I839" s="82" t="n"/>
      <c r="J839" s="82" t="n"/>
      <c r="K839" s="82" t="n"/>
      <c r="L839" s="82" t="n"/>
      <c r="M839" s="82" t="n"/>
      <c r="N839" s="82" t="n"/>
      <c r="O839" s="82" t="n"/>
      <c r="P839" s="82" t="n"/>
      <c r="Q839" s="82" t="n"/>
      <c r="R839" s="82" t="n"/>
      <c r="S839" s="82" t="n"/>
      <c r="T839" s="82" t="n"/>
      <c r="U839" s="82" t="n"/>
      <c r="V839" s="82" t="n"/>
      <c r="W839" s="82" t="n"/>
      <c r="X839" s="82" t="n"/>
      <c r="Y839" s="82" t="n"/>
      <c r="Z839" s="82" t="n"/>
    </row>
    <row r="840" ht="15.75" customHeight="1" s="83">
      <c r="A840" s="82" t="n"/>
      <c r="B840" s="82" t="n"/>
      <c r="C840" s="82" t="n"/>
      <c r="D840" s="82" t="n"/>
      <c r="E840" s="81" t="n"/>
      <c r="F840" s="82" t="n"/>
      <c r="G840" s="82" t="n"/>
      <c r="H840" s="82" t="n"/>
      <c r="I840" s="82" t="n"/>
      <c r="J840" s="82" t="n"/>
      <c r="K840" s="82" t="n"/>
      <c r="L840" s="82" t="n"/>
      <c r="M840" s="82" t="n"/>
      <c r="N840" s="82" t="n"/>
      <c r="O840" s="82" t="n"/>
      <c r="P840" s="82" t="n"/>
      <c r="Q840" s="82" t="n"/>
      <c r="R840" s="82" t="n"/>
      <c r="S840" s="82" t="n"/>
      <c r="T840" s="82" t="n"/>
      <c r="U840" s="82" t="n"/>
      <c r="V840" s="82" t="n"/>
      <c r="W840" s="82" t="n"/>
      <c r="X840" s="82" t="n"/>
      <c r="Y840" s="82" t="n"/>
      <c r="Z840" s="82" t="n"/>
    </row>
    <row r="841" ht="15.75" customHeight="1" s="83">
      <c r="A841" s="82" t="n"/>
      <c r="B841" s="82" t="n"/>
      <c r="C841" s="82" t="n"/>
      <c r="D841" s="82" t="n"/>
      <c r="E841" s="81" t="n"/>
      <c r="F841" s="82" t="n"/>
      <c r="G841" s="82" t="n"/>
      <c r="H841" s="82" t="n"/>
      <c r="I841" s="82" t="n"/>
      <c r="J841" s="82" t="n"/>
      <c r="K841" s="82" t="n"/>
      <c r="L841" s="82" t="n"/>
      <c r="M841" s="82" t="n"/>
      <c r="N841" s="82" t="n"/>
      <c r="O841" s="82" t="n"/>
      <c r="P841" s="82" t="n"/>
      <c r="Q841" s="82" t="n"/>
      <c r="R841" s="82" t="n"/>
      <c r="S841" s="82" t="n"/>
      <c r="T841" s="82" t="n"/>
      <c r="U841" s="82" t="n"/>
      <c r="V841" s="82" t="n"/>
      <c r="W841" s="82" t="n"/>
      <c r="X841" s="82" t="n"/>
      <c r="Y841" s="82" t="n"/>
      <c r="Z841" s="82" t="n"/>
    </row>
    <row r="842" ht="15.75" customHeight="1" s="83">
      <c r="A842" s="82" t="n"/>
      <c r="B842" s="82" t="n"/>
      <c r="C842" s="82" t="n"/>
      <c r="D842" s="82" t="n"/>
      <c r="E842" s="81" t="n"/>
      <c r="F842" s="82" t="n"/>
      <c r="G842" s="82" t="n"/>
      <c r="H842" s="82" t="n"/>
      <c r="I842" s="82" t="n"/>
      <c r="J842" s="82" t="n"/>
      <c r="K842" s="82" t="n"/>
      <c r="L842" s="82" t="n"/>
      <c r="M842" s="82" t="n"/>
      <c r="N842" s="82" t="n"/>
      <c r="O842" s="82" t="n"/>
      <c r="P842" s="82" t="n"/>
      <c r="Q842" s="82" t="n"/>
      <c r="R842" s="82" t="n"/>
      <c r="S842" s="82" t="n"/>
      <c r="T842" s="82" t="n"/>
      <c r="U842" s="82" t="n"/>
      <c r="V842" s="82" t="n"/>
      <c r="W842" s="82" t="n"/>
      <c r="X842" s="82" t="n"/>
      <c r="Y842" s="82" t="n"/>
      <c r="Z842" s="82" t="n"/>
    </row>
    <row r="843" ht="15.75" customHeight="1" s="83">
      <c r="A843" s="82" t="n"/>
      <c r="B843" s="82" t="n"/>
      <c r="C843" s="82" t="n"/>
      <c r="D843" s="82" t="n"/>
      <c r="E843" s="81" t="n"/>
      <c r="F843" s="82" t="n"/>
      <c r="G843" s="82" t="n"/>
      <c r="H843" s="82" t="n"/>
      <c r="I843" s="82" t="n"/>
      <c r="J843" s="82" t="n"/>
      <c r="K843" s="82" t="n"/>
      <c r="L843" s="82" t="n"/>
      <c r="M843" s="82" t="n"/>
      <c r="N843" s="82" t="n"/>
      <c r="O843" s="82" t="n"/>
      <c r="P843" s="82" t="n"/>
      <c r="Q843" s="82" t="n"/>
      <c r="R843" s="82" t="n"/>
      <c r="S843" s="82" t="n"/>
      <c r="T843" s="82" t="n"/>
      <c r="U843" s="82" t="n"/>
      <c r="V843" s="82" t="n"/>
      <c r="W843" s="82" t="n"/>
      <c r="X843" s="82" t="n"/>
      <c r="Y843" s="82" t="n"/>
      <c r="Z843" s="82" t="n"/>
    </row>
    <row r="844" ht="15.75" customHeight="1" s="83">
      <c r="A844" s="82" t="n"/>
      <c r="B844" s="82" t="n"/>
      <c r="C844" s="82" t="n"/>
      <c r="D844" s="82" t="n"/>
      <c r="E844" s="81" t="n"/>
      <c r="F844" s="82" t="n"/>
      <c r="G844" s="82" t="n"/>
      <c r="H844" s="82" t="n"/>
      <c r="I844" s="82" t="n"/>
      <c r="J844" s="82" t="n"/>
      <c r="K844" s="82" t="n"/>
      <c r="L844" s="82" t="n"/>
      <c r="M844" s="82" t="n"/>
      <c r="N844" s="82" t="n"/>
      <c r="O844" s="82" t="n"/>
      <c r="P844" s="82" t="n"/>
      <c r="Q844" s="82" t="n"/>
      <c r="R844" s="82" t="n"/>
      <c r="S844" s="82" t="n"/>
      <c r="T844" s="82" t="n"/>
      <c r="U844" s="82" t="n"/>
      <c r="V844" s="82" t="n"/>
      <c r="W844" s="82" t="n"/>
      <c r="X844" s="82" t="n"/>
      <c r="Y844" s="82" t="n"/>
      <c r="Z844" s="82" t="n"/>
    </row>
    <row r="845" ht="15.75" customHeight="1" s="83">
      <c r="A845" s="82" t="n"/>
      <c r="B845" s="82" t="n"/>
      <c r="C845" s="82" t="n"/>
      <c r="D845" s="82" t="n"/>
      <c r="E845" s="81" t="n"/>
      <c r="F845" s="82" t="n"/>
      <c r="G845" s="82" t="n"/>
      <c r="H845" s="82" t="n"/>
      <c r="I845" s="82" t="n"/>
      <c r="J845" s="82" t="n"/>
      <c r="K845" s="82" t="n"/>
      <c r="L845" s="82" t="n"/>
      <c r="M845" s="82" t="n"/>
      <c r="N845" s="82" t="n"/>
      <c r="O845" s="82" t="n"/>
      <c r="P845" s="82" t="n"/>
      <c r="Q845" s="82" t="n"/>
      <c r="R845" s="82" t="n"/>
      <c r="S845" s="82" t="n"/>
      <c r="T845" s="82" t="n"/>
      <c r="U845" s="82" t="n"/>
      <c r="V845" s="82" t="n"/>
      <c r="W845" s="82" t="n"/>
      <c r="X845" s="82" t="n"/>
      <c r="Y845" s="82" t="n"/>
      <c r="Z845" s="82" t="n"/>
    </row>
    <row r="846" ht="15.75" customHeight="1" s="83">
      <c r="A846" s="82" t="n"/>
      <c r="B846" s="82" t="n"/>
      <c r="C846" s="82" t="n"/>
      <c r="D846" s="82" t="n"/>
      <c r="E846" s="81" t="n"/>
      <c r="F846" s="82" t="n"/>
      <c r="G846" s="82" t="n"/>
      <c r="H846" s="82" t="n"/>
      <c r="I846" s="82" t="n"/>
      <c r="J846" s="82" t="n"/>
      <c r="K846" s="82" t="n"/>
      <c r="L846" s="82" t="n"/>
      <c r="M846" s="82" t="n"/>
      <c r="N846" s="82" t="n"/>
      <c r="O846" s="82" t="n"/>
      <c r="P846" s="82" t="n"/>
      <c r="Q846" s="82" t="n"/>
      <c r="R846" s="82" t="n"/>
      <c r="S846" s="82" t="n"/>
      <c r="T846" s="82" t="n"/>
      <c r="U846" s="82" t="n"/>
      <c r="V846" s="82" t="n"/>
      <c r="W846" s="82" t="n"/>
      <c r="X846" s="82" t="n"/>
      <c r="Y846" s="82" t="n"/>
      <c r="Z846" s="82" t="n"/>
    </row>
    <row r="847" ht="15.75" customHeight="1" s="83">
      <c r="A847" s="82" t="n"/>
      <c r="B847" s="82" t="n"/>
      <c r="C847" s="82" t="n"/>
      <c r="D847" s="82" t="n"/>
      <c r="E847" s="81" t="n"/>
      <c r="F847" s="82" t="n"/>
      <c r="G847" s="82" t="n"/>
      <c r="H847" s="82" t="n"/>
      <c r="I847" s="82" t="n"/>
      <c r="J847" s="82" t="n"/>
      <c r="K847" s="82" t="n"/>
      <c r="L847" s="82" t="n"/>
      <c r="M847" s="82" t="n"/>
      <c r="N847" s="82" t="n"/>
      <c r="O847" s="82" t="n"/>
      <c r="P847" s="82" t="n"/>
      <c r="Q847" s="82" t="n"/>
      <c r="R847" s="82" t="n"/>
      <c r="S847" s="82" t="n"/>
      <c r="T847" s="82" t="n"/>
      <c r="U847" s="82" t="n"/>
      <c r="V847" s="82" t="n"/>
      <c r="W847" s="82" t="n"/>
      <c r="X847" s="82" t="n"/>
      <c r="Y847" s="82" t="n"/>
      <c r="Z847" s="82" t="n"/>
    </row>
    <row r="848" ht="15.75" customHeight="1" s="83">
      <c r="A848" s="82" t="n"/>
      <c r="B848" s="82" t="n"/>
      <c r="C848" s="82" t="n"/>
      <c r="D848" s="82" t="n"/>
      <c r="E848" s="81" t="n"/>
      <c r="F848" s="82" t="n"/>
      <c r="G848" s="82" t="n"/>
      <c r="H848" s="82" t="n"/>
      <c r="I848" s="82" t="n"/>
      <c r="J848" s="82" t="n"/>
      <c r="K848" s="82" t="n"/>
      <c r="L848" s="82" t="n"/>
      <c r="M848" s="82" t="n"/>
      <c r="N848" s="82" t="n"/>
      <c r="O848" s="82" t="n"/>
      <c r="P848" s="82" t="n"/>
      <c r="Q848" s="82" t="n"/>
      <c r="R848" s="82" t="n"/>
      <c r="S848" s="82" t="n"/>
      <c r="T848" s="82" t="n"/>
      <c r="U848" s="82" t="n"/>
      <c r="V848" s="82" t="n"/>
      <c r="W848" s="82" t="n"/>
      <c r="X848" s="82" t="n"/>
      <c r="Y848" s="82" t="n"/>
      <c r="Z848" s="82" t="n"/>
    </row>
    <row r="849" ht="15.75" customHeight="1" s="83">
      <c r="A849" s="82" t="n"/>
      <c r="B849" s="82" t="n"/>
      <c r="C849" s="82" t="n"/>
      <c r="D849" s="82" t="n"/>
      <c r="E849" s="81" t="n"/>
      <c r="F849" s="82" t="n"/>
      <c r="G849" s="82" t="n"/>
      <c r="H849" s="82" t="n"/>
      <c r="I849" s="82" t="n"/>
      <c r="J849" s="82" t="n"/>
      <c r="K849" s="82" t="n"/>
      <c r="L849" s="82" t="n"/>
      <c r="M849" s="82" t="n"/>
      <c r="N849" s="82" t="n"/>
      <c r="O849" s="82" t="n"/>
      <c r="P849" s="82" t="n"/>
      <c r="Q849" s="82" t="n"/>
      <c r="R849" s="82" t="n"/>
      <c r="S849" s="82" t="n"/>
      <c r="T849" s="82" t="n"/>
      <c r="U849" s="82" t="n"/>
      <c r="V849" s="82" t="n"/>
      <c r="W849" s="82" t="n"/>
      <c r="X849" s="82" t="n"/>
      <c r="Y849" s="82" t="n"/>
      <c r="Z849" s="82" t="n"/>
    </row>
    <row r="850" ht="15.75" customHeight="1" s="83">
      <c r="A850" s="82" t="n"/>
      <c r="B850" s="82" t="n"/>
      <c r="C850" s="82" t="n"/>
      <c r="D850" s="82" t="n"/>
      <c r="E850" s="81" t="n"/>
      <c r="F850" s="82" t="n"/>
      <c r="G850" s="82" t="n"/>
      <c r="H850" s="82" t="n"/>
      <c r="I850" s="82" t="n"/>
      <c r="J850" s="82" t="n"/>
      <c r="K850" s="82" t="n"/>
      <c r="L850" s="82" t="n"/>
      <c r="M850" s="82" t="n"/>
      <c r="N850" s="82" t="n"/>
      <c r="O850" s="82" t="n"/>
      <c r="P850" s="82" t="n"/>
      <c r="Q850" s="82" t="n"/>
      <c r="R850" s="82" t="n"/>
      <c r="S850" s="82" t="n"/>
      <c r="T850" s="82" t="n"/>
      <c r="U850" s="82" t="n"/>
      <c r="V850" s="82" t="n"/>
      <c r="W850" s="82" t="n"/>
      <c r="X850" s="82" t="n"/>
      <c r="Y850" s="82" t="n"/>
      <c r="Z850" s="82" t="n"/>
    </row>
    <row r="851" ht="15.75" customHeight="1" s="83">
      <c r="A851" s="82" t="n"/>
      <c r="B851" s="82" t="n"/>
      <c r="C851" s="82" t="n"/>
      <c r="D851" s="82" t="n"/>
      <c r="E851" s="81" t="n"/>
      <c r="F851" s="82" t="n"/>
      <c r="G851" s="82" t="n"/>
      <c r="H851" s="82" t="n"/>
      <c r="I851" s="82" t="n"/>
      <c r="J851" s="82" t="n"/>
      <c r="K851" s="82" t="n"/>
      <c r="L851" s="82" t="n"/>
      <c r="M851" s="82" t="n"/>
      <c r="N851" s="82" t="n"/>
      <c r="O851" s="82" t="n"/>
      <c r="P851" s="82" t="n"/>
      <c r="Q851" s="82" t="n"/>
      <c r="R851" s="82" t="n"/>
      <c r="S851" s="82" t="n"/>
      <c r="T851" s="82" t="n"/>
      <c r="U851" s="82" t="n"/>
      <c r="V851" s="82" t="n"/>
      <c r="W851" s="82" t="n"/>
      <c r="X851" s="82" t="n"/>
      <c r="Y851" s="82" t="n"/>
      <c r="Z851" s="82" t="n"/>
    </row>
    <row r="852" ht="15.75" customHeight="1" s="83">
      <c r="A852" s="82" t="n"/>
      <c r="B852" s="82" t="n"/>
      <c r="C852" s="82" t="n"/>
      <c r="D852" s="82" t="n"/>
      <c r="E852" s="81" t="n"/>
      <c r="F852" s="82" t="n"/>
      <c r="G852" s="82" t="n"/>
      <c r="H852" s="82" t="n"/>
      <c r="I852" s="82" t="n"/>
      <c r="J852" s="82" t="n"/>
      <c r="K852" s="82" t="n"/>
      <c r="L852" s="82" t="n"/>
      <c r="M852" s="82" t="n"/>
      <c r="N852" s="82" t="n"/>
      <c r="O852" s="82" t="n"/>
      <c r="P852" s="82" t="n"/>
      <c r="Q852" s="82" t="n"/>
      <c r="R852" s="82" t="n"/>
      <c r="S852" s="82" t="n"/>
      <c r="T852" s="82" t="n"/>
      <c r="U852" s="82" t="n"/>
      <c r="V852" s="82" t="n"/>
      <c r="W852" s="82" t="n"/>
      <c r="X852" s="82" t="n"/>
      <c r="Y852" s="82" t="n"/>
      <c r="Z852" s="82" t="n"/>
    </row>
    <row r="853" ht="15.75" customHeight="1" s="83">
      <c r="A853" s="82" t="n"/>
      <c r="B853" s="82" t="n"/>
      <c r="C853" s="82" t="n"/>
      <c r="D853" s="82" t="n"/>
      <c r="E853" s="81" t="n"/>
      <c r="F853" s="82" t="n"/>
      <c r="G853" s="82" t="n"/>
      <c r="H853" s="82" t="n"/>
      <c r="I853" s="82" t="n"/>
      <c r="J853" s="82" t="n"/>
      <c r="K853" s="82" t="n"/>
      <c r="L853" s="82" t="n"/>
      <c r="M853" s="82" t="n"/>
      <c r="N853" s="82" t="n"/>
      <c r="O853" s="82" t="n"/>
      <c r="P853" s="82" t="n"/>
      <c r="Q853" s="82" t="n"/>
      <c r="R853" s="82" t="n"/>
      <c r="S853" s="82" t="n"/>
      <c r="T853" s="82" t="n"/>
      <c r="U853" s="82" t="n"/>
      <c r="V853" s="82" t="n"/>
      <c r="W853" s="82" t="n"/>
      <c r="X853" s="82" t="n"/>
      <c r="Y853" s="82" t="n"/>
      <c r="Z853" s="82" t="n"/>
    </row>
    <row r="854" ht="15.75" customHeight="1" s="83">
      <c r="A854" s="82" t="n"/>
      <c r="B854" s="82" t="n"/>
      <c r="C854" s="82" t="n"/>
      <c r="D854" s="82" t="n"/>
      <c r="E854" s="81" t="n"/>
      <c r="F854" s="82" t="n"/>
      <c r="G854" s="82" t="n"/>
      <c r="H854" s="82" t="n"/>
      <c r="I854" s="82" t="n"/>
      <c r="J854" s="82" t="n"/>
      <c r="K854" s="82" t="n"/>
      <c r="L854" s="82" t="n"/>
      <c r="M854" s="82" t="n"/>
      <c r="N854" s="82" t="n"/>
      <c r="O854" s="82" t="n"/>
      <c r="P854" s="82" t="n"/>
      <c r="Q854" s="82" t="n"/>
      <c r="R854" s="82" t="n"/>
      <c r="S854" s="82" t="n"/>
      <c r="T854" s="82" t="n"/>
      <c r="U854" s="82" t="n"/>
      <c r="V854" s="82" t="n"/>
      <c r="W854" s="82" t="n"/>
      <c r="X854" s="82" t="n"/>
      <c r="Y854" s="82" t="n"/>
      <c r="Z854" s="82" t="n"/>
    </row>
    <row r="855" ht="15.75" customHeight="1" s="83">
      <c r="A855" s="82" t="n"/>
      <c r="B855" s="82" t="n"/>
      <c r="C855" s="82" t="n"/>
      <c r="D855" s="82" t="n"/>
      <c r="E855" s="81" t="n"/>
      <c r="F855" s="82" t="n"/>
      <c r="G855" s="82" t="n"/>
      <c r="H855" s="82" t="n"/>
      <c r="I855" s="82" t="n"/>
      <c r="J855" s="82" t="n"/>
      <c r="K855" s="82" t="n"/>
      <c r="L855" s="82" t="n"/>
      <c r="M855" s="82" t="n"/>
      <c r="N855" s="82" t="n"/>
      <c r="O855" s="82" t="n"/>
      <c r="P855" s="82" t="n"/>
      <c r="Q855" s="82" t="n"/>
      <c r="R855" s="82" t="n"/>
      <c r="S855" s="82" t="n"/>
      <c r="T855" s="82" t="n"/>
      <c r="U855" s="82" t="n"/>
      <c r="V855" s="82" t="n"/>
      <c r="W855" s="82" t="n"/>
      <c r="X855" s="82" t="n"/>
      <c r="Y855" s="82" t="n"/>
      <c r="Z855" s="82" t="n"/>
    </row>
    <row r="856" ht="15.75" customHeight="1" s="83">
      <c r="A856" s="82" t="n"/>
      <c r="B856" s="82" t="n"/>
      <c r="C856" s="82" t="n"/>
      <c r="D856" s="82" t="n"/>
      <c r="E856" s="81" t="n"/>
      <c r="F856" s="82" t="n"/>
      <c r="G856" s="82" t="n"/>
      <c r="H856" s="82" t="n"/>
      <c r="I856" s="82" t="n"/>
      <c r="J856" s="82" t="n"/>
      <c r="K856" s="82" t="n"/>
      <c r="L856" s="82" t="n"/>
      <c r="M856" s="82" t="n"/>
      <c r="N856" s="82" t="n"/>
      <c r="O856" s="82" t="n"/>
      <c r="P856" s="82" t="n"/>
      <c r="Q856" s="82" t="n"/>
      <c r="R856" s="82" t="n"/>
      <c r="S856" s="82" t="n"/>
      <c r="T856" s="82" t="n"/>
      <c r="U856" s="82" t="n"/>
      <c r="V856" s="82" t="n"/>
      <c r="W856" s="82" t="n"/>
      <c r="X856" s="82" t="n"/>
      <c r="Y856" s="82" t="n"/>
      <c r="Z856" s="82" t="n"/>
    </row>
    <row r="857" ht="15.75" customHeight="1" s="83">
      <c r="A857" s="82" t="n"/>
      <c r="B857" s="82" t="n"/>
      <c r="C857" s="82" t="n"/>
      <c r="D857" s="82" t="n"/>
      <c r="E857" s="81" t="n"/>
      <c r="F857" s="82" t="n"/>
      <c r="G857" s="82" t="n"/>
      <c r="H857" s="82" t="n"/>
      <c r="I857" s="82" t="n"/>
      <c r="J857" s="82" t="n"/>
      <c r="K857" s="82" t="n"/>
      <c r="L857" s="82" t="n"/>
      <c r="M857" s="82" t="n"/>
      <c r="N857" s="82" t="n"/>
      <c r="O857" s="82" t="n"/>
      <c r="P857" s="82" t="n"/>
      <c r="Q857" s="82" t="n"/>
      <c r="R857" s="82" t="n"/>
      <c r="S857" s="82" t="n"/>
      <c r="T857" s="82" t="n"/>
      <c r="U857" s="82" t="n"/>
      <c r="V857" s="82" t="n"/>
      <c r="W857" s="82" t="n"/>
      <c r="X857" s="82" t="n"/>
      <c r="Y857" s="82" t="n"/>
      <c r="Z857" s="82" t="n"/>
    </row>
    <row r="858" ht="15.75" customHeight="1" s="83">
      <c r="A858" s="82" t="n"/>
      <c r="B858" s="82" t="n"/>
      <c r="C858" s="82" t="n"/>
      <c r="D858" s="82" t="n"/>
      <c r="E858" s="81" t="n"/>
      <c r="F858" s="82" t="n"/>
      <c r="G858" s="82" t="n"/>
      <c r="H858" s="82" t="n"/>
      <c r="I858" s="82" t="n"/>
      <c r="J858" s="82" t="n"/>
      <c r="K858" s="82" t="n"/>
      <c r="L858" s="82" t="n"/>
      <c r="M858" s="82" t="n"/>
      <c r="N858" s="82" t="n"/>
      <c r="O858" s="82" t="n"/>
      <c r="P858" s="82" t="n"/>
      <c r="Q858" s="82" t="n"/>
      <c r="R858" s="82" t="n"/>
      <c r="S858" s="82" t="n"/>
      <c r="T858" s="82" t="n"/>
      <c r="U858" s="82" t="n"/>
      <c r="V858" s="82" t="n"/>
      <c r="W858" s="82" t="n"/>
      <c r="X858" s="82" t="n"/>
      <c r="Y858" s="82" t="n"/>
      <c r="Z858" s="82" t="n"/>
    </row>
    <row r="859" ht="15.75" customHeight="1" s="83">
      <c r="A859" s="82" t="n"/>
      <c r="B859" s="82" t="n"/>
      <c r="C859" s="82" t="n"/>
      <c r="D859" s="82" t="n"/>
      <c r="E859" s="81" t="n"/>
      <c r="F859" s="82" t="n"/>
      <c r="G859" s="82" t="n"/>
      <c r="H859" s="82" t="n"/>
      <c r="I859" s="82" t="n"/>
      <c r="J859" s="82" t="n"/>
      <c r="K859" s="82" t="n"/>
      <c r="L859" s="82" t="n"/>
      <c r="M859" s="82" t="n"/>
      <c r="N859" s="82" t="n"/>
      <c r="O859" s="82" t="n"/>
      <c r="P859" s="82" t="n"/>
      <c r="Q859" s="82" t="n"/>
      <c r="R859" s="82" t="n"/>
      <c r="S859" s="82" t="n"/>
      <c r="T859" s="82" t="n"/>
      <c r="U859" s="82" t="n"/>
      <c r="V859" s="82" t="n"/>
      <c r="W859" s="82" t="n"/>
      <c r="X859" s="82" t="n"/>
      <c r="Y859" s="82" t="n"/>
      <c r="Z859" s="82" t="n"/>
    </row>
    <row r="860" ht="15.75" customHeight="1" s="83">
      <c r="A860" s="82" t="n"/>
      <c r="B860" s="82" t="n"/>
      <c r="C860" s="82" t="n"/>
      <c r="D860" s="82" t="n"/>
      <c r="E860" s="81" t="n"/>
      <c r="F860" s="82" t="n"/>
      <c r="G860" s="82" t="n"/>
      <c r="H860" s="82" t="n"/>
      <c r="I860" s="82" t="n"/>
      <c r="J860" s="82" t="n"/>
      <c r="K860" s="82" t="n"/>
      <c r="L860" s="82" t="n"/>
      <c r="M860" s="82" t="n"/>
      <c r="N860" s="82" t="n"/>
      <c r="O860" s="82" t="n"/>
      <c r="P860" s="82" t="n"/>
      <c r="Q860" s="82" t="n"/>
      <c r="R860" s="82" t="n"/>
      <c r="S860" s="82" t="n"/>
      <c r="T860" s="82" t="n"/>
      <c r="U860" s="82" t="n"/>
      <c r="V860" s="82" t="n"/>
      <c r="W860" s="82" t="n"/>
      <c r="X860" s="82" t="n"/>
      <c r="Y860" s="82" t="n"/>
      <c r="Z860" s="82" t="n"/>
    </row>
    <row r="861" ht="15.75" customHeight="1" s="83">
      <c r="A861" s="82" t="n"/>
      <c r="B861" s="82" t="n"/>
      <c r="C861" s="82" t="n"/>
      <c r="D861" s="82" t="n"/>
      <c r="E861" s="81" t="n"/>
      <c r="F861" s="82" t="n"/>
      <c r="G861" s="82" t="n"/>
      <c r="H861" s="82" t="n"/>
      <c r="I861" s="82" t="n"/>
      <c r="J861" s="82" t="n"/>
      <c r="K861" s="82" t="n"/>
      <c r="L861" s="82" t="n"/>
      <c r="M861" s="82" t="n"/>
      <c r="N861" s="82" t="n"/>
      <c r="O861" s="82" t="n"/>
      <c r="P861" s="82" t="n"/>
      <c r="Q861" s="82" t="n"/>
      <c r="R861" s="82" t="n"/>
      <c r="S861" s="82" t="n"/>
      <c r="T861" s="82" t="n"/>
      <c r="U861" s="82" t="n"/>
      <c r="V861" s="82" t="n"/>
      <c r="W861" s="82" t="n"/>
      <c r="X861" s="82" t="n"/>
      <c r="Y861" s="82" t="n"/>
      <c r="Z861" s="82" t="n"/>
    </row>
    <row r="862" ht="15.75" customHeight="1" s="83">
      <c r="A862" s="82" t="n"/>
      <c r="B862" s="82" t="n"/>
      <c r="C862" s="82" t="n"/>
      <c r="D862" s="82" t="n"/>
      <c r="E862" s="81" t="n"/>
      <c r="F862" s="82" t="n"/>
      <c r="G862" s="82" t="n"/>
      <c r="H862" s="82" t="n"/>
      <c r="I862" s="82" t="n"/>
      <c r="J862" s="82" t="n"/>
      <c r="K862" s="82" t="n"/>
      <c r="L862" s="82" t="n"/>
      <c r="M862" s="82" t="n"/>
      <c r="N862" s="82" t="n"/>
      <c r="O862" s="82" t="n"/>
      <c r="P862" s="82" t="n"/>
      <c r="Q862" s="82" t="n"/>
      <c r="R862" s="82" t="n"/>
      <c r="S862" s="82" t="n"/>
      <c r="T862" s="82" t="n"/>
      <c r="U862" s="82" t="n"/>
      <c r="V862" s="82" t="n"/>
      <c r="W862" s="82" t="n"/>
      <c r="X862" s="82" t="n"/>
      <c r="Y862" s="82" t="n"/>
      <c r="Z862" s="82" t="n"/>
    </row>
    <row r="863" ht="15.75" customHeight="1" s="83">
      <c r="A863" s="82" t="n"/>
      <c r="B863" s="82" t="n"/>
      <c r="C863" s="82" t="n"/>
      <c r="D863" s="82" t="n"/>
      <c r="E863" s="81" t="n"/>
      <c r="F863" s="82" t="n"/>
      <c r="G863" s="82" t="n"/>
      <c r="H863" s="82" t="n"/>
      <c r="I863" s="82" t="n"/>
      <c r="J863" s="82" t="n"/>
      <c r="K863" s="82" t="n"/>
      <c r="L863" s="82" t="n"/>
      <c r="M863" s="82" t="n"/>
      <c r="N863" s="82" t="n"/>
      <c r="O863" s="82" t="n"/>
      <c r="P863" s="82" t="n"/>
      <c r="Q863" s="82" t="n"/>
      <c r="R863" s="82" t="n"/>
      <c r="S863" s="82" t="n"/>
      <c r="T863" s="82" t="n"/>
      <c r="U863" s="82" t="n"/>
      <c r="V863" s="82" t="n"/>
      <c r="W863" s="82" t="n"/>
      <c r="X863" s="82" t="n"/>
      <c r="Y863" s="82" t="n"/>
      <c r="Z863" s="82" t="n"/>
    </row>
    <row r="864" ht="15.75" customHeight="1" s="83">
      <c r="A864" s="82" t="n"/>
      <c r="B864" s="82" t="n"/>
      <c r="C864" s="82" t="n"/>
      <c r="D864" s="82" t="n"/>
      <c r="E864" s="81" t="n"/>
      <c r="F864" s="82" t="n"/>
      <c r="G864" s="82" t="n"/>
      <c r="H864" s="82" t="n"/>
      <c r="I864" s="82" t="n"/>
      <c r="J864" s="82" t="n"/>
      <c r="K864" s="82" t="n"/>
      <c r="L864" s="82" t="n"/>
      <c r="M864" s="82" t="n"/>
      <c r="N864" s="82" t="n"/>
      <c r="O864" s="82" t="n"/>
      <c r="P864" s="82" t="n"/>
      <c r="Q864" s="82" t="n"/>
      <c r="R864" s="82" t="n"/>
      <c r="S864" s="82" t="n"/>
      <c r="T864" s="82" t="n"/>
      <c r="U864" s="82" t="n"/>
      <c r="V864" s="82" t="n"/>
      <c r="W864" s="82" t="n"/>
      <c r="X864" s="82" t="n"/>
      <c r="Y864" s="82" t="n"/>
      <c r="Z864" s="82" t="n"/>
    </row>
    <row r="865" ht="15.75" customHeight="1" s="83">
      <c r="A865" s="82" t="n"/>
      <c r="B865" s="82" t="n"/>
      <c r="C865" s="82" t="n"/>
      <c r="D865" s="82" t="n"/>
      <c r="E865" s="81" t="n"/>
      <c r="F865" s="82" t="n"/>
      <c r="G865" s="82" t="n"/>
      <c r="H865" s="82" t="n"/>
      <c r="I865" s="82" t="n"/>
      <c r="J865" s="82" t="n"/>
      <c r="K865" s="82" t="n"/>
      <c r="L865" s="82" t="n"/>
      <c r="M865" s="82" t="n"/>
      <c r="N865" s="82" t="n"/>
      <c r="O865" s="82" t="n"/>
      <c r="P865" s="82" t="n"/>
      <c r="Q865" s="82" t="n"/>
      <c r="R865" s="82" t="n"/>
      <c r="S865" s="82" t="n"/>
      <c r="T865" s="82" t="n"/>
      <c r="U865" s="82" t="n"/>
      <c r="V865" s="82" t="n"/>
      <c r="W865" s="82" t="n"/>
      <c r="X865" s="82" t="n"/>
      <c r="Y865" s="82" t="n"/>
      <c r="Z865" s="82" t="n"/>
    </row>
    <row r="866" ht="15.75" customHeight="1" s="83">
      <c r="A866" s="82" t="n"/>
      <c r="B866" s="82" t="n"/>
      <c r="C866" s="82" t="n"/>
      <c r="D866" s="82" t="n"/>
      <c r="E866" s="81" t="n"/>
      <c r="F866" s="82" t="n"/>
      <c r="G866" s="82" t="n"/>
      <c r="H866" s="82" t="n"/>
      <c r="I866" s="82" t="n"/>
      <c r="J866" s="82" t="n"/>
      <c r="K866" s="82" t="n"/>
      <c r="L866" s="82" t="n"/>
      <c r="M866" s="82" t="n"/>
      <c r="N866" s="82" t="n"/>
      <c r="O866" s="82" t="n"/>
      <c r="P866" s="82" t="n"/>
      <c r="Q866" s="82" t="n"/>
      <c r="R866" s="82" t="n"/>
      <c r="S866" s="82" t="n"/>
      <c r="T866" s="82" t="n"/>
      <c r="U866" s="82" t="n"/>
      <c r="V866" s="82" t="n"/>
      <c r="W866" s="82" t="n"/>
      <c r="X866" s="82" t="n"/>
      <c r="Y866" s="82" t="n"/>
      <c r="Z866" s="82" t="n"/>
    </row>
    <row r="867" ht="15.75" customHeight="1" s="83">
      <c r="A867" s="82" t="n"/>
      <c r="B867" s="82" t="n"/>
      <c r="C867" s="82" t="n"/>
      <c r="D867" s="82" t="n"/>
      <c r="E867" s="81" t="n"/>
      <c r="F867" s="82" t="n"/>
      <c r="G867" s="82" t="n"/>
      <c r="H867" s="82" t="n"/>
      <c r="I867" s="82" t="n"/>
      <c r="J867" s="82" t="n"/>
      <c r="K867" s="82" t="n"/>
      <c r="L867" s="82" t="n"/>
      <c r="M867" s="82" t="n"/>
      <c r="N867" s="82" t="n"/>
      <c r="O867" s="82" t="n"/>
      <c r="P867" s="82" t="n"/>
      <c r="Q867" s="82" t="n"/>
      <c r="R867" s="82" t="n"/>
      <c r="S867" s="82" t="n"/>
      <c r="T867" s="82" t="n"/>
      <c r="U867" s="82" t="n"/>
      <c r="V867" s="82" t="n"/>
      <c r="W867" s="82" t="n"/>
      <c r="X867" s="82" t="n"/>
      <c r="Y867" s="82" t="n"/>
      <c r="Z867" s="82" t="n"/>
    </row>
    <row r="868" ht="15.75" customHeight="1" s="83">
      <c r="A868" s="82" t="n"/>
      <c r="B868" s="82" t="n"/>
      <c r="C868" s="82" t="n"/>
      <c r="D868" s="82" t="n"/>
      <c r="E868" s="81" t="n"/>
      <c r="F868" s="82" t="n"/>
      <c r="G868" s="82" t="n"/>
      <c r="H868" s="82" t="n"/>
      <c r="I868" s="82" t="n"/>
      <c r="J868" s="82" t="n"/>
      <c r="K868" s="82" t="n"/>
      <c r="L868" s="82" t="n"/>
      <c r="M868" s="82" t="n"/>
      <c r="N868" s="82" t="n"/>
      <c r="O868" s="82" t="n"/>
      <c r="P868" s="82" t="n"/>
      <c r="Q868" s="82" t="n"/>
      <c r="R868" s="82" t="n"/>
      <c r="S868" s="82" t="n"/>
      <c r="T868" s="82" t="n"/>
      <c r="U868" s="82" t="n"/>
      <c r="V868" s="82" t="n"/>
      <c r="W868" s="82" t="n"/>
      <c r="X868" s="82" t="n"/>
      <c r="Y868" s="82" t="n"/>
      <c r="Z868" s="82" t="n"/>
    </row>
    <row r="869" ht="15.75" customHeight="1" s="83">
      <c r="A869" s="82" t="n"/>
      <c r="B869" s="82" t="n"/>
      <c r="C869" s="82" t="n"/>
      <c r="D869" s="82" t="n"/>
      <c r="E869" s="81" t="n"/>
      <c r="F869" s="82" t="n"/>
      <c r="G869" s="82" t="n"/>
      <c r="H869" s="82" t="n"/>
      <c r="I869" s="82" t="n"/>
      <c r="J869" s="82" t="n"/>
      <c r="K869" s="82" t="n"/>
      <c r="L869" s="82" t="n"/>
      <c r="M869" s="82" t="n"/>
      <c r="N869" s="82" t="n"/>
      <c r="O869" s="82" t="n"/>
      <c r="P869" s="82" t="n"/>
      <c r="Q869" s="82" t="n"/>
      <c r="R869" s="82" t="n"/>
      <c r="S869" s="82" t="n"/>
      <c r="T869" s="82" t="n"/>
      <c r="U869" s="82" t="n"/>
      <c r="V869" s="82" t="n"/>
      <c r="W869" s="82" t="n"/>
      <c r="X869" s="82" t="n"/>
      <c r="Y869" s="82" t="n"/>
      <c r="Z869" s="82" t="n"/>
    </row>
    <row r="870" ht="15.75" customHeight="1" s="83">
      <c r="A870" s="82" t="n"/>
      <c r="B870" s="82" t="n"/>
      <c r="C870" s="82" t="n"/>
      <c r="D870" s="82" t="n"/>
      <c r="E870" s="81" t="n"/>
      <c r="F870" s="82" t="n"/>
      <c r="G870" s="82" t="n"/>
      <c r="H870" s="82" t="n"/>
      <c r="I870" s="82" t="n"/>
      <c r="J870" s="82" t="n"/>
      <c r="K870" s="82" t="n"/>
      <c r="L870" s="82" t="n"/>
      <c r="M870" s="82" t="n"/>
      <c r="N870" s="82" t="n"/>
      <c r="O870" s="82" t="n"/>
      <c r="P870" s="82" t="n"/>
      <c r="Q870" s="82" t="n"/>
      <c r="R870" s="82" t="n"/>
      <c r="S870" s="82" t="n"/>
      <c r="T870" s="82" t="n"/>
      <c r="U870" s="82" t="n"/>
      <c r="V870" s="82" t="n"/>
      <c r="W870" s="82" t="n"/>
      <c r="X870" s="82" t="n"/>
      <c r="Y870" s="82" t="n"/>
      <c r="Z870" s="82" t="n"/>
    </row>
    <row r="871" ht="15.75" customHeight="1" s="83">
      <c r="A871" s="82" t="n"/>
      <c r="B871" s="82" t="n"/>
      <c r="C871" s="82" t="n"/>
      <c r="D871" s="82" t="n"/>
      <c r="E871" s="81" t="n"/>
      <c r="F871" s="82" t="n"/>
      <c r="G871" s="82" t="n"/>
      <c r="H871" s="82" t="n"/>
      <c r="I871" s="82" t="n"/>
      <c r="J871" s="82" t="n"/>
      <c r="K871" s="82" t="n"/>
      <c r="L871" s="82" t="n"/>
      <c r="M871" s="82" t="n"/>
      <c r="N871" s="82" t="n"/>
      <c r="O871" s="82" t="n"/>
      <c r="P871" s="82" t="n"/>
      <c r="Q871" s="82" t="n"/>
      <c r="R871" s="82" t="n"/>
      <c r="S871" s="82" t="n"/>
      <c r="T871" s="82" t="n"/>
      <c r="U871" s="82" t="n"/>
      <c r="V871" s="82" t="n"/>
      <c r="W871" s="82" t="n"/>
      <c r="X871" s="82" t="n"/>
      <c r="Y871" s="82" t="n"/>
      <c r="Z871" s="82" t="n"/>
    </row>
    <row r="872" ht="15.75" customHeight="1" s="83">
      <c r="A872" s="82" t="n"/>
      <c r="B872" s="82" t="n"/>
      <c r="C872" s="82" t="n"/>
      <c r="D872" s="82" t="n"/>
      <c r="E872" s="81" t="n"/>
      <c r="F872" s="82" t="n"/>
      <c r="G872" s="82" t="n"/>
      <c r="H872" s="82" t="n"/>
      <c r="I872" s="82" t="n"/>
      <c r="J872" s="82" t="n"/>
      <c r="K872" s="82" t="n"/>
      <c r="L872" s="82" t="n"/>
      <c r="M872" s="82" t="n"/>
      <c r="N872" s="82" t="n"/>
      <c r="O872" s="82" t="n"/>
      <c r="P872" s="82" t="n"/>
      <c r="Q872" s="82" t="n"/>
      <c r="R872" s="82" t="n"/>
      <c r="S872" s="82" t="n"/>
      <c r="T872" s="82" t="n"/>
      <c r="U872" s="82" t="n"/>
      <c r="V872" s="82" t="n"/>
      <c r="W872" s="82" t="n"/>
      <c r="X872" s="82" t="n"/>
      <c r="Y872" s="82" t="n"/>
      <c r="Z872" s="82" t="n"/>
    </row>
    <row r="873" ht="15.75" customHeight="1" s="83">
      <c r="A873" s="82" t="n"/>
      <c r="B873" s="82" t="n"/>
      <c r="C873" s="82" t="n"/>
      <c r="D873" s="82" t="n"/>
      <c r="E873" s="81" t="n"/>
      <c r="F873" s="82" t="n"/>
      <c r="G873" s="82" t="n"/>
      <c r="H873" s="82" t="n"/>
      <c r="I873" s="82" t="n"/>
      <c r="J873" s="82" t="n"/>
      <c r="K873" s="82" t="n"/>
      <c r="L873" s="82" t="n"/>
      <c r="M873" s="82" t="n"/>
      <c r="N873" s="82" t="n"/>
      <c r="O873" s="82" t="n"/>
      <c r="P873" s="82" t="n"/>
      <c r="Q873" s="82" t="n"/>
      <c r="R873" s="82" t="n"/>
      <c r="S873" s="82" t="n"/>
      <c r="T873" s="82" t="n"/>
      <c r="U873" s="82" t="n"/>
      <c r="V873" s="82" t="n"/>
      <c r="W873" s="82" t="n"/>
      <c r="X873" s="82" t="n"/>
      <c r="Y873" s="82" t="n"/>
      <c r="Z873" s="82" t="n"/>
    </row>
    <row r="874" ht="15.75" customHeight="1" s="83">
      <c r="A874" s="82" t="n"/>
      <c r="B874" s="82" t="n"/>
      <c r="C874" s="82" t="n"/>
      <c r="D874" s="82" t="n"/>
      <c r="E874" s="81" t="n"/>
      <c r="F874" s="82" t="n"/>
      <c r="G874" s="82" t="n"/>
      <c r="H874" s="82" t="n"/>
      <c r="I874" s="82" t="n"/>
      <c r="J874" s="82" t="n"/>
      <c r="K874" s="82" t="n"/>
      <c r="L874" s="82" t="n"/>
      <c r="M874" s="82" t="n"/>
      <c r="N874" s="82" t="n"/>
      <c r="O874" s="82" t="n"/>
      <c r="P874" s="82" t="n"/>
      <c r="Q874" s="82" t="n"/>
      <c r="R874" s="82" t="n"/>
      <c r="S874" s="82" t="n"/>
      <c r="T874" s="82" t="n"/>
      <c r="U874" s="82" t="n"/>
      <c r="V874" s="82" t="n"/>
      <c r="W874" s="82" t="n"/>
      <c r="X874" s="82" t="n"/>
      <c r="Y874" s="82" t="n"/>
      <c r="Z874" s="82" t="n"/>
    </row>
    <row r="875" ht="15.75" customHeight="1" s="83">
      <c r="A875" s="82" t="n"/>
      <c r="B875" s="82" t="n"/>
      <c r="C875" s="82" t="n"/>
      <c r="D875" s="82" t="n"/>
      <c r="E875" s="81" t="n"/>
      <c r="F875" s="82" t="n"/>
      <c r="G875" s="82" t="n"/>
      <c r="H875" s="82" t="n"/>
      <c r="I875" s="82" t="n"/>
      <c r="J875" s="82" t="n"/>
      <c r="K875" s="82" t="n"/>
      <c r="L875" s="82" t="n"/>
      <c r="M875" s="82" t="n"/>
      <c r="N875" s="82" t="n"/>
      <c r="O875" s="82" t="n"/>
      <c r="P875" s="82" t="n"/>
      <c r="Q875" s="82" t="n"/>
      <c r="R875" s="82" t="n"/>
      <c r="S875" s="82" t="n"/>
      <c r="T875" s="82" t="n"/>
      <c r="U875" s="82" t="n"/>
      <c r="V875" s="82" t="n"/>
      <c r="W875" s="82" t="n"/>
      <c r="X875" s="82" t="n"/>
      <c r="Y875" s="82" t="n"/>
      <c r="Z875" s="82" t="n"/>
    </row>
    <row r="876" ht="15.75" customHeight="1" s="83">
      <c r="A876" s="82" t="n"/>
      <c r="B876" s="82" t="n"/>
      <c r="C876" s="82" t="n"/>
      <c r="D876" s="82" t="n"/>
      <c r="E876" s="81" t="n"/>
      <c r="F876" s="82" t="n"/>
      <c r="G876" s="82" t="n"/>
      <c r="H876" s="82" t="n"/>
      <c r="I876" s="82" t="n"/>
      <c r="J876" s="82" t="n"/>
      <c r="K876" s="82" t="n"/>
      <c r="L876" s="82" t="n"/>
      <c r="M876" s="82" t="n"/>
      <c r="N876" s="82" t="n"/>
      <c r="O876" s="82" t="n"/>
      <c r="P876" s="82" t="n"/>
      <c r="Q876" s="82" t="n"/>
      <c r="R876" s="82" t="n"/>
      <c r="S876" s="82" t="n"/>
      <c r="T876" s="82" t="n"/>
      <c r="U876" s="82" t="n"/>
      <c r="V876" s="82" t="n"/>
      <c r="W876" s="82" t="n"/>
      <c r="X876" s="82" t="n"/>
      <c r="Y876" s="82" t="n"/>
      <c r="Z876" s="82" t="n"/>
    </row>
    <row r="877" ht="15.75" customHeight="1" s="83">
      <c r="A877" s="82" t="n"/>
      <c r="B877" s="82" t="n"/>
      <c r="C877" s="82" t="n"/>
      <c r="D877" s="82" t="n"/>
      <c r="E877" s="81" t="n"/>
      <c r="F877" s="82" t="n"/>
      <c r="G877" s="82" t="n"/>
      <c r="H877" s="82" t="n"/>
      <c r="I877" s="82" t="n"/>
      <c r="J877" s="82" t="n"/>
      <c r="K877" s="82" t="n"/>
      <c r="L877" s="82" t="n"/>
      <c r="M877" s="82" t="n"/>
      <c r="N877" s="82" t="n"/>
      <c r="O877" s="82" t="n"/>
      <c r="P877" s="82" t="n"/>
      <c r="Q877" s="82" t="n"/>
      <c r="R877" s="82" t="n"/>
      <c r="S877" s="82" t="n"/>
      <c r="T877" s="82" t="n"/>
      <c r="U877" s="82" t="n"/>
      <c r="V877" s="82" t="n"/>
      <c r="W877" s="82" t="n"/>
      <c r="X877" s="82" t="n"/>
      <c r="Y877" s="82" t="n"/>
      <c r="Z877" s="82" t="n"/>
    </row>
    <row r="878" ht="15.75" customHeight="1" s="83">
      <c r="A878" s="82" t="n"/>
      <c r="B878" s="82" t="n"/>
      <c r="C878" s="82" t="n"/>
      <c r="D878" s="82" t="n"/>
      <c r="E878" s="81" t="n"/>
      <c r="F878" s="82" t="n"/>
      <c r="G878" s="82" t="n"/>
      <c r="H878" s="82" t="n"/>
      <c r="I878" s="82" t="n"/>
      <c r="J878" s="82" t="n"/>
      <c r="K878" s="82" t="n"/>
      <c r="L878" s="82" t="n"/>
      <c r="M878" s="82" t="n"/>
      <c r="N878" s="82" t="n"/>
      <c r="O878" s="82" t="n"/>
      <c r="P878" s="82" t="n"/>
      <c r="Q878" s="82" t="n"/>
      <c r="R878" s="82" t="n"/>
      <c r="S878" s="82" t="n"/>
      <c r="T878" s="82" t="n"/>
      <c r="U878" s="82" t="n"/>
      <c r="V878" s="82" t="n"/>
      <c r="W878" s="82" t="n"/>
      <c r="X878" s="82" t="n"/>
      <c r="Y878" s="82" t="n"/>
      <c r="Z878" s="82" t="n"/>
    </row>
    <row r="879" ht="15.75" customHeight="1" s="83">
      <c r="A879" s="82" t="n"/>
      <c r="B879" s="82" t="n"/>
      <c r="C879" s="82" t="n"/>
      <c r="D879" s="82" t="n"/>
      <c r="E879" s="81" t="n"/>
      <c r="F879" s="82" t="n"/>
      <c r="G879" s="82" t="n"/>
      <c r="H879" s="82" t="n"/>
      <c r="I879" s="82" t="n"/>
      <c r="J879" s="82" t="n"/>
      <c r="K879" s="82" t="n"/>
      <c r="L879" s="82" t="n"/>
      <c r="M879" s="82" t="n"/>
      <c r="N879" s="82" t="n"/>
      <c r="O879" s="82" t="n"/>
      <c r="P879" s="82" t="n"/>
      <c r="Q879" s="82" t="n"/>
      <c r="R879" s="82" t="n"/>
      <c r="S879" s="82" t="n"/>
      <c r="T879" s="82" t="n"/>
      <c r="U879" s="82" t="n"/>
      <c r="V879" s="82" t="n"/>
      <c r="W879" s="82" t="n"/>
      <c r="X879" s="82" t="n"/>
      <c r="Y879" s="82" t="n"/>
      <c r="Z879" s="82" t="n"/>
    </row>
    <row r="880" ht="15.75" customHeight="1" s="83">
      <c r="A880" s="82" t="n"/>
      <c r="B880" s="82" t="n"/>
      <c r="C880" s="82" t="n"/>
      <c r="D880" s="82" t="n"/>
      <c r="E880" s="81" t="n"/>
      <c r="F880" s="82" t="n"/>
      <c r="G880" s="82" t="n"/>
      <c r="H880" s="82" t="n"/>
      <c r="I880" s="82" t="n"/>
      <c r="J880" s="82" t="n"/>
      <c r="K880" s="82" t="n"/>
      <c r="L880" s="82" t="n"/>
      <c r="M880" s="82" t="n"/>
      <c r="N880" s="82" t="n"/>
      <c r="O880" s="82" t="n"/>
      <c r="P880" s="82" t="n"/>
      <c r="Q880" s="82" t="n"/>
      <c r="R880" s="82" t="n"/>
      <c r="S880" s="82" t="n"/>
      <c r="T880" s="82" t="n"/>
      <c r="U880" s="82" t="n"/>
      <c r="V880" s="82" t="n"/>
      <c r="W880" s="82" t="n"/>
      <c r="X880" s="82" t="n"/>
      <c r="Y880" s="82" t="n"/>
      <c r="Z880" s="82" t="n"/>
    </row>
    <row r="881" ht="15.75" customHeight="1" s="83">
      <c r="A881" s="82" t="n"/>
      <c r="B881" s="82" t="n"/>
      <c r="C881" s="82" t="n"/>
      <c r="D881" s="82" t="n"/>
      <c r="E881" s="81" t="n"/>
      <c r="F881" s="82" t="n"/>
      <c r="G881" s="82" t="n"/>
      <c r="H881" s="82" t="n"/>
      <c r="I881" s="82" t="n"/>
      <c r="J881" s="82" t="n"/>
      <c r="K881" s="82" t="n"/>
      <c r="L881" s="82" t="n"/>
      <c r="M881" s="82" t="n"/>
      <c r="N881" s="82" t="n"/>
      <c r="O881" s="82" t="n"/>
      <c r="P881" s="82" t="n"/>
      <c r="Q881" s="82" t="n"/>
      <c r="R881" s="82" t="n"/>
      <c r="S881" s="82" t="n"/>
      <c r="T881" s="82" t="n"/>
      <c r="U881" s="82" t="n"/>
      <c r="V881" s="82" t="n"/>
      <c r="W881" s="82" t="n"/>
      <c r="X881" s="82" t="n"/>
      <c r="Y881" s="82" t="n"/>
      <c r="Z881" s="82" t="n"/>
    </row>
    <row r="882" ht="15.75" customHeight="1" s="83">
      <c r="A882" s="82" t="n"/>
      <c r="B882" s="82" t="n"/>
      <c r="C882" s="82" t="n"/>
      <c r="D882" s="82" t="n"/>
      <c r="E882" s="81" t="n"/>
      <c r="F882" s="82" t="n"/>
      <c r="G882" s="82" t="n"/>
      <c r="H882" s="82" t="n"/>
      <c r="I882" s="82" t="n"/>
      <c r="J882" s="82" t="n"/>
      <c r="K882" s="82" t="n"/>
      <c r="L882" s="82" t="n"/>
      <c r="M882" s="82" t="n"/>
      <c r="N882" s="82" t="n"/>
      <c r="O882" s="82" t="n"/>
      <c r="P882" s="82" t="n"/>
      <c r="Q882" s="82" t="n"/>
      <c r="R882" s="82" t="n"/>
      <c r="S882" s="82" t="n"/>
      <c r="T882" s="82" t="n"/>
      <c r="U882" s="82" t="n"/>
      <c r="V882" s="82" t="n"/>
      <c r="W882" s="82" t="n"/>
      <c r="X882" s="82" t="n"/>
      <c r="Y882" s="82" t="n"/>
      <c r="Z882" s="82" t="n"/>
    </row>
    <row r="883" ht="15.75" customHeight="1" s="83">
      <c r="A883" s="82" t="n"/>
      <c r="B883" s="82" t="n"/>
      <c r="C883" s="82" t="n"/>
      <c r="D883" s="82" t="n"/>
      <c r="E883" s="81" t="n"/>
      <c r="F883" s="82" t="n"/>
      <c r="G883" s="82" t="n"/>
      <c r="H883" s="82" t="n"/>
      <c r="I883" s="82" t="n"/>
      <c r="J883" s="82" t="n"/>
      <c r="K883" s="82" t="n"/>
      <c r="L883" s="82" t="n"/>
      <c r="M883" s="82" t="n"/>
      <c r="N883" s="82" t="n"/>
      <c r="O883" s="82" t="n"/>
      <c r="P883" s="82" t="n"/>
      <c r="Q883" s="82" t="n"/>
      <c r="R883" s="82" t="n"/>
      <c r="S883" s="82" t="n"/>
      <c r="T883" s="82" t="n"/>
      <c r="U883" s="82" t="n"/>
      <c r="V883" s="82" t="n"/>
      <c r="W883" s="82" t="n"/>
      <c r="X883" s="82" t="n"/>
      <c r="Y883" s="82" t="n"/>
      <c r="Z883" s="82" t="n"/>
    </row>
    <row r="884" ht="15.75" customHeight="1" s="83">
      <c r="A884" s="82" t="n"/>
      <c r="B884" s="82" t="n"/>
      <c r="C884" s="82" t="n"/>
      <c r="D884" s="82" t="n"/>
      <c r="E884" s="81" t="n"/>
      <c r="F884" s="82" t="n"/>
      <c r="G884" s="82" t="n"/>
      <c r="H884" s="82" t="n"/>
      <c r="I884" s="82" t="n"/>
      <c r="J884" s="82" t="n"/>
      <c r="K884" s="82" t="n"/>
      <c r="L884" s="82" t="n"/>
      <c r="M884" s="82" t="n"/>
      <c r="N884" s="82" t="n"/>
      <c r="O884" s="82" t="n"/>
      <c r="P884" s="82" t="n"/>
      <c r="Q884" s="82" t="n"/>
      <c r="R884" s="82" t="n"/>
      <c r="S884" s="82" t="n"/>
      <c r="T884" s="82" t="n"/>
      <c r="U884" s="82" t="n"/>
      <c r="V884" s="82" t="n"/>
      <c r="W884" s="82" t="n"/>
      <c r="X884" s="82" t="n"/>
      <c r="Y884" s="82" t="n"/>
      <c r="Z884" s="82" t="n"/>
    </row>
    <row r="885" ht="15.75" customHeight="1" s="83">
      <c r="A885" s="82" t="n"/>
      <c r="B885" s="82" t="n"/>
      <c r="C885" s="82" t="n"/>
      <c r="D885" s="82" t="n"/>
      <c r="E885" s="81" t="n"/>
      <c r="F885" s="82" t="n"/>
      <c r="G885" s="82" t="n"/>
      <c r="H885" s="82" t="n"/>
      <c r="I885" s="82" t="n"/>
      <c r="J885" s="82" t="n"/>
      <c r="K885" s="82" t="n"/>
      <c r="L885" s="82" t="n"/>
      <c r="M885" s="82" t="n"/>
      <c r="N885" s="82" t="n"/>
      <c r="O885" s="82" t="n"/>
      <c r="P885" s="82" t="n"/>
      <c r="Q885" s="82" t="n"/>
      <c r="R885" s="82" t="n"/>
      <c r="S885" s="82" t="n"/>
      <c r="T885" s="82" t="n"/>
      <c r="U885" s="82" t="n"/>
      <c r="V885" s="82" t="n"/>
      <c r="W885" s="82" t="n"/>
      <c r="X885" s="82" t="n"/>
      <c r="Y885" s="82" t="n"/>
      <c r="Z885" s="82" t="n"/>
    </row>
    <row r="886" ht="15.75" customHeight="1" s="83">
      <c r="A886" s="82" t="n"/>
      <c r="B886" s="82" t="n"/>
      <c r="C886" s="82" t="n"/>
      <c r="D886" s="82" t="n"/>
      <c r="E886" s="81" t="n"/>
      <c r="F886" s="82" t="n"/>
      <c r="G886" s="82" t="n"/>
      <c r="H886" s="82" t="n"/>
      <c r="I886" s="82" t="n"/>
      <c r="J886" s="82" t="n"/>
      <c r="K886" s="82" t="n"/>
      <c r="L886" s="82" t="n"/>
      <c r="M886" s="82" t="n"/>
      <c r="N886" s="82" t="n"/>
      <c r="O886" s="82" t="n"/>
      <c r="P886" s="82" t="n"/>
      <c r="Q886" s="82" t="n"/>
      <c r="R886" s="82" t="n"/>
      <c r="S886" s="82" t="n"/>
      <c r="T886" s="82" t="n"/>
      <c r="U886" s="82" t="n"/>
      <c r="V886" s="82" t="n"/>
      <c r="W886" s="82" t="n"/>
      <c r="X886" s="82" t="n"/>
      <c r="Y886" s="82" t="n"/>
      <c r="Z886" s="82" t="n"/>
    </row>
    <row r="887" ht="15.75" customHeight="1" s="83">
      <c r="A887" s="82" t="n"/>
      <c r="B887" s="82" t="n"/>
      <c r="C887" s="82" t="n"/>
      <c r="D887" s="82" t="n"/>
      <c r="E887" s="81" t="n"/>
      <c r="F887" s="82" t="n"/>
      <c r="G887" s="82" t="n"/>
      <c r="H887" s="82" t="n"/>
      <c r="I887" s="82" t="n"/>
      <c r="J887" s="82" t="n"/>
      <c r="K887" s="82" t="n"/>
      <c r="L887" s="82" t="n"/>
      <c r="M887" s="82" t="n"/>
      <c r="N887" s="82" t="n"/>
      <c r="O887" s="82" t="n"/>
      <c r="P887" s="82" t="n"/>
      <c r="Q887" s="82" t="n"/>
      <c r="R887" s="82" t="n"/>
      <c r="S887" s="82" t="n"/>
      <c r="T887" s="82" t="n"/>
      <c r="U887" s="82" t="n"/>
      <c r="V887" s="82" t="n"/>
      <c r="W887" s="82" t="n"/>
      <c r="X887" s="82" t="n"/>
      <c r="Y887" s="82" t="n"/>
      <c r="Z887" s="82" t="n"/>
    </row>
    <row r="888" ht="15.75" customHeight="1" s="83">
      <c r="A888" s="82" t="n"/>
      <c r="B888" s="82" t="n"/>
      <c r="C888" s="82" t="n"/>
      <c r="D888" s="82" t="n"/>
      <c r="E888" s="81" t="n"/>
      <c r="F888" s="82" t="n"/>
      <c r="G888" s="82" t="n"/>
      <c r="H888" s="82" t="n"/>
      <c r="I888" s="82" t="n"/>
      <c r="J888" s="82" t="n"/>
      <c r="K888" s="82" t="n"/>
      <c r="L888" s="82" t="n"/>
      <c r="M888" s="82" t="n"/>
      <c r="N888" s="82" t="n"/>
      <c r="O888" s="82" t="n"/>
      <c r="P888" s="82" t="n"/>
      <c r="Q888" s="82" t="n"/>
      <c r="R888" s="82" t="n"/>
      <c r="S888" s="82" t="n"/>
      <c r="T888" s="82" t="n"/>
      <c r="U888" s="82" t="n"/>
      <c r="V888" s="82" t="n"/>
      <c r="W888" s="82" t="n"/>
      <c r="X888" s="82" t="n"/>
      <c r="Y888" s="82" t="n"/>
      <c r="Z888" s="82" t="n"/>
    </row>
    <row r="889" ht="15.75" customHeight="1" s="83">
      <c r="A889" s="82" t="n"/>
      <c r="B889" s="82" t="n"/>
      <c r="C889" s="82" t="n"/>
      <c r="D889" s="82" t="n"/>
      <c r="E889" s="81" t="n"/>
      <c r="F889" s="82" t="n"/>
      <c r="G889" s="82" t="n"/>
      <c r="H889" s="82" t="n"/>
      <c r="I889" s="82" t="n"/>
      <c r="J889" s="82" t="n"/>
      <c r="K889" s="82" t="n"/>
      <c r="L889" s="82" t="n"/>
      <c r="M889" s="82" t="n"/>
      <c r="N889" s="82" t="n"/>
      <c r="O889" s="82" t="n"/>
      <c r="P889" s="82" t="n"/>
      <c r="Q889" s="82" t="n"/>
      <c r="R889" s="82" t="n"/>
      <c r="S889" s="82" t="n"/>
      <c r="T889" s="82" t="n"/>
      <c r="U889" s="82" t="n"/>
      <c r="V889" s="82" t="n"/>
      <c r="W889" s="82" t="n"/>
      <c r="X889" s="82" t="n"/>
      <c r="Y889" s="82" t="n"/>
      <c r="Z889" s="82" t="n"/>
    </row>
    <row r="890" ht="15.75" customHeight="1" s="83">
      <c r="A890" s="82" t="n"/>
      <c r="B890" s="82" t="n"/>
      <c r="C890" s="82" t="n"/>
      <c r="D890" s="82" t="n"/>
      <c r="E890" s="81" t="n"/>
      <c r="F890" s="82" t="n"/>
      <c r="G890" s="82" t="n"/>
      <c r="H890" s="82" t="n"/>
      <c r="I890" s="82" t="n"/>
      <c r="J890" s="82" t="n"/>
      <c r="K890" s="82" t="n"/>
      <c r="L890" s="82" t="n"/>
      <c r="M890" s="82" t="n"/>
      <c r="N890" s="82" t="n"/>
      <c r="O890" s="82" t="n"/>
      <c r="P890" s="82" t="n"/>
      <c r="Q890" s="82" t="n"/>
      <c r="R890" s="82" t="n"/>
      <c r="S890" s="82" t="n"/>
      <c r="T890" s="82" t="n"/>
      <c r="U890" s="82" t="n"/>
      <c r="V890" s="82" t="n"/>
      <c r="W890" s="82" t="n"/>
      <c r="X890" s="82" t="n"/>
      <c r="Y890" s="82" t="n"/>
      <c r="Z890" s="82" t="n"/>
    </row>
    <row r="891" ht="15.75" customHeight="1" s="83">
      <c r="A891" s="82" t="n"/>
      <c r="B891" s="82" t="n"/>
      <c r="C891" s="82" t="n"/>
      <c r="D891" s="82" t="n"/>
      <c r="E891" s="81" t="n"/>
      <c r="F891" s="82" t="n"/>
      <c r="G891" s="82" t="n"/>
      <c r="H891" s="82" t="n"/>
      <c r="I891" s="82" t="n"/>
      <c r="J891" s="82" t="n"/>
      <c r="K891" s="82" t="n"/>
      <c r="L891" s="82" t="n"/>
      <c r="M891" s="82" t="n"/>
      <c r="N891" s="82" t="n"/>
      <c r="O891" s="82" t="n"/>
      <c r="P891" s="82" t="n"/>
      <c r="Q891" s="82" t="n"/>
      <c r="R891" s="82" t="n"/>
      <c r="S891" s="82" t="n"/>
      <c r="T891" s="82" t="n"/>
      <c r="U891" s="82" t="n"/>
      <c r="V891" s="82" t="n"/>
      <c r="W891" s="82" t="n"/>
      <c r="X891" s="82" t="n"/>
      <c r="Y891" s="82" t="n"/>
      <c r="Z891" s="82" t="n"/>
    </row>
    <row r="892" ht="15.75" customHeight="1" s="83">
      <c r="A892" s="82" t="n"/>
      <c r="B892" s="82" t="n"/>
      <c r="C892" s="82" t="n"/>
      <c r="D892" s="82" t="n"/>
      <c r="E892" s="81" t="n"/>
      <c r="F892" s="82" t="n"/>
      <c r="G892" s="82" t="n"/>
      <c r="H892" s="82" t="n"/>
      <c r="I892" s="82" t="n"/>
      <c r="J892" s="82" t="n"/>
      <c r="K892" s="82" t="n"/>
      <c r="L892" s="82" t="n"/>
      <c r="M892" s="82" t="n"/>
      <c r="N892" s="82" t="n"/>
      <c r="O892" s="82" t="n"/>
      <c r="P892" s="82" t="n"/>
      <c r="Q892" s="82" t="n"/>
      <c r="R892" s="82" t="n"/>
      <c r="S892" s="82" t="n"/>
      <c r="T892" s="82" t="n"/>
      <c r="U892" s="82" t="n"/>
      <c r="V892" s="82" t="n"/>
      <c r="W892" s="82" t="n"/>
      <c r="X892" s="82" t="n"/>
      <c r="Y892" s="82" t="n"/>
      <c r="Z892" s="82" t="n"/>
    </row>
    <row r="893" ht="15.75" customHeight="1" s="83">
      <c r="A893" s="82" t="n"/>
      <c r="B893" s="82" t="n"/>
      <c r="C893" s="82" t="n"/>
      <c r="D893" s="82" t="n"/>
      <c r="E893" s="81" t="n"/>
      <c r="F893" s="82" t="n"/>
      <c r="G893" s="82" t="n"/>
      <c r="H893" s="82" t="n"/>
      <c r="I893" s="82" t="n"/>
      <c r="J893" s="82" t="n"/>
      <c r="K893" s="82" t="n"/>
      <c r="L893" s="82" t="n"/>
      <c r="M893" s="82" t="n"/>
      <c r="N893" s="82" t="n"/>
      <c r="O893" s="82" t="n"/>
      <c r="P893" s="82" t="n"/>
      <c r="Q893" s="82" t="n"/>
      <c r="R893" s="82" t="n"/>
      <c r="S893" s="82" t="n"/>
      <c r="T893" s="82" t="n"/>
      <c r="U893" s="82" t="n"/>
      <c r="V893" s="82" t="n"/>
      <c r="W893" s="82" t="n"/>
      <c r="X893" s="82" t="n"/>
      <c r="Y893" s="82" t="n"/>
      <c r="Z893" s="82" t="n"/>
    </row>
    <row r="894" ht="15.75" customHeight="1" s="83">
      <c r="A894" s="82" t="n"/>
      <c r="B894" s="82" t="n"/>
      <c r="C894" s="82" t="n"/>
      <c r="D894" s="82" t="n"/>
      <c r="E894" s="81" t="n"/>
      <c r="F894" s="82" t="n"/>
      <c r="G894" s="82" t="n"/>
      <c r="H894" s="82" t="n"/>
      <c r="I894" s="82" t="n"/>
      <c r="J894" s="82" t="n"/>
      <c r="K894" s="82" t="n"/>
      <c r="L894" s="82" t="n"/>
      <c r="M894" s="82" t="n"/>
      <c r="N894" s="82" t="n"/>
      <c r="O894" s="82" t="n"/>
      <c r="P894" s="82" t="n"/>
      <c r="Q894" s="82" t="n"/>
      <c r="R894" s="82" t="n"/>
      <c r="S894" s="82" t="n"/>
      <c r="T894" s="82" t="n"/>
      <c r="U894" s="82" t="n"/>
      <c r="V894" s="82" t="n"/>
      <c r="W894" s="82" t="n"/>
      <c r="X894" s="82" t="n"/>
      <c r="Y894" s="82" t="n"/>
      <c r="Z894" s="82" t="n"/>
    </row>
    <row r="895" ht="15.75" customHeight="1" s="83">
      <c r="A895" s="82" t="n"/>
      <c r="B895" s="82" t="n"/>
      <c r="C895" s="82" t="n"/>
      <c r="D895" s="82" t="n"/>
      <c r="E895" s="81" t="n"/>
      <c r="F895" s="82" t="n"/>
      <c r="G895" s="82" t="n"/>
      <c r="H895" s="82" t="n"/>
      <c r="I895" s="82" t="n"/>
      <c r="J895" s="82" t="n"/>
      <c r="K895" s="82" t="n"/>
      <c r="L895" s="82" t="n"/>
      <c r="M895" s="82" t="n"/>
      <c r="N895" s="82" t="n"/>
      <c r="O895" s="82" t="n"/>
      <c r="P895" s="82" t="n"/>
      <c r="Q895" s="82" t="n"/>
      <c r="R895" s="82" t="n"/>
      <c r="S895" s="82" t="n"/>
      <c r="T895" s="82" t="n"/>
      <c r="U895" s="82" t="n"/>
      <c r="V895" s="82" t="n"/>
      <c r="W895" s="82" t="n"/>
      <c r="X895" s="82" t="n"/>
      <c r="Y895" s="82" t="n"/>
      <c r="Z895" s="82" t="n"/>
    </row>
    <row r="896" ht="15.75" customHeight="1" s="83">
      <c r="A896" s="82" t="n"/>
      <c r="B896" s="82" t="n"/>
      <c r="C896" s="82" t="n"/>
      <c r="D896" s="82" t="n"/>
      <c r="E896" s="81" t="n"/>
      <c r="F896" s="82" t="n"/>
      <c r="G896" s="82" t="n"/>
      <c r="H896" s="82" t="n"/>
      <c r="I896" s="82" t="n"/>
      <c r="J896" s="82" t="n"/>
      <c r="K896" s="82" t="n"/>
      <c r="L896" s="82" t="n"/>
      <c r="M896" s="82" t="n"/>
      <c r="N896" s="82" t="n"/>
      <c r="O896" s="82" t="n"/>
      <c r="P896" s="82" t="n"/>
      <c r="Q896" s="82" t="n"/>
      <c r="R896" s="82" t="n"/>
      <c r="S896" s="82" t="n"/>
      <c r="T896" s="82" t="n"/>
      <c r="U896" s="82" t="n"/>
      <c r="V896" s="82" t="n"/>
      <c r="W896" s="82" t="n"/>
      <c r="X896" s="82" t="n"/>
      <c r="Y896" s="82" t="n"/>
      <c r="Z896" s="82" t="n"/>
    </row>
    <row r="897" ht="15.75" customHeight="1" s="83">
      <c r="A897" s="82" t="n"/>
      <c r="B897" s="82" t="n"/>
      <c r="C897" s="82" t="n"/>
      <c r="D897" s="82" t="n"/>
      <c r="E897" s="81" t="n"/>
      <c r="F897" s="82" t="n"/>
      <c r="G897" s="82" t="n"/>
      <c r="H897" s="82" t="n"/>
      <c r="I897" s="82" t="n"/>
      <c r="J897" s="82" t="n"/>
      <c r="K897" s="82" t="n"/>
      <c r="L897" s="82" t="n"/>
      <c r="M897" s="82" t="n"/>
      <c r="N897" s="82" t="n"/>
      <c r="O897" s="82" t="n"/>
      <c r="P897" s="82" t="n"/>
      <c r="Q897" s="82" t="n"/>
      <c r="R897" s="82" t="n"/>
      <c r="S897" s="82" t="n"/>
      <c r="T897" s="82" t="n"/>
      <c r="U897" s="82" t="n"/>
      <c r="V897" s="82" t="n"/>
      <c r="W897" s="82" t="n"/>
      <c r="X897" s="82" t="n"/>
      <c r="Y897" s="82" t="n"/>
      <c r="Z897" s="82" t="n"/>
    </row>
    <row r="898" ht="15.75" customHeight="1" s="83">
      <c r="A898" s="82" t="n"/>
      <c r="B898" s="82" t="n"/>
      <c r="C898" s="82" t="n"/>
      <c r="D898" s="82" t="n"/>
      <c r="E898" s="81" t="n"/>
      <c r="F898" s="82" t="n"/>
      <c r="G898" s="82" t="n"/>
      <c r="H898" s="82" t="n"/>
      <c r="I898" s="82" t="n"/>
      <c r="J898" s="82" t="n"/>
      <c r="K898" s="82" t="n"/>
      <c r="L898" s="82" t="n"/>
      <c r="M898" s="82" t="n"/>
      <c r="N898" s="82" t="n"/>
      <c r="O898" s="82" t="n"/>
      <c r="P898" s="82" t="n"/>
      <c r="Q898" s="82" t="n"/>
      <c r="R898" s="82" t="n"/>
      <c r="S898" s="82" t="n"/>
      <c r="T898" s="82" t="n"/>
      <c r="U898" s="82" t="n"/>
      <c r="V898" s="82" t="n"/>
      <c r="W898" s="82" t="n"/>
      <c r="X898" s="82" t="n"/>
      <c r="Y898" s="82" t="n"/>
      <c r="Z898" s="82" t="n"/>
    </row>
    <row r="899" ht="15.75" customHeight="1" s="83">
      <c r="A899" s="82" t="n"/>
      <c r="B899" s="82" t="n"/>
      <c r="C899" s="82" t="n"/>
      <c r="D899" s="82" t="n"/>
      <c r="E899" s="81" t="n"/>
      <c r="F899" s="82" t="n"/>
      <c r="G899" s="82" t="n"/>
      <c r="H899" s="82" t="n"/>
      <c r="I899" s="82" t="n"/>
      <c r="J899" s="82" t="n"/>
      <c r="K899" s="82" t="n"/>
      <c r="L899" s="82" t="n"/>
      <c r="M899" s="82" t="n"/>
      <c r="N899" s="82" t="n"/>
      <c r="O899" s="82" t="n"/>
      <c r="P899" s="82" t="n"/>
      <c r="Q899" s="82" t="n"/>
      <c r="R899" s="82" t="n"/>
      <c r="S899" s="82" t="n"/>
      <c r="T899" s="82" t="n"/>
      <c r="U899" s="82" t="n"/>
      <c r="V899" s="82" t="n"/>
      <c r="W899" s="82" t="n"/>
      <c r="X899" s="82" t="n"/>
      <c r="Y899" s="82" t="n"/>
      <c r="Z899" s="82" t="n"/>
    </row>
    <row r="900" ht="15.75" customHeight="1" s="83">
      <c r="A900" s="82" t="n"/>
      <c r="B900" s="82" t="n"/>
      <c r="C900" s="82" t="n"/>
      <c r="D900" s="82" t="n"/>
      <c r="E900" s="81" t="n"/>
      <c r="F900" s="82" t="n"/>
      <c r="G900" s="82" t="n"/>
      <c r="H900" s="82" t="n"/>
      <c r="I900" s="82" t="n"/>
      <c r="J900" s="82" t="n"/>
      <c r="K900" s="82" t="n"/>
      <c r="L900" s="82" t="n"/>
      <c r="M900" s="82" t="n"/>
      <c r="N900" s="82" t="n"/>
      <c r="O900" s="82" t="n"/>
      <c r="P900" s="82" t="n"/>
      <c r="Q900" s="82" t="n"/>
      <c r="R900" s="82" t="n"/>
      <c r="S900" s="82" t="n"/>
      <c r="T900" s="82" t="n"/>
      <c r="U900" s="82" t="n"/>
      <c r="V900" s="82" t="n"/>
      <c r="W900" s="82" t="n"/>
      <c r="X900" s="82" t="n"/>
      <c r="Y900" s="82" t="n"/>
      <c r="Z900" s="82" t="n"/>
    </row>
    <row r="901" ht="15.75" customHeight="1" s="83">
      <c r="A901" s="82" t="n"/>
      <c r="B901" s="82" t="n"/>
      <c r="C901" s="82" t="n"/>
      <c r="D901" s="82" t="n"/>
      <c r="E901" s="81" t="n"/>
      <c r="F901" s="82" t="n"/>
      <c r="G901" s="82" t="n"/>
      <c r="H901" s="82" t="n"/>
      <c r="I901" s="82" t="n"/>
      <c r="J901" s="82" t="n"/>
      <c r="K901" s="82" t="n"/>
      <c r="L901" s="82" t="n"/>
      <c r="M901" s="82" t="n"/>
      <c r="N901" s="82" t="n"/>
      <c r="O901" s="82" t="n"/>
      <c r="P901" s="82" t="n"/>
      <c r="Q901" s="82" t="n"/>
      <c r="R901" s="82" t="n"/>
      <c r="S901" s="82" t="n"/>
      <c r="T901" s="82" t="n"/>
      <c r="U901" s="82" t="n"/>
      <c r="V901" s="82" t="n"/>
      <c r="W901" s="82" t="n"/>
      <c r="X901" s="82" t="n"/>
      <c r="Y901" s="82" t="n"/>
      <c r="Z901" s="82" t="n"/>
    </row>
    <row r="902" ht="15.75" customHeight="1" s="83">
      <c r="A902" s="82" t="n"/>
      <c r="B902" s="82" t="n"/>
      <c r="C902" s="82" t="n"/>
      <c r="D902" s="82" t="n"/>
      <c r="E902" s="81" t="n"/>
      <c r="F902" s="82" t="n"/>
      <c r="G902" s="82" t="n"/>
      <c r="H902" s="82" t="n"/>
      <c r="I902" s="82" t="n"/>
      <c r="J902" s="82" t="n"/>
      <c r="K902" s="82" t="n"/>
      <c r="L902" s="82" t="n"/>
      <c r="M902" s="82" t="n"/>
      <c r="N902" s="82" t="n"/>
      <c r="O902" s="82" t="n"/>
      <c r="P902" s="82" t="n"/>
      <c r="Q902" s="82" t="n"/>
      <c r="R902" s="82" t="n"/>
      <c r="S902" s="82" t="n"/>
      <c r="T902" s="82" t="n"/>
      <c r="U902" s="82" t="n"/>
      <c r="V902" s="82" t="n"/>
      <c r="W902" s="82" t="n"/>
      <c r="X902" s="82" t="n"/>
      <c r="Y902" s="82" t="n"/>
      <c r="Z902" s="82" t="n"/>
    </row>
    <row r="903" ht="15.75" customHeight="1" s="83">
      <c r="A903" s="82" t="n"/>
      <c r="B903" s="82" t="n"/>
      <c r="C903" s="82" t="n"/>
      <c r="D903" s="82" t="n"/>
      <c r="E903" s="81" t="n"/>
      <c r="F903" s="82" t="n"/>
      <c r="G903" s="82" t="n"/>
      <c r="H903" s="82" t="n"/>
      <c r="I903" s="82" t="n"/>
      <c r="J903" s="82" t="n"/>
      <c r="K903" s="82" t="n"/>
      <c r="L903" s="82" t="n"/>
      <c r="M903" s="82" t="n"/>
      <c r="N903" s="82" t="n"/>
      <c r="O903" s="82" t="n"/>
      <c r="P903" s="82" t="n"/>
      <c r="Q903" s="82" t="n"/>
      <c r="R903" s="82" t="n"/>
      <c r="S903" s="82" t="n"/>
      <c r="T903" s="82" t="n"/>
      <c r="U903" s="82" t="n"/>
      <c r="V903" s="82" t="n"/>
      <c r="W903" s="82" t="n"/>
      <c r="X903" s="82" t="n"/>
      <c r="Y903" s="82" t="n"/>
      <c r="Z903" s="82" t="n"/>
    </row>
    <row r="904" ht="15.75" customHeight="1" s="83">
      <c r="A904" s="82" t="n"/>
      <c r="B904" s="82" t="n"/>
      <c r="C904" s="82" t="n"/>
      <c r="D904" s="82" t="n"/>
      <c r="E904" s="81" t="n"/>
      <c r="F904" s="82" t="n"/>
      <c r="G904" s="82" t="n"/>
      <c r="H904" s="82" t="n"/>
      <c r="I904" s="82" t="n"/>
      <c r="J904" s="82" t="n"/>
      <c r="K904" s="82" t="n"/>
      <c r="L904" s="82" t="n"/>
      <c r="M904" s="82" t="n"/>
      <c r="N904" s="82" t="n"/>
      <c r="O904" s="82" t="n"/>
      <c r="P904" s="82" t="n"/>
      <c r="Q904" s="82" t="n"/>
      <c r="R904" s="82" t="n"/>
      <c r="S904" s="82" t="n"/>
      <c r="T904" s="82" t="n"/>
      <c r="U904" s="82" t="n"/>
      <c r="V904" s="82" t="n"/>
      <c r="W904" s="82" t="n"/>
      <c r="X904" s="82" t="n"/>
      <c r="Y904" s="82" t="n"/>
      <c r="Z904" s="82" t="n"/>
    </row>
    <row r="905" ht="15.75" customHeight="1" s="83">
      <c r="A905" s="82" t="n"/>
      <c r="B905" s="82" t="n"/>
      <c r="C905" s="82" t="n"/>
      <c r="D905" s="82" t="n"/>
      <c r="E905" s="81" t="n"/>
      <c r="F905" s="82" t="n"/>
      <c r="G905" s="82" t="n"/>
      <c r="H905" s="82" t="n"/>
      <c r="I905" s="82" t="n"/>
      <c r="J905" s="82" t="n"/>
      <c r="K905" s="82" t="n"/>
      <c r="L905" s="82" t="n"/>
      <c r="M905" s="82" t="n"/>
      <c r="N905" s="82" t="n"/>
      <c r="O905" s="82" t="n"/>
      <c r="P905" s="82" t="n"/>
      <c r="Q905" s="82" t="n"/>
      <c r="R905" s="82" t="n"/>
      <c r="S905" s="82" t="n"/>
      <c r="T905" s="82" t="n"/>
      <c r="U905" s="82" t="n"/>
      <c r="V905" s="82" t="n"/>
      <c r="W905" s="82" t="n"/>
      <c r="X905" s="82" t="n"/>
      <c r="Y905" s="82" t="n"/>
      <c r="Z905" s="82" t="n"/>
    </row>
    <row r="906" ht="15.75" customHeight="1" s="83">
      <c r="A906" s="82" t="n"/>
      <c r="B906" s="82" t="n"/>
      <c r="C906" s="82" t="n"/>
      <c r="D906" s="82" t="n"/>
      <c r="E906" s="81" t="n"/>
      <c r="F906" s="82" t="n"/>
      <c r="G906" s="82" t="n"/>
      <c r="H906" s="82" t="n"/>
      <c r="I906" s="82" t="n"/>
      <c r="J906" s="82" t="n"/>
      <c r="K906" s="82" t="n"/>
      <c r="L906" s="82" t="n"/>
      <c r="M906" s="82" t="n"/>
      <c r="N906" s="82" t="n"/>
      <c r="O906" s="82" t="n"/>
      <c r="P906" s="82" t="n"/>
      <c r="Q906" s="82" t="n"/>
      <c r="R906" s="82" t="n"/>
      <c r="S906" s="82" t="n"/>
      <c r="T906" s="82" t="n"/>
      <c r="U906" s="82" t="n"/>
      <c r="V906" s="82" t="n"/>
      <c r="W906" s="82" t="n"/>
      <c r="X906" s="82" t="n"/>
      <c r="Y906" s="82" t="n"/>
      <c r="Z906" s="82" t="n"/>
    </row>
    <row r="907" ht="15.75" customHeight="1" s="83">
      <c r="A907" s="82" t="n"/>
      <c r="B907" s="82" t="n"/>
      <c r="C907" s="82" t="n"/>
      <c r="D907" s="82" t="n"/>
      <c r="E907" s="81" t="n"/>
      <c r="F907" s="82" t="n"/>
      <c r="G907" s="82" t="n"/>
      <c r="H907" s="82" t="n"/>
      <c r="I907" s="82" t="n"/>
      <c r="J907" s="82" t="n"/>
      <c r="K907" s="82" t="n"/>
      <c r="L907" s="82" t="n"/>
      <c r="M907" s="82" t="n"/>
      <c r="N907" s="82" t="n"/>
      <c r="O907" s="82" t="n"/>
      <c r="P907" s="82" t="n"/>
      <c r="Q907" s="82" t="n"/>
      <c r="R907" s="82" t="n"/>
      <c r="S907" s="82" t="n"/>
      <c r="T907" s="82" t="n"/>
      <c r="U907" s="82" t="n"/>
      <c r="V907" s="82" t="n"/>
      <c r="W907" s="82" t="n"/>
      <c r="X907" s="82" t="n"/>
      <c r="Y907" s="82" t="n"/>
      <c r="Z907" s="82" t="n"/>
    </row>
    <row r="908" ht="15.75" customHeight="1" s="83">
      <c r="A908" s="82" t="n"/>
      <c r="B908" s="82" t="n"/>
      <c r="C908" s="82" t="n"/>
      <c r="D908" s="82" t="n"/>
      <c r="E908" s="81" t="n"/>
      <c r="F908" s="82" t="n"/>
      <c r="G908" s="82" t="n"/>
      <c r="H908" s="82" t="n"/>
      <c r="I908" s="82" t="n"/>
      <c r="J908" s="82" t="n"/>
      <c r="K908" s="82" t="n"/>
      <c r="L908" s="82" t="n"/>
      <c r="M908" s="82" t="n"/>
      <c r="N908" s="82" t="n"/>
      <c r="O908" s="82" t="n"/>
      <c r="P908" s="82" t="n"/>
      <c r="Q908" s="82" t="n"/>
      <c r="R908" s="82" t="n"/>
      <c r="S908" s="82" t="n"/>
      <c r="T908" s="82" t="n"/>
      <c r="U908" s="82" t="n"/>
      <c r="V908" s="82" t="n"/>
      <c r="W908" s="82" t="n"/>
      <c r="X908" s="82" t="n"/>
      <c r="Y908" s="82" t="n"/>
      <c r="Z908" s="82" t="n"/>
    </row>
    <row r="909" ht="15.75" customHeight="1" s="83">
      <c r="A909" s="82" t="n"/>
      <c r="B909" s="82" t="n"/>
      <c r="C909" s="82" t="n"/>
      <c r="D909" s="82" t="n"/>
      <c r="E909" s="81" t="n"/>
      <c r="F909" s="82" t="n"/>
      <c r="G909" s="82" t="n"/>
      <c r="H909" s="82" t="n"/>
      <c r="I909" s="82" t="n"/>
      <c r="J909" s="82" t="n"/>
      <c r="K909" s="82" t="n"/>
      <c r="L909" s="82" t="n"/>
      <c r="M909" s="82" t="n"/>
      <c r="N909" s="82" t="n"/>
      <c r="O909" s="82" t="n"/>
      <c r="P909" s="82" t="n"/>
      <c r="Q909" s="82" t="n"/>
      <c r="R909" s="82" t="n"/>
      <c r="S909" s="82" t="n"/>
      <c r="T909" s="82" t="n"/>
      <c r="U909" s="82" t="n"/>
      <c r="V909" s="82" t="n"/>
      <c r="W909" s="82" t="n"/>
      <c r="X909" s="82" t="n"/>
      <c r="Y909" s="82" t="n"/>
      <c r="Z909" s="82" t="n"/>
    </row>
    <row r="910" ht="15.75" customHeight="1" s="83">
      <c r="A910" s="82" t="n"/>
      <c r="B910" s="82" t="n"/>
      <c r="C910" s="82" t="n"/>
      <c r="D910" s="82" t="n"/>
      <c r="E910" s="81" t="n"/>
      <c r="F910" s="82" t="n"/>
      <c r="G910" s="82" t="n"/>
      <c r="H910" s="82" t="n"/>
      <c r="I910" s="82" t="n"/>
      <c r="J910" s="82" t="n"/>
      <c r="K910" s="82" t="n"/>
      <c r="L910" s="82" t="n"/>
      <c r="M910" s="82" t="n"/>
      <c r="N910" s="82" t="n"/>
      <c r="O910" s="82" t="n"/>
      <c r="P910" s="82" t="n"/>
      <c r="Q910" s="82" t="n"/>
      <c r="R910" s="82" t="n"/>
      <c r="S910" s="82" t="n"/>
      <c r="T910" s="82" t="n"/>
      <c r="U910" s="82" t="n"/>
      <c r="V910" s="82" t="n"/>
      <c r="W910" s="82" t="n"/>
      <c r="X910" s="82" t="n"/>
      <c r="Y910" s="82" t="n"/>
      <c r="Z910" s="82" t="n"/>
    </row>
    <row r="911" ht="15.75" customHeight="1" s="83">
      <c r="A911" s="82" t="n"/>
      <c r="B911" s="82" t="n"/>
      <c r="C911" s="82" t="n"/>
      <c r="D911" s="82" t="n"/>
      <c r="E911" s="81" t="n"/>
      <c r="F911" s="82" t="n"/>
      <c r="G911" s="82" t="n"/>
      <c r="H911" s="82" t="n"/>
      <c r="I911" s="82" t="n"/>
      <c r="J911" s="82" t="n"/>
      <c r="K911" s="82" t="n"/>
      <c r="L911" s="82" t="n"/>
      <c r="M911" s="82" t="n"/>
      <c r="N911" s="82" t="n"/>
      <c r="O911" s="82" t="n"/>
      <c r="P911" s="82" t="n"/>
      <c r="Q911" s="82" t="n"/>
      <c r="R911" s="82" t="n"/>
      <c r="S911" s="82" t="n"/>
      <c r="T911" s="82" t="n"/>
      <c r="U911" s="82" t="n"/>
      <c r="V911" s="82" t="n"/>
      <c r="W911" s="82" t="n"/>
      <c r="X911" s="82" t="n"/>
      <c r="Y911" s="82" t="n"/>
      <c r="Z911" s="82" t="n"/>
    </row>
    <row r="912" ht="15.75" customHeight="1" s="83">
      <c r="A912" s="82" t="n"/>
      <c r="B912" s="82" t="n"/>
      <c r="C912" s="82" t="n"/>
      <c r="D912" s="82" t="n"/>
      <c r="E912" s="81" t="n"/>
      <c r="F912" s="82" t="n"/>
      <c r="G912" s="82" t="n"/>
      <c r="H912" s="82" t="n"/>
      <c r="I912" s="82" t="n"/>
      <c r="J912" s="82" t="n"/>
      <c r="K912" s="82" t="n"/>
      <c r="L912" s="82" t="n"/>
      <c r="M912" s="82" t="n"/>
      <c r="N912" s="82" t="n"/>
      <c r="O912" s="82" t="n"/>
      <c r="P912" s="82" t="n"/>
      <c r="Q912" s="82" t="n"/>
      <c r="R912" s="82" t="n"/>
      <c r="S912" s="82" t="n"/>
      <c r="T912" s="82" t="n"/>
      <c r="U912" s="82" t="n"/>
      <c r="V912" s="82" t="n"/>
      <c r="W912" s="82" t="n"/>
      <c r="X912" s="82" t="n"/>
      <c r="Y912" s="82" t="n"/>
      <c r="Z912" s="82" t="n"/>
    </row>
    <row r="913" ht="15.75" customHeight="1" s="83">
      <c r="A913" s="82" t="n"/>
      <c r="B913" s="82" t="n"/>
      <c r="C913" s="82" t="n"/>
      <c r="D913" s="82" t="n"/>
      <c r="E913" s="81" t="n"/>
      <c r="F913" s="82" t="n"/>
      <c r="G913" s="82" t="n"/>
      <c r="H913" s="82" t="n"/>
      <c r="I913" s="82" t="n"/>
      <c r="J913" s="82" t="n"/>
      <c r="K913" s="82" t="n"/>
      <c r="L913" s="82" t="n"/>
      <c r="M913" s="82" t="n"/>
      <c r="N913" s="82" t="n"/>
      <c r="O913" s="82" t="n"/>
      <c r="P913" s="82" t="n"/>
      <c r="Q913" s="82" t="n"/>
      <c r="R913" s="82" t="n"/>
      <c r="S913" s="82" t="n"/>
      <c r="T913" s="82" t="n"/>
      <c r="U913" s="82" t="n"/>
      <c r="V913" s="82" t="n"/>
      <c r="W913" s="82" t="n"/>
      <c r="X913" s="82" t="n"/>
      <c r="Y913" s="82" t="n"/>
      <c r="Z913" s="82" t="n"/>
    </row>
    <row r="914" ht="15.75" customHeight="1" s="83">
      <c r="A914" s="82" t="n"/>
      <c r="B914" s="82" t="n"/>
      <c r="C914" s="82" t="n"/>
      <c r="D914" s="82" t="n"/>
      <c r="E914" s="81" t="n"/>
      <c r="F914" s="82" t="n"/>
      <c r="G914" s="82" t="n"/>
      <c r="H914" s="82" t="n"/>
      <c r="I914" s="82" t="n"/>
      <c r="J914" s="82" t="n"/>
      <c r="K914" s="82" t="n"/>
      <c r="L914" s="82" t="n"/>
      <c r="M914" s="82" t="n"/>
      <c r="N914" s="82" t="n"/>
      <c r="O914" s="82" t="n"/>
      <c r="P914" s="82" t="n"/>
      <c r="Q914" s="82" t="n"/>
      <c r="R914" s="82" t="n"/>
      <c r="S914" s="82" t="n"/>
      <c r="T914" s="82" t="n"/>
      <c r="U914" s="82" t="n"/>
      <c r="V914" s="82" t="n"/>
      <c r="W914" s="82" t="n"/>
      <c r="X914" s="82" t="n"/>
      <c r="Y914" s="82" t="n"/>
      <c r="Z914" s="82" t="n"/>
    </row>
    <row r="915" ht="15.75" customHeight="1" s="83">
      <c r="A915" s="82" t="n"/>
      <c r="B915" s="82" t="n"/>
      <c r="C915" s="82" t="n"/>
      <c r="D915" s="82" t="n"/>
      <c r="E915" s="81" t="n"/>
      <c r="F915" s="82" t="n"/>
      <c r="G915" s="82" t="n"/>
      <c r="H915" s="82" t="n"/>
      <c r="I915" s="82" t="n"/>
      <c r="J915" s="82" t="n"/>
      <c r="K915" s="82" t="n"/>
      <c r="L915" s="82" t="n"/>
      <c r="M915" s="82" t="n"/>
      <c r="N915" s="82" t="n"/>
      <c r="O915" s="82" t="n"/>
      <c r="P915" s="82" t="n"/>
      <c r="Q915" s="82" t="n"/>
      <c r="R915" s="82" t="n"/>
      <c r="S915" s="82" t="n"/>
      <c r="T915" s="82" t="n"/>
      <c r="U915" s="82" t="n"/>
      <c r="V915" s="82" t="n"/>
      <c r="W915" s="82" t="n"/>
      <c r="X915" s="82" t="n"/>
      <c r="Y915" s="82" t="n"/>
      <c r="Z915" s="82" t="n"/>
    </row>
    <row r="916" ht="15.75" customHeight="1" s="83">
      <c r="A916" s="82" t="n"/>
      <c r="B916" s="82" t="n"/>
      <c r="C916" s="82" t="n"/>
      <c r="D916" s="82" t="n"/>
      <c r="E916" s="81" t="n"/>
      <c r="F916" s="82" t="n"/>
      <c r="G916" s="82" t="n"/>
      <c r="H916" s="82" t="n"/>
      <c r="I916" s="82" t="n"/>
      <c r="J916" s="82" t="n"/>
      <c r="K916" s="82" t="n"/>
      <c r="L916" s="82" t="n"/>
      <c r="M916" s="82" t="n"/>
      <c r="N916" s="82" t="n"/>
      <c r="O916" s="82" t="n"/>
      <c r="P916" s="82" t="n"/>
      <c r="Q916" s="82" t="n"/>
      <c r="R916" s="82" t="n"/>
      <c r="S916" s="82" t="n"/>
      <c r="T916" s="82" t="n"/>
      <c r="U916" s="82" t="n"/>
      <c r="V916" s="82" t="n"/>
      <c r="W916" s="82" t="n"/>
      <c r="X916" s="82" t="n"/>
      <c r="Y916" s="82" t="n"/>
      <c r="Z916" s="82" t="n"/>
    </row>
    <row r="917" ht="15.75" customHeight="1" s="83">
      <c r="A917" s="82" t="n"/>
      <c r="B917" s="82" t="n"/>
      <c r="C917" s="82" t="n"/>
      <c r="D917" s="82" t="n"/>
      <c r="E917" s="81" t="n"/>
      <c r="F917" s="82" t="n"/>
      <c r="G917" s="82" t="n"/>
      <c r="H917" s="82" t="n"/>
      <c r="I917" s="82" t="n"/>
      <c r="J917" s="82" t="n"/>
      <c r="K917" s="82" t="n"/>
      <c r="L917" s="82" t="n"/>
      <c r="M917" s="82" t="n"/>
      <c r="N917" s="82" t="n"/>
      <c r="O917" s="82" t="n"/>
      <c r="P917" s="82" t="n"/>
      <c r="Q917" s="82" t="n"/>
      <c r="R917" s="82" t="n"/>
      <c r="S917" s="82" t="n"/>
      <c r="T917" s="82" t="n"/>
      <c r="U917" s="82" t="n"/>
      <c r="V917" s="82" t="n"/>
      <c r="W917" s="82" t="n"/>
      <c r="X917" s="82" t="n"/>
      <c r="Y917" s="82" t="n"/>
      <c r="Z917" s="82" t="n"/>
    </row>
    <row r="918" ht="15.75" customHeight="1" s="83">
      <c r="A918" s="82" t="n"/>
      <c r="B918" s="82" t="n"/>
      <c r="C918" s="82" t="n"/>
      <c r="D918" s="82" t="n"/>
      <c r="E918" s="81" t="n"/>
      <c r="F918" s="82" t="n"/>
      <c r="G918" s="82" t="n"/>
      <c r="H918" s="82" t="n"/>
      <c r="I918" s="82" t="n"/>
      <c r="J918" s="82" t="n"/>
      <c r="K918" s="82" t="n"/>
      <c r="L918" s="82" t="n"/>
      <c r="M918" s="82" t="n"/>
      <c r="N918" s="82" t="n"/>
      <c r="O918" s="82" t="n"/>
      <c r="P918" s="82" t="n"/>
      <c r="Q918" s="82" t="n"/>
      <c r="R918" s="82" t="n"/>
      <c r="S918" s="82" t="n"/>
      <c r="T918" s="82" t="n"/>
      <c r="U918" s="82" t="n"/>
      <c r="V918" s="82" t="n"/>
      <c r="W918" s="82" t="n"/>
      <c r="X918" s="82" t="n"/>
      <c r="Y918" s="82" t="n"/>
      <c r="Z918" s="82" t="n"/>
    </row>
    <row r="919" ht="15.75" customHeight="1" s="83">
      <c r="A919" s="82" t="n"/>
      <c r="B919" s="82" t="n"/>
      <c r="C919" s="82" t="n"/>
      <c r="D919" s="82" t="n"/>
      <c r="E919" s="81" t="n"/>
      <c r="F919" s="82" t="n"/>
      <c r="G919" s="82" t="n"/>
      <c r="H919" s="82" t="n"/>
      <c r="I919" s="82" t="n"/>
      <c r="J919" s="82" t="n"/>
      <c r="K919" s="82" t="n"/>
      <c r="L919" s="82" t="n"/>
      <c r="M919" s="82" t="n"/>
      <c r="N919" s="82" t="n"/>
      <c r="O919" s="82" t="n"/>
      <c r="P919" s="82" t="n"/>
      <c r="Q919" s="82" t="n"/>
      <c r="R919" s="82" t="n"/>
      <c r="S919" s="82" t="n"/>
      <c r="T919" s="82" t="n"/>
      <c r="U919" s="82" t="n"/>
      <c r="V919" s="82" t="n"/>
      <c r="W919" s="82" t="n"/>
      <c r="X919" s="82" t="n"/>
      <c r="Y919" s="82" t="n"/>
      <c r="Z919" s="82" t="n"/>
    </row>
    <row r="920" ht="15.75" customHeight="1" s="83">
      <c r="A920" s="82" t="n"/>
      <c r="B920" s="82" t="n"/>
      <c r="C920" s="82" t="n"/>
      <c r="D920" s="82" t="n"/>
      <c r="E920" s="81" t="n"/>
      <c r="F920" s="82" t="n"/>
      <c r="G920" s="82" t="n"/>
      <c r="H920" s="82" t="n"/>
      <c r="I920" s="82" t="n"/>
      <c r="J920" s="82" t="n"/>
      <c r="K920" s="82" t="n"/>
      <c r="L920" s="82" t="n"/>
      <c r="M920" s="82" t="n"/>
      <c r="N920" s="82" t="n"/>
      <c r="O920" s="82" t="n"/>
      <c r="P920" s="82" t="n"/>
      <c r="Q920" s="82" t="n"/>
      <c r="R920" s="82" t="n"/>
      <c r="S920" s="82" t="n"/>
      <c r="T920" s="82" t="n"/>
      <c r="U920" s="82" t="n"/>
      <c r="V920" s="82" t="n"/>
      <c r="W920" s="82" t="n"/>
      <c r="X920" s="82" t="n"/>
      <c r="Y920" s="82" t="n"/>
      <c r="Z920" s="82" t="n"/>
    </row>
    <row r="921" ht="15.75" customHeight="1" s="83">
      <c r="A921" s="82" t="n"/>
      <c r="B921" s="82" t="n"/>
      <c r="C921" s="82" t="n"/>
      <c r="D921" s="82" t="n"/>
      <c r="E921" s="81" t="n"/>
      <c r="F921" s="82" t="n"/>
      <c r="G921" s="82" t="n"/>
      <c r="H921" s="82" t="n"/>
      <c r="I921" s="82" t="n"/>
      <c r="J921" s="82" t="n"/>
      <c r="K921" s="82" t="n"/>
      <c r="L921" s="82" t="n"/>
      <c r="M921" s="82" t="n"/>
      <c r="N921" s="82" t="n"/>
      <c r="O921" s="82" t="n"/>
      <c r="P921" s="82" t="n"/>
      <c r="Q921" s="82" t="n"/>
      <c r="R921" s="82" t="n"/>
      <c r="S921" s="82" t="n"/>
      <c r="T921" s="82" t="n"/>
      <c r="U921" s="82" t="n"/>
      <c r="V921" s="82" t="n"/>
      <c r="W921" s="82" t="n"/>
      <c r="X921" s="82" t="n"/>
      <c r="Y921" s="82" t="n"/>
      <c r="Z921" s="82" t="n"/>
    </row>
    <row r="922" ht="15.75" customHeight="1" s="83">
      <c r="A922" s="82" t="n"/>
      <c r="B922" s="82" t="n"/>
      <c r="C922" s="82" t="n"/>
      <c r="D922" s="82" t="n"/>
      <c r="E922" s="81" t="n"/>
      <c r="F922" s="82" t="n"/>
      <c r="G922" s="82" t="n"/>
      <c r="H922" s="82" t="n"/>
      <c r="I922" s="82" t="n"/>
      <c r="J922" s="82" t="n"/>
      <c r="K922" s="82" t="n"/>
      <c r="L922" s="82" t="n"/>
      <c r="M922" s="82" t="n"/>
      <c r="N922" s="82" t="n"/>
      <c r="O922" s="82" t="n"/>
      <c r="P922" s="82" t="n"/>
      <c r="Q922" s="82" t="n"/>
      <c r="R922" s="82" t="n"/>
      <c r="S922" s="82" t="n"/>
      <c r="T922" s="82" t="n"/>
      <c r="U922" s="82" t="n"/>
      <c r="V922" s="82" t="n"/>
      <c r="W922" s="82" t="n"/>
      <c r="X922" s="82" t="n"/>
      <c r="Y922" s="82" t="n"/>
      <c r="Z922" s="82" t="n"/>
    </row>
    <row r="923" ht="15.75" customHeight="1" s="83">
      <c r="A923" s="82" t="n"/>
      <c r="B923" s="82" t="n"/>
      <c r="C923" s="82" t="n"/>
      <c r="D923" s="82" t="n"/>
      <c r="E923" s="81" t="n"/>
      <c r="F923" s="82" t="n"/>
      <c r="G923" s="82" t="n"/>
      <c r="H923" s="82" t="n"/>
      <c r="I923" s="82" t="n"/>
      <c r="J923" s="82" t="n"/>
      <c r="K923" s="82" t="n"/>
      <c r="L923" s="82" t="n"/>
      <c r="M923" s="82" t="n"/>
      <c r="N923" s="82" t="n"/>
      <c r="O923" s="82" t="n"/>
      <c r="P923" s="82" t="n"/>
      <c r="Q923" s="82" t="n"/>
      <c r="R923" s="82" t="n"/>
      <c r="S923" s="82" t="n"/>
      <c r="T923" s="82" t="n"/>
      <c r="U923" s="82" t="n"/>
      <c r="V923" s="82" t="n"/>
      <c r="W923" s="82" t="n"/>
      <c r="X923" s="82" t="n"/>
      <c r="Y923" s="82" t="n"/>
      <c r="Z923" s="82" t="n"/>
    </row>
    <row r="924" ht="15.75" customHeight="1" s="83">
      <c r="A924" s="82" t="n"/>
      <c r="B924" s="82" t="n"/>
      <c r="C924" s="82" t="n"/>
      <c r="D924" s="82" t="n"/>
      <c r="E924" s="81" t="n"/>
      <c r="F924" s="82" t="n"/>
      <c r="G924" s="82" t="n"/>
      <c r="H924" s="82" t="n"/>
      <c r="I924" s="82" t="n"/>
      <c r="J924" s="82" t="n"/>
      <c r="K924" s="82" t="n"/>
      <c r="L924" s="82" t="n"/>
      <c r="M924" s="82" t="n"/>
      <c r="N924" s="82" t="n"/>
      <c r="O924" s="82" t="n"/>
      <c r="P924" s="82" t="n"/>
      <c r="Q924" s="82" t="n"/>
      <c r="R924" s="82" t="n"/>
      <c r="S924" s="82" t="n"/>
      <c r="T924" s="82" t="n"/>
      <c r="U924" s="82" t="n"/>
      <c r="V924" s="82" t="n"/>
      <c r="W924" s="82" t="n"/>
      <c r="X924" s="82" t="n"/>
      <c r="Y924" s="82" t="n"/>
      <c r="Z924" s="82" t="n"/>
    </row>
    <row r="925" ht="15.75" customHeight="1" s="83">
      <c r="A925" s="82" t="n"/>
      <c r="B925" s="82" t="n"/>
      <c r="C925" s="82" t="n"/>
      <c r="D925" s="82" t="n"/>
      <c r="E925" s="81" t="n"/>
      <c r="F925" s="82" t="n"/>
      <c r="G925" s="82" t="n"/>
      <c r="H925" s="82" t="n"/>
      <c r="I925" s="82" t="n"/>
      <c r="J925" s="82" t="n"/>
      <c r="K925" s="82" t="n"/>
      <c r="L925" s="82" t="n"/>
      <c r="M925" s="82" t="n"/>
      <c r="N925" s="82" t="n"/>
      <c r="O925" s="82" t="n"/>
      <c r="P925" s="82" t="n"/>
      <c r="Q925" s="82" t="n"/>
      <c r="R925" s="82" t="n"/>
      <c r="S925" s="82" t="n"/>
      <c r="T925" s="82" t="n"/>
      <c r="U925" s="82" t="n"/>
      <c r="V925" s="82" t="n"/>
      <c r="W925" s="82" t="n"/>
      <c r="X925" s="82" t="n"/>
      <c r="Y925" s="82" t="n"/>
      <c r="Z925" s="82" t="n"/>
    </row>
    <row r="926" ht="15.75" customHeight="1" s="83">
      <c r="A926" s="82" t="n"/>
      <c r="B926" s="82" t="n"/>
      <c r="C926" s="82" t="n"/>
      <c r="D926" s="82" t="n"/>
      <c r="E926" s="81" t="n"/>
      <c r="F926" s="82" t="n"/>
      <c r="G926" s="82" t="n"/>
      <c r="H926" s="82" t="n"/>
      <c r="I926" s="82" t="n"/>
      <c r="J926" s="82" t="n"/>
      <c r="K926" s="82" t="n"/>
      <c r="L926" s="82" t="n"/>
      <c r="M926" s="82" t="n"/>
      <c r="N926" s="82" t="n"/>
      <c r="O926" s="82" t="n"/>
      <c r="P926" s="82" t="n"/>
      <c r="Q926" s="82" t="n"/>
      <c r="R926" s="82" t="n"/>
      <c r="S926" s="82" t="n"/>
      <c r="T926" s="82" t="n"/>
      <c r="U926" s="82" t="n"/>
      <c r="V926" s="82" t="n"/>
      <c r="W926" s="82" t="n"/>
      <c r="X926" s="82" t="n"/>
      <c r="Y926" s="82" t="n"/>
      <c r="Z926" s="82" t="n"/>
    </row>
    <row r="927" ht="15.75" customHeight="1" s="83">
      <c r="A927" s="82" t="n"/>
      <c r="B927" s="82" t="n"/>
      <c r="C927" s="82" t="n"/>
      <c r="D927" s="82" t="n"/>
      <c r="E927" s="81" t="n"/>
      <c r="F927" s="82" t="n"/>
      <c r="G927" s="82" t="n"/>
      <c r="H927" s="82" t="n"/>
      <c r="I927" s="82" t="n"/>
      <c r="J927" s="82" t="n"/>
      <c r="K927" s="82" t="n"/>
      <c r="L927" s="82" t="n"/>
      <c r="M927" s="82" t="n"/>
      <c r="N927" s="82" t="n"/>
      <c r="O927" s="82" t="n"/>
      <c r="P927" s="82" t="n"/>
      <c r="Q927" s="82" t="n"/>
      <c r="R927" s="82" t="n"/>
      <c r="S927" s="82" t="n"/>
      <c r="T927" s="82" t="n"/>
      <c r="U927" s="82" t="n"/>
      <c r="V927" s="82" t="n"/>
      <c r="W927" s="82" t="n"/>
      <c r="X927" s="82" t="n"/>
      <c r="Y927" s="82" t="n"/>
      <c r="Z927" s="82" t="n"/>
    </row>
    <row r="928" ht="15.75" customHeight="1" s="83">
      <c r="A928" s="82" t="n"/>
      <c r="B928" s="82" t="n"/>
      <c r="C928" s="82" t="n"/>
      <c r="D928" s="82" t="n"/>
      <c r="E928" s="81" t="n"/>
      <c r="F928" s="82" t="n"/>
      <c r="G928" s="82" t="n"/>
      <c r="H928" s="82" t="n"/>
      <c r="I928" s="82" t="n"/>
      <c r="J928" s="82" t="n"/>
      <c r="K928" s="82" t="n"/>
      <c r="L928" s="82" t="n"/>
      <c r="M928" s="82" t="n"/>
      <c r="N928" s="82" t="n"/>
      <c r="O928" s="82" t="n"/>
      <c r="P928" s="82" t="n"/>
      <c r="Q928" s="82" t="n"/>
      <c r="R928" s="82" t="n"/>
      <c r="S928" s="82" t="n"/>
      <c r="T928" s="82" t="n"/>
      <c r="U928" s="82" t="n"/>
      <c r="V928" s="82" t="n"/>
      <c r="W928" s="82" t="n"/>
      <c r="X928" s="82" t="n"/>
      <c r="Y928" s="82" t="n"/>
      <c r="Z928" s="82" t="n"/>
    </row>
    <row r="929" ht="15.75" customHeight="1" s="83">
      <c r="A929" s="82" t="n"/>
      <c r="B929" s="82" t="n"/>
      <c r="C929" s="82" t="n"/>
      <c r="D929" s="82" t="n"/>
      <c r="E929" s="81" t="n"/>
      <c r="F929" s="82" t="n"/>
      <c r="G929" s="82" t="n"/>
      <c r="H929" s="82" t="n"/>
      <c r="I929" s="82" t="n"/>
      <c r="J929" s="82" t="n"/>
      <c r="K929" s="82" t="n"/>
      <c r="L929" s="82" t="n"/>
      <c r="M929" s="82" t="n"/>
      <c r="N929" s="82" t="n"/>
      <c r="O929" s="82" t="n"/>
      <c r="P929" s="82" t="n"/>
      <c r="Q929" s="82" t="n"/>
      <c r="R929" s="82" t="n"/>
      <c r="S929" s="82" t="n"/>
      <c r="T929" s="82" t="n"/>
      <c r="U929" s="82" t="n"/>
      <c r="V929" s="82" t="n"/>
      <c r="W929" s="82" t="n"/>
      <c r="X929" s="82" t="n"/>
      <c r="Y929" s="82" t="n"/>
      <c r="Z929" s="82" t="n"/>
    </row>
    <row r="930" ht="15.75" customHeight="1" s="83">
      <c r="A930" s="82" t="n"/>
      <c r="B930" s="82" t="n"/>
      <c r="C930" s="82" t="n"/>
      <c r="D930" s="82" t="n"/>
      <c r="E930" s="81" t="n"/>
      <c r="F930" s="82" t="n"/>
      <c r="G930" s="82" t="n"/>
      <c r="H930" s="82" t="n"/>
      <c r="I930" s="82" t="n"/>
      <c r="J930" s="82" t="n"/>
      <c r="K930" s="82" t="n"/>
      <c r="L930" s="82" t="n"/>
      <c r="M930" s="82" t="n"/>
      <c r="N930" s="82" t="n"/>
      <c r="O930" s="82" t="n"/>
      <c r="P930" s="82" t="n"/>
      <c r="Q930" s="82" t="n"/>
      <c r="R930" s="82" t="n"/>
      <c r="S930" s="82" t="n"/>
      <c r="T930" s="82" t="n"/>
      <c r="U930" s="82" t="n"/>
      <c r="V930" s="82" t="n"/>
      <c r="W930" s="82" t="n"/>
      <c r="X930" s="82" t="n"/>
      <c r="Y930" s="82" t="n"/>
      <c r="Z930" s="82" t="n"/>
    </row>
    <row r="931" ht="15.75" customHeight="1" s="83">
      <c r="A931" s="82" t="n"/>
      <c r="B931" s="82" t="n"/>
      <c r="C931" s="82" t="n"/>
      <c r="D931" s="82" t="n"/>
      <c r="E931" s="81" t="n"/>
      <c r="F931" s="82" t="n"/>
      <c r="G931" s="82" t="n"/>
      <c r="H931" s="82" t="n"/>
      <c r="I931" s="82" t="n"/>
      <c r="J931" s="82" t="n"/>
      <c r="K931" s="82" t="n"/>
      <c r="L931" s="82" t="n"/>
      <c r="M931" s="82" t="n"/>
      <c r="N931" s="82" t="n"/>
      <c r="O931" s="82" t="n"/>
      <c r="P931" s="82" t="n"/>
      <c r="Q931" s="82" t="n"/>
      <c r="R931" s="82" t="n"/>
      <c r="S931" s="82" t="n"/>
      <c r="T931" s="82" t="n"/>
      <c r="U931" s="82" t="n"/>
      <c r="V931" s="82" t="n"/>
      <c r="W931" s="82" t="n"/>
      <c r="X931" s="82" t="n"/>
      <c r="Y931" s="82" t="n"/>
      <c r="Z931" s="82" t="n"/>
    </row>
    <row r="932" ht="15.75" customHeight="1" s="83">
      <c r="A932" s="82" t="n"/>
      <c r="B932" s="82" t="n"/>
      <c r="C932" s="82" t="n"/>
      <c r="D932" s="82" t="n"/>
      <c r="E932" s="81" t="n"/>
      <c r="F932" s="82" t="n"/>
      <c r="G932" s="82" t="n"/>
      <c r="H932" s="82" t="n"/>
      <c r="I932" s="82" t="n"/>
      <c r="J932" s="82" t="n"/>
      <c r="K932" s="82" t="n"/>
      <c r="L932" s="82" t="n"/>
      <c r="M932" s="82" t="n"/>
      <c r="N932" s="82" t="n"/>
      <c r="O932" s="82" t="n"/>
      <c r="P932" s="82" t="n"/>
      <c r="Q932" s="82" t="n"/>
      <c r="R932" s="82" t="n"/>
      <c r="S932" s="82" t="n"/>
      <c r="T932" s="82" t="n"/>
      <c r="U932" s="82" t="n"/>
      <c r="V932" s="82" t="n"/>
      <c r="W932" s="82" t="n"/>
      <c r="X932" s="82" t="n"/>
      <c r="Y932" s="82" t="n"/>
      <c r="Z932" s="82" t="n"/>
    </row>
    <row r="933" ht="15.75" customHeight="1" s="83">
      <c r="A933" s="82" t="n"/>
      <c r="B933" s="82" t="n"/>
      <c r="C933" s="82" t="n"/>
      <c r="D933" s="82" t="n"/>
      <c r="E933" s="81" t="n"/>
      <c r="F933" s="82" t="n"/>
      <c r="G933" s="82" t="n"/>
      <c r="H933" s="82" t="n"/>
      <c r="I933" s="82" t="n"/>
      <c r="J933" s="82" t="n"/>
      <c r="K933" s="82" t="n"/>
      <c r="L933" s="82" t="n"/>
      <c r="M933" s="82" t="n"/>
      <c r="N933" s="82" t="n"/>
      <c r="O933" s="82" t="n"/>
      <c r="P933" s="82" t="n"/>
      <c r="Q933" s="82" t="n"/>
      <c r="R933" s="82" t="n"/>
      <c r="S933" s="82" t="n"/>
      <c r="T933" s="82" t="n"/>
      <c r="U933" s="82" t="n"/>
      <c r="V933" s="82" t="n"/>
      <c r="W933" s="82" t="n"/>
      <c r="X933" s="82" t="n"/>
      <c r="Y933" s="82" t="n"/>
      <c r="Z933" s="82" t="n"/>
    </row>
    <row r="934" ht="15.75" customHeight="1" s="83">
      <c r="A934" s="82" t="n"/>
      <c r="B934" s="82" t="n"/>
      <c r="C934" s="82" t="n"/>
      <c r="D934" s="82" t="n"/>
      <c r="E934" s="81" t="n"/>
      <c r="F934" s="82" t="n"/>
      <c r="G934" s="82" t="n"/>
      <c r="H934" s="82" t="n"/>
      <c r="I934" s="82" t="n"/>
      <c r="J934" s="82" t="n"/>
      <c r="K934" s="82" t="n"/>
      <c r="L934" s="82" t="n"/>
      <c r="M934" s="82" t="n"/>
      <c r="N934" s="82" t="n"/>
      <c r="O934" s="82" t="n"/>
      <c r="P934" s="82" t="n"/>
      <c r="Q934" s="82" t="n"/>
      <c r="R934" s="82" t="n"/>
      <c r="S934" s="82" t="n"/>
      <c r="T934" s="82" t="n"/>
      <c r="U934" s="82" t="n"/>
      <c r="V934" s="82" t="n"/>
      <c r="W934" s="82" t="n"/>
      <c r="X934" s="82" t="n"/>
      <c r="Y934" s="82" t="n"/>
      <c r="Z934" s="82" t="n"/>
    </row>
    <row r="935" ht="15.75" customHeight="1" s="83">
      <c r="A935" s="82" t="n"/>
      <c r="B935" s="82" t="n"/>
      <c r="C935" s="82" t="n"/>
      <c r="D935" s="82" t="n"/>
      <c r="E935" s="81" t="n"/>
      <c r="F935" s="82" t="n"/>
      <c r="G935" s="82" t="n"/>
      <c r="H935" s="82" t="n"/>
      <c r="I935" s="82" t="n"/>
      <c r="J935" s="82" t="n"/>
      <c r="K935" s="82" t="n"/>
      <c r="L935" s="82" t="n"/>
      <c r="M935" s="82" t="n"/>
      <c r="N935" s="82" t="n"/>
      <c r="O935" s="82" t="n"/>
      <c r="P935" s="82" t="n"/>
      <c r="Q935" s="82" t="n"/>
      <c r="R935" s="82" t="n"/>
      <c r="S935" s="82" t="n"/>
      <c r="T935" s="82" t="n"/>
      <c r="U935" s="82" t="n"/>
      <c r="V935" s="82" t="n"/>
      <c r="W935" s="82" t="n"/>
      <c r="X935" s="82" t="n"/>
      <c r="Y935" s="82" t="n"/>
      <c r="Z935" s="82" t="n"/>
    </row>
    <row r="936" ht="15.75" customHeight="1" s="83">
      <c r="A936" s="82" t="n"/>
      <c r="B936" s="82" t="n"/>
      <c r="C936" s="82" t="n"/>
      <c r="D936" s="82" t="n"/>
      <c r="E936" s="81" t="n"/>
      <c r="F936" s="82" t="n"/>
      <c r="G936" s="82" t="n"/>
      <c r="H936" s="82" t="n"/>
      <c r="I936" s="82" t="n"/>
      <c r="J936" s="82" t="n"/>
      <c r="K936" s="82" t="n"/>
      <c r="L936" s="82" t="n"/>
      <c r="M936" s="82" t="n"/>
      <c r="N936" s="82" t="n"/>
      <c r="O936" s="82" t="n"/>
      <c r="P936" s="82" t="n"/>
      <c r="Q936" s="82" t="n"/>
      <c r="R936" s="82" t="n"/>
      <c r="S936" s="82" t="n"/>
      <c r="T936" s="82" t="n"/>
      <c r="U936" s="82" t="n"/>
      <c r="V936" s="82" t="n"/>
      <c r="W936" s="82" t="n"/>
      <c r="X936" s="82" t="n"/>
      <c r="Y936" s="82" t="n"/>
      <c r="Z936" s="82" t="n"/>
    </row>
    <row r="937" ht="15.75" customHeight="1" s="83">
      <c r="A937" s="82" t="n"/>
      <c r="B937" s="82" t="n"/>
      <c r="C937" s="82" t="n"/>
      <c r="D937" s="82" t="n"/>
      <c r="E937" s="81" t="n"/>
      <c r="F937" s="82" t="n"/>
      <c r="G937" s="82" t="n"/>
      <c r="H937" s="82" t="n"/>
      <c r="I937" s="82" t="n"/>
      <c r="J937" s="82" t="n"/>
      <c r="K937" s="82" t="n"/>
      <c r="L937" s="82" t="n"/>
      <c r="M937" s="82" t="n"/>
      <c r="N937" s="82" t="n"/>
      <c r="O937" s="82" t="n"/>
      <c r="P937" s="82" t="n"/>
      <c r="Q937" s="82" t="n"/>
      <c r="R937" s="82" t="n"/>
      <c r="S937" s="82" t="n"/>
      <c r="T937" s="82" t="n"/>
      <c r="U937" s="82" t="n"/>
      <c r="V937" s="82" t="n"/>
      <c r="W937" s="82" t="n"/>
      <c r="X937" s="82" t="n"/>
      <c r="Y937" s="82" t="n"/>
      <c r="Z937" s="82" t="n"/>
    </row>
    <row r="938" ht="15.75" customHeight="1" s="83">
      <c r="A938" s="82" t="n"/>
      <c r="B938" s="82" t="n"/>
      <c r="C938" s="82" t="n"/>
      <c r="D938" s="82" t="n"/>
      <c r="E938" s="81" t="n"/>
      <c r="F938" s="82" t="n"/>
      <c r="G938" s="82" t="n"/>
      <c r="H938" s="82" t="n"/>
      <c r="I938" s="82" t="n"/>
      <c r="J938" s="82" t="n"/>
      <c r="K938" s="82" t="n"/>
      <c r="L938" s="82" t="n"/>
      <c r="M938" s="82" t="n"/>
      <c r="N938" s="82" t="n"/>
      <c r="O938" s="82" t="n"/>
      <c r="P938" s="82" t="n"/>
      <c r="Q938" s="82" t="n"/>
      <c r="R938" s="82" t="n"/>
      <c r="S938" s="82" t="n"/>
      <c r="T938" s="82" t="n"/>
      <c r="U938" s="82" t="n"/>
      <c r="V938" s="82" t="n"/>
      <c r="W938" s="82" t="n"/>
      <c r="X938" s="82" t="n"/>
      <c r="Y938" s="82" t="n"/>
      <c r="Z938" s="82" t="n"/>
    </row>
    <row r="939" ht="15.75" customHeight="1" s="83">
      <c r="A939" s="82" t="n"/>
      <c r="B939" s="82" t="n"/>
      <c r="C939" s="82" t="n"/>
      <c r="D939" s="82" t="n"/>
      <c r="E939" s="81" t="n"/>
      <c r="F939" s="82" t="n"/>
      <c r="G939" s="82" t="n"/>
      <c r="H939" s="82" t="n"/>
      <c r="I939" s="82" t="n"/>
      <c r="J939" s="82" t="n"/>
      <c r="K939" s="82" t="n"/>
      <c r="L939" s="82" t="n"/>
      <c r="M939" s="82" t="n"/>
      <c r="N939" s="82" t="n"/>
      <c r="O939" s="82" t="n"/>
      <c r="P939" s="82" t="n"/>
      <c r="Q939" s="82" t="n"/>
      <c r="R939" s="82" t="n"/>
      <c r="S939" s="82" t="n"/>
      <c r="T939" s="82" t="n"/>
      <c r="U939" s="82" t="n"/>
      <c r="V939" s="82" t="n"/>
      <c r="W939" s="82" t="n"/>
      <c r="X939" s="82" t="n"/>
      <c r="Y939" s="82" t="n"/>
      <c r="Z939" s="82" t="n"/>
    </row>
    <row r="940" ht="15.75" customHeight="1" s="83">
      <c r="A940" s="82" t="n"/>
      <c r="B940" s="82" t="n"/>
      <c r="C940" s="82" t="n"/>
      <c r="D940" s="82" t="n"/>
      <c r="E940" s="81" t="n"/>
      <c r="F940" s="82" t="n"/>
      <c r="G940" s="82" t="n"/>
      <c r="H940" s="82" t="n"/>
      <c r="I940" s="82" t="n"/>
      <c r="J940" s="82" t="n"/>
      <c r="K940" s="82" t="n"/>
      <c r="L940" s="82" t="n"/>
      <c r="M940" s="82" t="n"/>
      <c r="N940" s="82" t="n"/>
      <c r="O940" s="82" t="n"/>
      <c r="P940" s="82" t="n"/>
      <c r="Q940" s="82" t="n"/>
      <c r="R940" s="82" t="n"/>
      <c r="S940" s="82" t="n"/>
      <c r="T940" s="82" t="n"/>
      <c r="U940" s="82" t="n"/>
      <c r="V940" s="82" t="n"/>
      <c r="W940" s="82" t="n"/>
      <c r="X940" s="82" t="n"/>
      <c r="Y940" s="82" t="n"/>
      <c r="Z940" s="82" t="n"/>
    </row>
    <row r="941" ht="15.75" customHeight="1" s="83">
      <c r="A941" s="82" t="n"/>
      <c r="B941" s="82" t="n"/>
      <c r="C941" s="82" t="n"/>
      <c r="D941" s="82" t="n"/>
      <c r="E941" s="81" t="n"/>
      <c r="F941" s="82" t="n"/>
      <c r="G941" s="82" t="n"/>
      <c r="H941" s="82" t="n"/>
      <c r="I941" s="82" t="n"/>
      <c r="J941" s="82" t="n"/>
      <c r="K941" s="82" t="n"/>
      <c r="L941" s="82" t="n"/>
      <c r="M941" s="82" t="n"/>
      <c r="N941" s="82" t="n"/>
      <c r="O941" s="82" t="n"/>
      <c r="P941" s="82" t="n"/>
      <c r="Q941" s="82" t="n"/>
      <c r="R941" s="82" t="n"/>
      <c r="S941" s="82" t="n"/>
      <c r="T941" s="82" t="n"/>
      <c r="U941" s="82" t="n"/>
      <c r="V941" s="82" t="n"/>
      <c r="W941" s="82" t="n"/>
      <c r="X941" s="82" t="n"/>
      <c r="Y941" s="82" t="n"/>
      <c r="Z941" s="82" t="n"/>
    </row>
    <row r="942" ht="15.75" customHeight="1" s="83">
      <c r="A942" s="82" t="n"/>
      <c r="B942" s="82" t="n"/>
      <c r="C942" s="82" t="n"/>
      <c r="D942" s="82" t="n"/>
      <c r="E942" s="81" t="n"/>
      <c r="F942" s="82" t="n"/>
      <c r="G942" s="82" t="n"/>
      <c r="H942" s="82" t="n"/>
      <c r="I942" s="82" t="n"/>
      <c r="J942" s="82" t="n"/>
      <c r="K942" s="82" t="n"/>
      <c r="L942" s="82" t="n"/>
      <c r="M942" s="82" t="n"/>
      <c r="N942" s="82" t="n"/>
      <c r="O942" s="82" t="n"/>
      <c r="P942" s="82" t="n"/>
      <c r="Q942" s="82" t="n"/>
      <c r="R942" s="82" t="n"/>
      <c r="S942" s="82" t="n"/>
      <c r="T942" s="82" t="n"/>
      <c r="U942" s="82" t="n"/>
      <c r="V942" s="82" t="n"/>
      <c r="W942" s="82" t="n"/>
      <c r="X942" s="82" t="n"/>
      <c r="Y942" s="82" t="n"/>
      <c r="Z942" s="82" t="n"/>
    </row>
    <row r="943" ht="15.75" customHeight="1" s="83">
      <c r="A943" s="82" t="n"/>
      <c r="B943" s="82" t="n"/>
      <c r="C943" s="82" t="n"/>
      <c r="D943" s="82" t="n"/>
      <c r="E943" s="81" t="n"/>
      <c r="F943" s="82" t="n"/>
      <c r="G943" s="82" t="n"/>
      <c r="H943" s="82" t="n"/>
      <c r="I943" s="82" t="n"/>
      <c r="J943" s="82" t="n"/>
      <c r="K943" s="82" t="n"/>
      <c r="L943" s="82" t="n"/>
      <c r="M943" s="82" t="n"/>
      <c r="N943" s="82" t="n"/>
      <c r="O943" s="82" t="n"/>
      <c r="P943" s="82" t="n"/>
      <c r="Q943" s="82" t="n"/>
      <c r="R943" s="82" t="n"/>
      <c r="S943" s="82" t="n"/>
      <c r="T943" s="82" t="n"/>
      <c r="U943" s="82" t="n"/>
      <c r="V943" s="82" t="n"/>
      <c r="W943" s="82" t="n"/>
      <c r="X943" s="82" t="n"/>
      <c r="Y943" s="82" t="n"/>
      <c r="Z943" s="82" t="n"/>
    </row>
    <row r="944" ht="15.75" customHeight="1" s="83">
      <c r="A944" s="82" t="n"/>
      <c r="B944" s="82" t="n"/>
      <c r="C944" s="82" t="n"/>
      <c r="D944" s="82" t="n"/>
      <c r="E944" s="81" t="n"/>
      <c r="F944" s="82" t="n"/>
      <c r="G944" s="82" t="n"/>
      <c r="H944" s="82" t="n"/>
      <c r="I944" s="82" t="n"/>
      <c r="J944" s="82" t="n"/>
      <c r="K944" s="82" t="n"/>
      <c r="L944" s="82" t="n"/>
      <c r="M944" s="82" t="n"/>
      <c r="N944" s="82" t="n"/>
      <c r="O944" s="82" t="n"/>
      <c r="P944" s="82" t="n"/>
      <c r="Q944" s="82" t="n"/>
      <c r="R944" s="82" t="n"/>
      <c r="S944" s="82" t="n"/>
      <c r="T944" s="82" t="n"/>
      <c r="U944" s="82" t="n"/>
      <c r="V944" s="82" t="n"/>
      <c r="W944" s="82" t="n"/>
      <c r="X944" s="82" t="n"/>
      <c r="Y944" s="82" t="n"/>
      <c r="Z944" s="82" t="n"/>
    </row>
    <row r="945" ht="15.75" customHeight="1" s="83">
      <c r="A945" s="82" t="n"/>
      <c r="B945" s="82" t="n"/>
      <c r="C945" s="82" t="n"/>
      <c r="D945" s="82" t="n"/>
      <c r="E945" s="81" t="n"/>
      <c r="F945" s="82" t="n"/>
      <c r="G945" s="82" t="n"/>
      <c r="H945" s="82" t="n"/>
      <c r="I945" s="82" t="n"/>
      <c r="J945" s="82" t="n"/>
      <c r="K945" s="82" t="n"/>
      <c r="L945" s="82" t="n"/>
      <c r="M945" s="82" t="n"/>
      <c r="N945" s="82" t="n"/>
      <c r="O945" s="82" t="n"/>
      <c r="P945" s="82" t="n"/>
      <c r="Q945" s="82" t="n"/>
      <c r="R945" s="82" t="n"/>
      <c r="S945" s="82" t="n"/>
      <c r="T945" s="82" t="n"/>
      <c r="U945" s="82" t="n"/>
      <c r="V945" s="82" t="n"/>
      <c r="W945" s="82" t="n"/>
      <c r="X945" s="82" t="n"/>
      <c r="Y945" s="82" t="n"/>
      <c r="Z945" s="82" t="n"/>
    </row>
    <row r="946" ht="15.75" customHeight="1" s="83">
      <c r="A946" s="82" t="n"/>
      <c r="B946" s="82" t="n"/>
      <c r="C946" s="82" t="n"/>
      <c r="D946" s="82" t="n"/>
      <c r="E946" s="81" t="n"/>
      <c r="F946" s="82" t="n"/>
      <c r="G946" s="82" t="n"/>
      <c r="H946" s="82" t="n"/>
      <c r="I946" s="82" t="n"/>
      <c r="J946" s="82" t="n"/>
      <c r="K946" s="82" t="n"/>
      <c r="L946" s="82" t="n"/>
      <c r="M946" s="82" t="n"/>
      <c r="N946" s="82" t="n"/>
      <c r="O946" s="82" t="n"/>
      <c r="P946" s="82" t="n"/>
      <c r="Q946" s="82" t="n"/>
      <c r="R946" s="82" t="n"/>
      <c r="S946" s="82" t="n"/>
      <c r="T946" s="82" t="n"/>
      <c r="U946" s="82" t="n"/>
      <c r="V946" s="82" t="n"/>
      <c r="W946" s="82" t="n"/>
      <c r="X946" s="82" t="n"/>
      <c r="Y946" s="82" t="n"/>
      <c r="Z946" s="82" t="n"/>
    </row>
    <row r="947" ht="15.75" customHeight="1" s="83">
      <c r="A947" s="82" t="n"/>
      <c r="B947" s="82" t="n"/>
      <c r="C947" s="82" t="n"/>
      <c r="D947" s="82" t="n"/>
      <c r="E947" s="81" t="n"/>
      <c r="F947" s="82" t="n"/>
      <c r="G947" s="82" t="n"/>
      <c r="H947" s="82" t="n"/>
      <c r="I947" s="82" t="n"/>
      <c r="J947" s="82" t="n"/>
      <c r="K947" s="82" t="n"/>
      <c r="L947" s="82" t="n"/>
      <c r="M947" s="82" t="n"/>
      <c r="N947" s="82" t="n"/>
      <c r="O947" s="82" t="n"/>
      <c r="P947" s="82" t="n"/>
      <c r="Q947" s="82" t="n"/>
      <c r="R947" s="82" t="n"/>
      <c r="S947" s="82" t="n"/>
      <c r="T947" s="82" t="n"/>
      <c r="U947" s="82" t="n"/>
      <c r="V947" s="82" t="n"/>
      <c r="W947" s="82" t="n"/>
      <c r="X947" s="82" t="n"/>
      <c r="Y947" s="82" t="n"/>
      <c r="Z947" s="82" t="n"/>
    </row>
    <row r="948" ht="15.75" customHeight="1" s="83">
      <c r="A948" s="82" t="n"/>
      <c r="B948" s="82" t="n"/>
      <c r="C948" s="82" t="n"/>
      <c r="D948" s="82" t="n"/>
      <c r="E948" s="81" t="n"/>
      <c r="F948" s="82" t="n"/>
      <c r="G948" s="82" t="n"/>
      <c r="H948" s="82" t="n"/>
      <c r="I948" s="82" t="n"/>
      <c r="J948" s="82" t="n"/>
      <c r="K948" s="82" t="n"/>
      <c r="L948" s="82" t="n"/>
      <c r="M948" s="82" t="n"/>
      <c r="N948" s="82" t="n"/>
      <c r="O948" s="82" t="n"/>
      <c r="P948" s="82" t="n"/>
      <c r="Q948" s="82" t="n"/>
      <c r="R948" s="82" t="n"/>
      <c r="S948" s="82" t="n"/>
      <c r="T948" s="82" t="n"/>
      <c r="U948" s="82" t="n"/>
      <c r="V948" s="82" t="n"/>
      <c r="W948" s="82" t="n"/>
      <c r="X948" s="82" t="n"/>
      <c r="Y948" s="82" t="n"/>
      <c r="Z948" s="82" t="n"/>
    </row>
    <row r="949" ht="15.75" customHeight="1" s="83">
      <c r="A949" s="82" t="n"/>
      <c r="B949" s="82" t="n"/>
      <c r="C949" s="82" t="n"/>
      <c r="D949" s="82" t="n"/>
      <c r="E949" s="81" t="n"/>
      <c r="F949" s="82" t="n"/>
      <c r="G949" s="82" t="n"/>
      <c r="H949" s="82" t="n"/>
      <c r="I949" s="82" t="n"/>
      <c r="J949" s="82" t="n"/>
      <c r="K949" s="82" t="n"/>
      <c r="L949" s="82" t="n"/>
      <c r="M949" s="82" t="n"/>
      <c r="N949" s="82" t="n"/>
      <c r="O949" s="82" t="n"/>
      <c r="P949" s="82" t="n"/>
      <c r="Q949" s="82" t="n"/>
      <c r="R949" s="82" t="n"/>
      <c r="S949" s="82" t="n"/>
      <c r="T949" s="82" t="n"/>
      <c r="U949" s="82" t="n"/>
      <c r="V949" s="82" t="n"/>
      <c r="W949" s="82" t="n"/>
      <c r="X949" s="82" t="n"/>
      <c r="Y949" s="82" t="n"/>
      <c r="Z949" s="82" t="n"/>
    </row>
    <row r="950" ht="15.75" customHeight="1" s="83">
      <c r="A950" s="82" t="n"/>
      <c r="B950" s="82" t="n"/>
      <c r="C950" s="82" t="n"/>
      <c r="D950" s="82" t="n"/>
      <c r="E950" s="81" t="n"/>
      <c r="F950" s="82" t="n"/>
      <c r="G950" s="82" t="n"/>
      <c r="H950" s="82" t="n"/>
      <c r="I950" s="82" t="n"/>
      <c r="J950" s="82" t="n"/>
      <c r="K950" s="82" t="n"/>
      <c r="L950" s="82" t="n"/>
      <c r="M950" s="82" t="n"/>
      <c r="N950" s="82" t="n"/>
      <c r="O950" s="82" t="n"/>
      <c r="P950" s="82" t="n"/>
      <c r="Q950" s="82" t="n"/>
      <c r="R950" s="82" t="n"/>
      <c r="S950" s="82" t="n"/>
      <c r="T950" s="82" t="n"/>
      <c r="U950" s="82" t="n"/>
      <c r="V950" s="82" t="n"/>
      <c r="W950" s="82" t="n"/>
      <c r="X950" s="82" t="n"/>
      <c r="Y950" s="82" t="n"/>
      <c r="Z950" s="82" t="n"/>
    </row>
    <row r="951" ht="15.75" customHeight="1" s="83">
      <c r="A951" s="82" t="n"/>
      <c r="B951" s="82" t="n"/>
      <c r="C951" s="82" t="n"/>
      <c r="D951" s="82" t="n"/>
      <c r="E951" s="81" t="n"/>
      <c r="F951" s="82" t="n"/>
      <c r="G951" s="82" t="n"/>
      <c r="H951" s="82" t="n"/>
      <c r="I951" s="82" t="n"/>
      <c r="J951" s="82" t="n"/>
      <c r="K951" s="82" t="n"/>
      <c r="L951" s="82" t="n"/>
      <c r="M951" s="82" t="n"/>
      <c r="N951" s="82" t="n"/>
      <c r="O951" s="82" t="n"/>
      <c r="P951" s="82" t="n"/>
      <c r="Q951" s="82" t="n"/>
      <c r="R951" s="82" t="n"/>
      <c r="S951" s="82" t="n"/>
      <c r="T951" s="82" t="n"/>
      <c r="U951" s="82" t="n"/>
      <c r="V951" s="82" t="n"/>
      <c r="W951" s="82" t="n"/>
      <c r="X951" s="82" t="n"/>
      <c r="Y951" s="82" t="n"/>
      <c r="Z951" s="82" t="n"/>
    </row>
    <row r="952" ht="15.75" customHeight="1" s="83">
      <c r="A952" s="82" t="n"/>
      <c r="B952" s="82" t="n"/>
      <c r="C952" s="82" t="n"/>
      <c r="D952" s="82" t="n"/>
      <c r="E952" s="81" t="n"/>
      <c r="F952" s="82" t="n"/>
      <c r="G952" s="82" t="n"/>
      <c r="H952" s="82" t="n"/>
      <c r="I952" s="82" t="n"/>
      <c r="J952" s="82" t="n"/>
      <c r="K952" s="82" t="n"/>
      <c r="L952" s="82" t="n"/>
      <c r="M952" s="82" t="n"/>
      <c r="N952" s="82" t="n"/>
      <c r="O952" s="82" t="n"/>
      <c r="P952" s="82" t="n"/>
      <c r="Q952" s="82" t="n"/>
      <c r="R952" s="82" t="n"/>
      <c r="S952" s="82" t="n"/>
      <c r="T952" s="82" t="n"/>
      <c r="U952" s="82" t="n"/>
      <c r="V952" s="82" t="n"/>
      <c r="W952" s="82" t="n"/>
      <c r="X952" s="82" t="n"/>
      <c r="Y952" s="82" t="n"/>
      <c r="Z952" s="82" t="n"/>
    </row>
    <row r="953" ht="15.75" customHeight="1" s="83">
      <c r="A953" s="82" t="n"/>
      <c r="B953" s="82" t="n"/>
      <c r="C953" s="82" t="n"/>
      <c r="D953" s="82" t="n"/>
      <c r="E953" s="81" t="n"/>
      <c r="F953" s="82" t="n"/>
      <c r="G953" s="82" t="n"/>
      <c r="H953" s="82" t="n"/>
      <c r="I953" s="82" t="n"/>
      <c r="J953" s="82" t="n"/>
      <c r="K953" s="82" t="n"/>
      <c r="L953" s="82" t="n"/>
      <c r="M953" s="82" t="n"/>
      <c r="N953" s="82" t="n"/>
      <c r="O953" s="82" t="n"/>
      <c r="P953" s="82" t="n"/>
      <c r="Q953" s="82" t="n"/>
      <c r="R953" s="82" t="n"/>
      <c r="S953" s="82" t="n"/>
      <c r="T953" s="82" t="n"/>
      <c r="U953" s="82" t="n"/>
      <c r="V953" s="82" t="n"/>
      <c r="W953" s="82" t="n"/>
      <c r="X953" s="82" t="n"/>
      <c r="Y953" s="82" t="n"/>
      <c r="Z953" s="82" t="n"/>
    </row>
    <row r="954" ht="15.75" customHeight="1" s="83">
      <c r="A954" s="82" t="n"/>
      <c r="B954" s="82" t="n"/>
      <c r="C954" s="82" t="n"/>
      <c r="D954" s="82" t="n"/>
      <c r="E954" s="81" t="n"/>
      <c r="F954" s="82" t="n"/>
      <c r="G954" s="82" t="n"/>
      <c r="H954" s="82" t="n"/>
      <c r="I954" s="82" t="n"/>
      <c r="J954" s="82" t="n"/>
      <c r="K954" s="82" t="n"/>
      <c r="L954" s="82" t="n"/>
      <c r="M954" s="82" t="n"/>
      <c r="N954" s="82" t="n"/>
      <c r="O954" s="82" t="n"/>
      <c r="P954" s="82" t="n"/>
      <c r="Q954" s="82" t="n"/>
      <c r="R954" s="82" t="n"/>
      <c r="S954" s="82" t="n"/>
      <c r="T954" s="82" t="n"/>
      <c r="U954" s="82" t="n"/>
      <c r="V954" s="82" t="n"/>
      <c r="W954" s="82" t="n"/>
      <c r="X954" s="82" t="n"/>
      <c r="Y954" s="82" t="n"/>
      <c r="Z954" s="82" t="n"/>
    </row>
    <row r="955" ht="15.75" customHeight="1" s="83">
      <c r="A955" s="82" t="n"/>
      <c r="B955" s="82" t="n"/>
      <c r="C955" s="82" t="n"/>
      <c r="D955" s="82" t="n"/>
      <c r="E955" s="81" t="n"/>
      <c r="F955" s="82" t="n"/>
      <c r="G955" s="82" t="n"/>
      <c r="H955" s="82" t="n"/>
      <c r="I955" s="82" t="n"/>
      <c r="J955" s="82" t="n"/>
      <c r="K955" s="82" t="n"/>
      <c r="L955" s="82" t="n"/>
      <c r="M955" s="82" t="n"/>
      <c r="N955" s="82" t="n"/>
      <c r="O955" s="82" t="n"/>
      <c r="P955" s="82" t="n"/>
      <c r="Q955" s="82" t="n"/>
      <c r="R955" s="82" t="n"/>
      <c r="S955" s="82" t="n"/>
      <c r="T955" s="82" t="n"/>
      <c r="U955" s="82" t="n"/>
      <c r="V955" s="82" t="n"/>
      <c r="W955" s="82" t="n"/>
      <c r="X955" s="82" t="n"/>
      <c r="Y955" s="82" t="n"/>
      <c r="Z955" s="82" t="n"/>
    </row>
    <row r="956" ht="15.75" customHeight="1" s="83">
      <c r="A956" s="82" t="n"/>
      <c r="B956" s="82" t="n"/>
      <c r="C956" s="82" t="n"/>
      <c r="D956" s="82" t="n"/>
      <c r="E956" s="81" t="n"/>
      <c r="F956" s="82" t="n"/>
      <c r="G956" s="82" t="n"/>
      <c r="H956" s="82" t="n"/>
      <c r="I956" s="82" t="n"/>
      <c r="J956" s="82" t="n"/>
      <c r="K956" s="82" t="n"/>
      <c r="L956" s="82" t="n"/>
      <c r="M956" s="82" t="n"/>
      <c r="N956" s="82" t="n"/>
      <c r="O956" s="82" t="n"/>
      <c r="P956" s="82" t="n"/>
      <c r="Q956" s="82" t="n"/>
      <c r="R956" s="82" t="n"/>
      <c r="S956" s="82" t="n"/>
      <c r="T956" s="82" t="n"/>
      <c r="U956" s="82" t="n"/>
      <c r="V956" s="82" t="n"/>
      <c r="W956" s="82" t="n"/>
      <c r="X956" s="82" t="n"/>
      <c r="Y956" s="82" t="n"/>
      <c r="Z956" s="82" t="n"/>
    </row>
    <row r="957" ht="15.75" customHeight="1" s="83">
      <c r="A957" s="82" t="n"/>
      <c r="B957" s="82" t="n"/>
      <c r="C957" s="82" t="n"/>
      <c r="D957" s="82" t="n"/>
      <c r="E957" s="81" t="n"/>
      <c r="F957" s="82" t="n"/>
      <c r="G957" s="82" t="n"/>
      <c r="H957" s="82" t="n"/>
      <c r="I957" s="82" t="n"/>
      <c r="J957" s="82" t="n"/>
      <c r="K957" s="82" t="n"/>
      <c r="L957" s="82" t="n"/>
      <c r="M957" s="82" t="n"/>
      <c r="N957" s="82" t="n"/>
      <c r="O957" s="82" t="n"/>
      <c r="P957" s="82" t="n"/>
      <c r="Q957" s="82" t="n"/>
      <c r="R957" s="82" t="n"/>
      <c r="S957" s="82" t="n"/>
      <c r="T957" s="82" t="n"/>
      <c r="U957" s="82" t="n"/>
      <c r="V957" s="82" t="n"/>
      <c r="W957" s="82" t="n"/>
      <c r="X957" s="82" t="n"/>
      <c r="Y957" s="82" t="n"/>
      <c r="Z957" s="82" t="n"/>
    </row>
    <row r="958" ht="15.75" customHeight="1" s="83">
      <c r="A958" s="82" t="n"/>
      <c r="B958" s="82" t="n"/>
      <c r="C958" s="82" t="n"/>
      <c r="D958" s="82" t="n"/>
      <c r="E958" s="81" t="n"/>
      <c r="F958" s="82" t="n"/>
      <c r="G958" s="82" t="n"/>
      <c r="H958" s="82" t="n"/>
      <c r="I958" s="82" t="n"/>
      <c r="J958" s="82" t="n"/>
      <c r="K958" s="82" t="n"/>
      <c r="L958" s="82" t="n"/>
      <c r="M958" s="82" t="n"/>
      <c r="N958" s="82" t="n"/>
      <c r="O958" s="82" t="n"/>
      <c r="P958" s="82" t="n"/>
      <c r="Q958" s="82" t="n"/>
      <c r="R958" s="82" t="n"/>
      <c r="S958" s="82" t="n"/>
      <c r="T958" s="82" t="n"/>
      <c r="U958" s="82" t="n"/>
      <c r="V958" s="82" t="n"/>
      <c r="W958" s="82" t="n"/>
      <c r="X958" s="82" t="n"/>
      <c r="Y958" s="82" t="n"/>
      <c r="Z958" s="82" t="n"/>
    </row>
    <row r="959" ht="15.75" customHeight="1" s="83">
      <c r="A959" s="82" t="n"/>
      <c r="B959" s="82" t="n"/>
      <c r="C959" s="82" t="n"/>
      <c r="D959" s="82" t="n"/>
      <c r="E959" s="81" t="n"/>
      <c r="F959" s="82" t="n"/>
      <c r="G959" s="82" t="n"/>
      <c r="H959" s="82" t="n"/>
      <c r="I959" s="82" t="n"/>
      <c r="J959" s="82" t="n"/>
      <c r="K959" s="82" t="n"/>
      <c r="L959" s="82" t="n"/>
      <c r="M959" s="82" t="n"/>
      <c r="N959" s="82" t="n"/>
      <c r="O959" s="82" t="n"/>
      <c r="P959" s="82" t="n"/>
      <c r="Q959" s="82" t="n"/>
      <c r="R959" s="82" t="n"/>
      <c r="S959" s="82" t="n"/>
      <c r="T959" s="82" t="n"/>
      <c r="U959" s="82" t="n"/>
      <c r="V959" s="82" t="n"/>
      <c r="W959" s="82" t="n"/>
      <c r="X959" s="82" t="n"/>
      <c r="Y959" s="82" t="n"/>
      <c r="Z959" s="82" t="n"/>
    </row>
    <row r="960" ht="15.75" customHeight="1" s="83">
      <c r="A960" s="82" t="n"/>
      <c r="B960" s="82" t="n"/>
      <c r="C960" s="82" t="n"/>
      <c r="D960" s="82" t="n"/>
      <c r="E960" s="81" t="n"/>
      <c r="F960" s="82" t="n"/>
      <c r="G960" s="82" t="n"/>
      <c r="H960" s="82" t="n"/>
      <c r="I960" s="82" t="n"/>
      <c r="J960" s="82" t="n"/>
      <c r="K960" s="82" t="n"/>
      <c r="L960" s="82" t="n"/>
      <c r="M960" s="82" t="n"/>
      <c r="N960" s="82" t="n"/>
      <c r="O960" s="82" t="n"/>
      <c r="P960" s="82" t="n"/>
      <c r="Q960" s="82" t="n"/>
      <c r="R960" s="82" t="n"/>
      <c r="S960" s="82" t="n"/>
      <c r="T960" s="82" t="n"/>
      <c r="U960" s="82" t="n"/>
      <c r="V960" s="82" t="n"/>
      <c r="W960" s="82" t="n"/>
      <c r="X960" s="82" t="n"/>
      <c r="Y960" s="82" t="n"/>
      <c r="Z960" s="82" t="n"/>
    </row>
    <row r="961" ht="15.75" customHeight="1" s="83">
      <c r="A961" s="82" t="n"/>
      <c r="B961" s="82" t="n"/>
      <c r="C961" s="82" t="n"/>
      <c r="D961" s="82" t="n"/>
      <c r="E961" s="81" t="n"/>
      <c r="F961" s="82" t="n"/>
      <c r="G961" s="82" t="n"/>
      <c r="H961" s="82" t="n"/>
      <c r="I961" s="82" t="n"/>
      <c r="J961" s="82" t="n"/>
      <c r="K961" s="82" t="n"/>
      <c r="L961" s="82" t="n"/>
      <c r="M961" s="82" t="n"/>
      <c r="N961" s="82" t="n"/>
      <c r="O961" s="82" t="n"/>
      <c r="P961" s="82" t="n"/>
      <c r="Q961" s="82" t="n"/>
      <c r="R961" s="82" t="n"/>
      <c r="S961" s="82" t="n"/>
      <c r="T961" s="82" t="n"/>
      <c r="U961" s="82" t="n"/>
      <c r="V961" s="82" t="n"/>
      <c r="W961" s="82" t="n"/>
      <c r="X961" s="82" t="n"/>
      <c r="Y961" s="82" t="n"/>
      <c r="Z961" s="82" t="n"/>
    </row>
    <row r="962" ht="15.75" customHeight="1" s="83">
      <c r="A962" s="82" t="n"/>
      <c r="B962" s="82" t="n"/>
      <c r="C962" s="82" t="n"/>
      <c r="D962" s="82" t="n"/>
      <c r="E962" s="81" t="n"/>
      <c r="F962" s="82" t="n"/>
      <c r="G962" s="82" t="n"/>
      <c r="H962" s="82" t="n"/>
      <c r="I962" s="82" t="n"/>
      <c r="J962" s="82" t="n"/>
      <c r="K962" s="82" t="n"/>
      <c r="L962" s="82" t="n"/>
      <c r="M962" s="82" t="n"/>
      <c r="N962" s="82" t="n"/>
      <c r="O962" s="82" t="n"/>
      <c r="P962" s="82" t="n"/>
      <c r="Q962" s="82" t="n"/>
      <c r="R962" s="82" t="n"/>
      <c r="S962" s="82" t="n"/>
      <c r="T962" s="82" t="n"/>
      <c r="U962" s="82" t="n"/>
      <c r="V962" s="82" t="n"/>
      <c r="W962" s="82" t="n"/>
      <c r="X962" s="82" t="n"/>
      <c r="Y962" s="82" t="n"/>
      <c r="Z962" s="82" t="n"/>
    </row>
    <row r="963" ht="15.75" customHeight="1" s="83">
      <c r="A963" s="82" t="n"/>
      <c r="B963" s="82" t="n"/>
      <c r="C963" s="82" t="n"/>
      <c r="D963" s="82" t="n"/>
      <c r="E963" s="81" t="n"/>
      <c r="F963" s="82" t="n"/>
      <c r="G963" s="82" t="n"/>
      <c r="H963" s="82" t="n"/>
      <c r="I963" s="82" t="n"/>
      <c r="J963" s="82" t="n"/>
      <c r="K963" s="82" t="n"/>
      <c r="L963" s="82" t="n"/>
      <c r="M963" s="82" t="n"/>
      <c r="N963" s="82" t="n"/>
      <c r="O963" s="82" t="n"/>
      <c r="P963" s="82" t="n"/>
      <c r="Q963" s="82" t="n"/>
      <c r="R963" s="82" t="n"/>
      <c r="S963" s="82" t="n"/>
      <c r="T963" s="82" t="n"/>
      <c r="U963" s="82" t="n"/>
      <c r="V963" s="82" t="n"/>
      <c r="W963" s="82" t="n"/>
      <c r="X963" s="82" t="n"/>
      <c r="Y963" s="82" t="n"/>
      <c r="Z963" s="82" t="n"/>
    </row>
    <row r="964" ht="15.75" customHeight="1" s="83">
      <c r="A964" s="82" t="n"/>
      <c r="B964" s="82" t="n"/>
      <c r="C964" s="82" t="n"/>
      <c r="D964" s="82" t="n"/>
      <c r="E964" s="81" t="n"/>
      <c r="F964" s="82" t="n"/>
      <c r="G964" s="82" t="n"/>
      <c r="H964" s="82" t="n"/>
      <c r="I964" s="82" t="n"/>
      <c r="J964" s="82" t="n"/>
      <c r="K964" s="82" t="n"/>
      <c r="L964" s="82" t="n"/>
      <c r="M964" s="82" t="n"/>
      <c r="N964" s="82" t="n"/>
      <c r="O964" s="82" t="n"/>
      <c r="P964" s="82" t="n"/>
      <c r="Q964" s="82" t="n"/>
      <c r="R964" s="82" t="n"/>
      <c r="S964" s="82" t="n"/>
      <c r="T964" s="82" t="n"/>
      <c r="U964" s="82" t="n"/>
      <c r="V964" s="82" t="n"/>
      <c r="W964" s="82" t="n"/>
      <c r="X964" s="82" t="n"/>
      <c r="Y964" s="82" t="n"/>
      <c r="Z964" s="82" t="n"/>
    </row>
    <row r="965" ht="15.75" customHeight="1" s="83">
      <c r="A965" s="82" t="n"/>
      <c r="B965" s="82" t="n"/>
      <c r="C965" s="82" t="n"/>
      <c r="D965" s="82" t="n"/>
      <c r="E965" s="81" t="n"/>
      <c r="F965" s="82" t="n"/>
      <c r="G965" s="82" t="n"/>
      <c r="H965" s="82" t="n"/>
      <c r="I965" s="82" t="n"/>
      <c r="J965" s="82" t="n"/>
      <c r="K965" s="82" t="n"/>
      <c r="L965" s="82" t="n"/>
      <c r="M965" s="82" t="n"/>
      <c r="N965" s="82" t="n"/>
      <c r="O965" s="82" t="n"/>
      <c r="P965" s="82" t="n"/>
      <c r="Q965" s="82" t="n"/>
      <c r="R965" s="82" t="n"/>
      <c r="S965" s="82" t="n"/>
      <c r="T965" s="82" t="n"/>
      <c r="U965" s="82" t="n"/>
      <c r="V965" s="82" t="n"/>
      <c r="W965" s="82" t="n"/>
      <c r="X965" s="82" t="n"/>
      <c r="Y965" s="82" t="n"/>
      <c r="Z965" s="82" t="n"/>
    </row>
    <row r="966" ht="15.75" customHeight="1" s="83">
      <c r="A966" s="82" t="n"/>
      <c r="B966" s="82" t="n"/>
      <c r="C966" s="82" t="n"/>
      <c r="D966" s="82" t="n"/>
      <c r="E966" s="81" t="n"/>
      <c r="F966" s="82" t="n"/>
      <c r="G966" s="82" t="n"/>
      <c r="H966" s="82" t="n"/>
      <c r="I966" s="82" t="n"/>
      <c r="J966" s="82" t="n"/>
      <c r="K966" s="82" t="n"/>
      <c r="L966" s="82" t="n"/>
      <c r="M966" s="82" t="n"/>
      <c r="N966" s="82" t="n"/>
      <c r="O966" s="82" t="n"/>
      <c r="P966" s="82" t="n"/>
      <c r="Q966" s="82" t="n"/>
      <c r="R966" s="82" t="n"/>
      <c r="S966" s="82" t="n"/>
      <c r="T966" s="82" t="n"/>
      <c r="U966" s="82" t="n"/>
      <c r="V966" s="82" t="n"/>
      <c r="W966" s="82" t="n"/>
      <c r="X966" s="82" t="n"/>
      <c r="Y966" s="82" t="n"/>
      <c r="Z966" s="82" t="n"/>
    </row>
    <row r="967" ht="15.75" customHeight="1" s="83">
      <c r="A967" s="82" t="n"/>
      <c r="B967" s="82" t="n"/>
      <c r="C967" s="82" t="n"/>
      <c r="D967" s="82" t="n"/>
      <c r="E967" s="81" t="n"/>
      <c r="F967" s="82" t="n"/>
      <c r="G967" s="82" t="n"/>
      <c r="H967" s="82" t="n"/>
      <c r="I967" s="82" t="n"/>
      <c r="J967" s="82" t="n"/>
      <c r="K967" s="82" t="n"/>
      <c r="L967" s="82" t="n"/>
      <c r="M967" s="82" t="n"/>
      <c r="N967" s="82" t="n"/>
      <c r="O967" s="82" t="n"/>
      <c r="P967" s="82" t="n"/>
      <c r="Q967" s="82" t="n"/>
      <c r="R967" s="82" t="n"/>
      <c r="S967" s="82" t="n"/>
      <c r="T967" s="82" t="n"/>
      <c r="U967" s="82" t="n"/>
      <c r="V967" s="82" t="n"/>
      <c r="W967" s="82" t="n"/>
      <c r="X967" s="82" t="n"/>
      <c r="Y967" s="82" t="n"/>
      <c r="Z967" s="82" t="n"/>
    </row>
    <row r="968" ht="15.75" customHeight="1" s="83">
      <c r="A968" s="82" t="n"/>
      <c r="B968" s="82" t="n"/>
      <c r="C968" s="82" t="n"/>
      <c r="D968" s="82" t="n"/>
      <c r="E968" s="81" t="n"/>
      <c r="F968" s="82" t="n"/>
      <c r="G968" s="82" t="n"/>
      <c r="H968" s="82" t="n"/>
      <c r="I968" s="82" t="n"/>
      <c r="J968" s="82" t="n"/>
      <c r="K968" s="82" t="n"/>
      <c r="L968" s="82" t="n"/>
      <c r="M968" s="82" t="n"/>
      <c r="N968" s="82" t="n"/>
      <c r="O968" s="82" t="n"/>
      <c r="P968" s="82" t="n"/>
      <c r="Q968" s="82" t="n"/>
      <c r="R968" s="82" t="n"/>
      <c r="S968" s="82" t="n"/>
      <c r="T968" s="82" t="n"/>
      <c r="U968" s="82" t="n"/>
      <c r="V968" s="82" t="n"/>
      <c r="W968" s="82" t="n"/>
      <c r="X968" s="82" t="n"/>
      <c r="Y968" s="82" t="n"/>
      <c r="Z968" s="82" t="n"/>
    </row>
    <row r="969" ht="15.75" customHeight="1" s="83">
      <c r="A969" s="82" t="n"/>
      <c r="B969" s="82" t="n"/>
      <c r="C969" s="82" t="n"/>
      <c r="D969" s="82" t="n"/>
      <c r="E969" s="81" t="n"/>
      <c r="F969" s="82" t="n"/>
      <c r="G969" s="82" t="n"/>
      <c r="H969" s="82" t="n"/>
      <c r="I969" s="82" t="n"/>
      <c r="J969" s="82" t="n"/>
      <c r="K969" s="82" t="n"/>
      <c r="L969" s="82" t="n"/>
      <c r="M969" s="82" t="n"/>
      <c r="N969" s="82" t="n"/>
      <c r="O969" s="82" t="n"/>
      <c r="P969" s="82" t="n"/>
      <c r="Q969" s="82" t="n"/>
      <c r="R969" s="82" t="n"/>
      <c r="S969" s="82" t="n"/>
      <c r="T969" s="82" t="n"/>
      <c r="U969" s="82" t="n"/>
      <c r="V969" s="82" t="n"/>
      <c r="W969" s="82" t="n"/>
      <c r="X969" s="82" t="n"/>
      <c r="Y969" s="82" t="n"/>
      <c r="Z969" s="82" t="n"/>
    </row>
    <row r="970" ht="15.75" customHeight="1" s="83">
      <c r="A970" s="82" t="n"/>
      <c r="B970" s="82" t="n"/>
      <c r="C970" s="82" t="n"/>
      <c r="D970" s="82" t="n"/>
      <c r="E970" s="81" t="n"/>
      <c r="F970" s="82" t="n"/>
      <c r="G970" s="82" t="n"/>
      <c r="H970" s="82" t="n"/>
      <c r="I970" s="82" t="n"/>
      <c r="J970" s="82" t="n"/>
      <c r="K970" s="82" t="n"/>
      <c r="L970" s="82" t="n"/>
      <c r="M970" s="82" t="n"/>
      <c r="N970" s="82" t="n"/>
      <c r="O970" s="82" t="n"/>
      <c r="P970" s="82" t="n"/>
      <c r="Q970" s="82" t="n"/>
      <c r="R970" s="82" t="n"/>
      <c r="S970" s="82" t="n"/>
      <c r="T970" s="82" t="n"/>
      <c r="U970" s="82" t="n"/>
      <c r="V970" s="82" t="n"/>
      <c r="W970" s="82" t="n"/>
      <c r="X970" s="82" t="n"/>
      <c r="Y970" s="82" t="n"/>
      <c r="Z970" s="82" t="n"/>
    </row>
    <row r="971" ht="15.75" customHeight="1" s="83">
      <c r="A971" s="82" t="n"/>
      <c r="B971" s="82" t="n"/>
      <c r="C971" s="82" t="n"/>
      <c r="D971" s="82" t="n"/>
      <c r="E971" s="81" t="n"/>
      <c r="F971" s="82" t="n"/>
      <c r="G971" s="82" t="n"/>
      <c r="H971" s="82" t="n"/>
      <c r="I971" s="82" t="n"/>
      <c r="J971" s="82" t="n"/>
      <c r="K971" s="82" t="n"/>
      <c r="L971" s="82" t="n"/>
      <c r="M971" s="82" t="n"/>
      <c r="N971" s="82" t="n"/>
      <c r="O971" s="82" t="n"/>
      <c r="P971" s="82" t="n"/>
      <c r="Q971" s="82" t="n"/>
      <c r="R971" s="82" t="n"/>
      <c r="S971" s="82" t="n"/>
      <c r="T971" s="82" t="n"/>
      <c r="U971" s="82" t="n"/>
      <c r="V971" s="82" t="n"/>
      <c r="W971" s="82" t="n"/>
      <c r="X971" s="82" t="n"/>
      <c r="Y971" s="82" t="n"/>
      <c r="Z971" s="82" t="n"/>
    </row>
    <row r="972" ht="15.75" customHeight="1" s="83">
      <c r="A972" s="82" t="n"/>
      <c r="B972" s="82" t="n"/>
      <c r="C972" s="82" t="n"/>
      <c r="D972" s="82" t="n"/>
      <c r="E972" s="81" t="n"/>
      <c r="F972" s="82" t="n"/>
      <c r="G972" s="82" t="n"/>
      <c r="H972" s="82" t="n"/>
      <c r="I972" s="82" t="n"/>
      <c r="J972" s="82" t="n"/>
      <c r="K972" s="82" t="n"/>
      <c r="L972" s="82" t="n"/>
      <c r="M972" s="82" t="n"/>
      <c r="N972" s="82" t="n"/>
      <c r="O972" s="82" t="n"/>
      <c r="P972" s="82" t="n"/>
      <c r="Q972" s="82" t="n"/>
      <c r="R972" s="82" t="n"/>
      <c r="S972" s="82" t="n"/>
      <c r="T972" s="82" t="n"/>
      <c r="U972" s="82" t="n"/>
      <c r="V972" s="82" t="n"/>
      <c r="W972" s="82" t="n"/>
      <c r="X972" s="82" t="n"/>
      <c r="Y972" s="82" t="n"/>
      <c r="Z972" s="82" t="n"/>
    </row>
    <row r="973" ht="15.75" customHeight="1" s="83">
      <c r="A973" s="82" t="n"/>
      <c r="B973" s="82" t="n"/>
      <c r="C973" s="82" t="n"/>
      <c r="D973" s="82" t="n"/>
      <c r="E973" s="81" t="n"/>
      <c r="F973" s="82" t="n"/>
      <c r="G973" s="82" t="n"/>
      <c r="H973" s="82" t="n"/>
      <c r="I973" s="82" t="n"/>
      <c r="J973" s="82" t="n"/>
      <c r="K973" s="82" t="n"/>
      <c r="L973" s="82" t="n"/>
      <c r="M973" s="82" t="n"/>
      <c r="N973" s="82" t="n"/>
      <c r="O973" s="82" t="n"/>
      <c r="P973" s="82" t="n"/>
      <c r="Q973" s="82" t="n"/>
      <c r="R973" s="82" t="n"/>
      <c r="S973" s="82" t="n"/>
      <c r="T973" s="82" t="n"/>
      <c r="U973" s="82" t="n"/>
      <c r="V973" s="82" t="n"/>
      <c r="W973" s="82" t="n"/>
      <c r="X973" s="82" t="n"/>
      <c r="Y973" s="82" t="n"/>
      <c r="Z973" s="82" t="n"/>
    </row>
    <row r="974" ht="15.75" customHeight="1" s="83">
      <c r="A974" s="82" t="n"/>
      <c r="B974" s="82" t="n"/>
      <c r="C974" s="82" t="n"/>
      <c r="D974" s="82" t="n"/>
      <c r="E974" s="81" t="n"/>
      <c r="F974" s="82" t="n"/>
      <c r="G974" s="82" t="n"/>
      <c r="H974" s="82" t="n"/>
      <c r="I974" s="82" t="n"/>
      <c r="J974" s="82" t="n"/>
      <c r="K974" s="82" t="n"/>
      <c r="L974" s="82" t="n"/>
      <c r="M974" s="82" t="n"/>
      <c r="N974" s="82" t="n"/>
      <c r="O974" s="82" t="n"/>
      <c r="P974" s="82" t="n"/>
      <c r="Q974" s="82" t="n"/>
      <c r="R974" s="82" t="n"/>
      <c r="S974" s="82" t="n"/>
      <c r="T974" s="82" t="n"/>
      <c r="U974" s="82" t="n"/>
      <c r="V974" s="82" t="n"/>
      <c r="W974" s="82" t="n"/>
      <c r="X974" s="82" t="n"/>
      <c r="Y974" s="82" t="n"/>
      <c r="Z974" s="82" t="n"/>
    </row>
    <row r="975" ht="15.75" customHeight="1" s="83">
      <c r="A975" s="82" t="n"/>
      <c r="B975" s="82" t="n"/>
      <c r="C975" s="82" t="n"/>
      <c r="D975" s="82" t="n"/>
      <c r="E975" s="81" t="n"/>
      <c r="F975" s="82" t="n"/>
      <c r="G975" s="82" t="n"/>
      <c r="H975" s="82" t="n"/>
      <c r="I975" s="82" t="n"/>
      <c r="J975" s="82" t="n"/>
      <c r="K975" s="82" t="n"/>
      <c r="L975" s="82" t="n"/>
      <c r="M975" s="82" t="n"/>
      <c r="N975" s="82" t="n"/>
      <c r="O975" s="82" t="n"/>
      <c r="P975" s="82" t="n"/>
      <c r="Q975" s="82" t="n"/>
      <c r="R975" s="82" t="n"/>
      <c r="S975" s="82" t="n"/>
      <c r="T975" s="82" t="n"/>
      <c r="U975" s="82" t="n"/>
      <c r="V975" s="82" t="n"/>
      <c r="W975" s="82" t="n"/>
      <c r="X975" s="82" t="n"/>
      <c r="Y975" s="82" t="n"/>
      <c r="Z975" s="82" t="n"/>
    </row>
    <row r="976" ht="15.75" customHeight="1" s="83">
      <c r="A976" s="82" t="n"/>
      <c r="B976" s="82" t="n"/>
      <c r="C976" s="82" t="n"/>
      <c r="D976" s="82" t="n"/>
      <c r="E976" s="81" t="n"/>
      <c r="F976" s="82" t="n"/>
      <c r="G976" s="82" t="n"/>
      <c r="H976" s="82" t="n"/>
      <c r="I976" s="82" t="n"/>
      <c r="J976" s="82" t="n"/>
      <c r="K976" s="82" t="n"/>
      <c r="L976" s="82" t="n"/>
      <c r="M976" s="82" t="n"/>
      <c r="N976" s="82" t="n"/>
      <c r="O976" s="82" t="n"/>
      <c r="P976" s="82" t="n"/>
      <c r="Q976" s="82" t="n"/>
      <c r="R976" s="82" t="n"/>
      <c r="S976" s="82" t="n"/>
      <c r="T976" s="82" t="n"/>
      <c r="U976" s="82" t="n"/>
      <c r="V976" s="82" t="n"/>
      <c r="W976" s="82" t="n"/>
      <c r="X976" s="82" t="n"/>
      <c r="Y976" s="82" t="n"/>
      <c r="Z976" s="82" t="n"/>
    </row>
    <row r="977" ht="15.75" customHeight="1" s="83">
      <c r="A977" s="82" t="n"/>
      <c r="B977" s="82" t="n"/>
      <c r="C977" s="82" t="n"/>
      <c r="D977" s="82" t="n"/>
      <c r="E977" s="81" t="n"/>
      <c r="F977" s="82" t="n"/>
      <c r="G977" s="82" t="n"/>
      <c r="H977" s="82" t="n"/>
      <c r="I977" s="82" t="n"/>
      <c r="J977" s="82" t="n"/>
      <c r="K977" s="82" t="n"/>
      <c r="L977" s="82" t="n"/>
      <c r="M977" s="82" t="n"/>
      <c r="N977" s="82" t="n"/>
      <c r="O977" s="82" t="n"/>
      <c r="P977" s="82" t="n"/>
      <c r="Q977" s="82" t="n"/>
      <c r="R977" s="82" t="n"/>
      <c r="S977" s="82" t="n"/>
      <c r="T977" s="82" t="n"/>
      <c r="U977" s="82" t="n"/>
      <c r="V977" s="82" t="n"/>
      <c r="W977" s="82" t="n"/>
      <c r="X977" s="82" t="n"/>
      <c r="Y977" s="82" t="n"/>
      <c r="Z977" s="82" t="n"/>
    </row>
    <row r="978" ht="15.75" customHeight="1" s="83">
      <c r="A978" s="82" t="n"/>
      <c r="B978" s="82" t="n"/>
      <c r="C978" s="82" t="n"/>
      <c r="D978" s="82" t="n"/>
      <c r="E978" s="81" t="n"/>
      <c r="F978" s="82" t="n"/>
      <c r="G978" s="82" t="n"/>
      <c r="H978" s="82" t="n"/>
      <c r="I978" s="82" t="n"/>
      <c r="J978" s="82" t="n"/>
      <c r="K978" s="82" t="n"/>
      <c r="L978" s="82" t="n"/>
      <c r="M978" s="82" t="n"/>
      <c r="N978" s="82" t="n"/>
      <c r="O978" s="82" t="n"/>
      <c r="P978" s="82" t="n"/>
      <c r="Q978" s="82" t="n"/>
      <c r="R978" s="82" t="n"/>
      <c r="S978" s="82" t="n"/>
      <c r="T978" s="82" t="n"/>
      <c r="U978" s="82" t="n"/>
      <c r="V978" s="82" t="n"/>
      <c r="W978" s="82" t="n"/>
      <c r="X978" s="82" t="n"/>
      <c r="Y978" s="82" t="n"/>
      <c r="Z978" s="82" t="n"/>
    </row>
    <row r="979" ht="15.75" customHeight="1" s="83">
      <c r="A979" s="82" t="n"/>
      <c r="B979" s="82" t="n"/>
      <c r="C979" s="82" t="n"/>
      <c r="D979" s="82" t="n"/>
      <c r="E979" s="81" t="n"/>
      <c r="F979" s="82" t="n"/>
      <c r="G979" s="82" t="n"/>
      <c r="H979" s="82" t="n"/>
      <c r="I979" s="82" t="n"/>
      <c r="J979" s="82" t="n"/>
      <c r="K979" s="82" t="n"/>
      <c r="L979" s="82" t="n"/>
      <c r="M979" s="82" t="n"/>
      <c r="N979" s="82" t="n"/>
      <c r="O979" s="82" t="n"/>
      <c r="P979" s="82" t="n"/>
      <c r="Q979" s="82" t="n"/>
      <c r="R979" s="82" t="n"/>
      <c r="S979" s="82" t="n"/>
      <c r="T979" s="82" t="n"/>
      <c r="U979" s="82" t="n"/>
      <c r="V979" s="82" t="n"/>
      <c r="W979" s="82" t="n"/>
      <c r="X979" s="82" t="n"/>
      <c r="Y979" s="82" t="n"/>
      <c r="Z979" s="82" t="n"/>
    </row>
    <row r="980" ht="15.75" customHeight="1" s="83">
      <c r="A980" s="82" t="n"/>
      <c r="B980" s="82" t="n"/>
      <c r="C980" s="82" t="n"/>
      <c r="D980" s="82" t="n"/>
      <c r="E980" s="81" t="n"/>
      <c r="F980" s="82" t="n"/>
      <c r="G980" s="82" t="n"/>
      <c r="H980" s="82" t="n"/>
      <c r="I980" s="82" t="n"/>
      <c r="J980" s="82" t="n"/>
      <c r="K980" s="82" t="n"/>
      <c r="L980" s="82" t="n"/>
      <c r="M980" s="82" t="n"/>
      <c r="N980" s="82" t="n"/>
      <c r="O980" s="82" t="n"/>
      <c r="P980" s="82" t="n"/>
      <c r="Q980" s="82" t="n"/>
      <c r="R980" s="82" t="n"/>
      <c r="S980" s="82" t="n"/>
      <c r="T980" s="82" t="n"/>
      <c r="U980" s="82" t="n"/>
      <c r="V980" s="82" t="n"/>
      <c r="W980" s="82" t="n"/>
      <c r="X980" s="82" t="n"/>
      <c r="Y980" s="82" t="n"/>
      <c r="Z980" s="82" t="n"/>
    </row>
    <row r="981" ht="15.75" customHeight="1" s="83">
      <c r="A981" s="82" t="n"/>
      <c r="B981" s="82" t="n"/>
      <c r="C981" s="82" t="n"/>
      <c r="D981" s="82" t="n"/>
      <c r="E981" s="81" t="n"/>
      <c r="F981" s="82" t="n"/>
      <c r="G981" s="82" t="n"/>
      <c r="H981" s="82" t="n"/>
      <c r="I981" s="82" t="n"/>
      <c r="J981" s="82" t="n"/>
      <c r="K981" s="82" t="n"/>
      <c r="L981" s="82" t="n"/>
      <c r="M981" s="82" t="n"/>
      <c r="N981" s="82" t="n"/>
      <c r="O981" s="82" t="n"/>
      <c r="P981" s="82" t="n"/>
      <c r="Q981" s="82" t="n"/>
      <c r="R981" s="82" t="n"/>
      <c r="S981" s="82" t="n"/>
      <c r="T981" s="82" t="n"/>
      <c r="U981" s="82" t="n"/>
      <c r="V981" s="82" t="n"/>
      <c r="W981" s="82" t="n"/>
      <c r="X981" s="82" t="n"/>
      <c r="Y981" s="82" t="n"/>
      <c r="Z981" s="82" t="n"/>
    </row>
    <row r="982" ht="15.75" customHeight="1" s="83">
      <c r="A982" s="82" t="n"/>
      <c r="B982" s="82" t="n"/>
      <c r="C982" s="82" t="n"/>
      <c r="D982" s="82" t="n"/>
      <c r="E982" s="81" t="n"/>
      <c r="F982" s="82" t="n"/>
      <c r="G982" s="82" t="n"/>
      <c r="H982" s="82" t="n"/>
      <c r="I982" s="82" t="n"/>
      <c r="J982" s="82" t="n"/>
      <c r="K982" s="82" t="n"/>
      <c r="L982" s="82" t="n"/>
      <c r="M982" s="82" t="n"/>
      <c r="N982" s="82" t="n"/>
      <c r="O982" s="82" t="n"/>
      <c r="P982" s="82" t="n"/>
      <c r="Q982" s="82" t="n"/>
      <c r="R982" s="82" t="n"/>
      <c r="S982" s="82" t="n"/>
      <c r="T982" s="82" t="n"/>
      <c r="U982" s="82" t="n"/>
      <c r="V982" s="82" t="n"/>
      <c r="W982" s="82" t="n"/>
      <c r="X982" s="82" t="n"/>
      <c r="Y982" s="82" t="n"/>
      <c r="Z982" s="82" t="n"/>
    </row>
    <row r="983" ht="15.75" customHeight="1" s="83">
      <c r="A983" s="82" t="n"/>
      <c r="B983" s="82" t="n"/>
      <c r="C983" s="82" t="n"/>
      <c r="D983" s="82" t="n"/>
      <c r="E983" s="81" t="n"/>
      <c r="F983" s="82" t="n"/>
      <c r="G983" s="82" t="n"/>
      <c r="H983" s="82" t="n"/>
      <c r="I983" s="82" t="n"/>
      <c r="J983" s="82" t="n"/>
      <c r="K983" s="82" t="n"/>
      <c r="L983" s="82" t="n"/>
      <c r="M983" s="82" t="n"/>
      <c r="N983" s="82" t="n"/>
      <c r="O983" s="82" t="n"/>
      <c r="P983" s="82" t="n"/>
      <c r="Q983" s="82" t="n"/>
      <c r="R983" s="82" t="n"/>
      <c r="S983" s="82" t="n"/>
      <c r="T983" s="82" t="n"/>
      <c r="U983" s="82" t="n"/>
      <c r="V983" s="82" t="n"/>
      <c r="W983" s="82" t="n"/>
      <c r="X983" s="82" t="n"/>
      <c r="Y983" s="82" t="n"/>
      <c r="Z983" s="82" t="n"/>
    </row>
    <row r="984" ht="15.75" customHeight="1" s="83">
      <c r="A984" s="82" t="n"/>
      <c r="B984" s="82" t="n"/>
      <c r="C984" s="82" t="n"/>
      <c r="D984" s="82" t="n"/>
      <c r="E984" s="81" t="n"/>
      <c r="F984" s="82" t="n"/>
      <c r="G984" s="82" t="n"/>
      <c r="H984" s="82" t="n"/>
      <c r="I984" s="82" t="n"/>
      <c r="J984" s="82" t="n"/>
      <c r="K984" s="82" t="n"/>
      <c r="L984" s="82" t="n"/>
      <c r="M984" s="82" t="n"/>
      <c r="N984" s="82" t="n"/>
      <c r="O984" s="82" t="n"/>
      <c r="P984" s="82" t="n"/>
      <c r="Q984" s="82" t="n"/>
      <c r="R984" s="82" t="n"/>
      <c r="S984" s="82" t="n"/>
      <c r="T984" s="82" t="n"/>
      <c r="U984" s="82" t="n"/>
      <c r="V984" s="82" t="n"/>
      <c r="W984" s="82" t="n"/>
      <c r="X984" s="82" t="n"/>
      <c r="Y984" s="82" t="n"/>
      <c r="Z984" s="82" t="n"/>
    </row>
    <row r="985" ht="15.75" customHeight="1" s="83">
      <c r="A985" s="82" t="n"/>
      <c r="B985" s="82" t="n"/>
      <c r="C985" s="82" t="n"/>
      <c r="D985" s="82" t="n"/>
      <c r="E985" s="81" t="n"/>
      <c r="F985" s="82" t="n"/>
      <c r="G985" s="82" t="n"/>
      <c r="H985" s="82" t="n"/>
      <c r="I985" s="82" t="n"/>
      <c r="J985" s="82" t="n"/>
      <c r="K985" s="82" t="n"/>
      <c r="L985" s="82" t="n"/>
      <c r="M985" s="82" t="n"/>
      <c r="N985" s="82" t="n"/>
      <c r="O985" s="82" t="n"/>
      <c r="P985" s="82" t="n"/>
      <c r="Q985" s="82" t="n"/>
      <c r="R985" s="82" t="n"/>
      <c r="S985" s="82" t="n"/>
      <c r="T985" s="82" t="n"/>
      <c r="U985" s="82" t="n"/>
      <c r="V985" s="82" t="n"/>
      <c r="W985" s="82" t="n"/>
      <c r="X985" s="82" t="n"/>
      <c r="Y985" s="82" t="n"/>
      <c r="Z985" s="82" t="n"/>
    </row>
    <row r="986" ht="15.75" customHeight="1" s="83">
      <c r="A986" s="82" t="n"/>
      <c r="B986" s="82" t="n"/>
      <c r="C986" s="82" t="n"/>
      <c r="D986" s="82" t="n"/>
      <c r="E986" s="81" t="n"/>
      <c r="F986" s="82" t="n"/>
      <c r="G986" s="82" t="n"/>
      <c r="H986" s="82" t="n"/>
      <c r="I986" s="82" t="n"/>
      <c r="J986" s="82" t="n"/>
      <c r="K986" s="82" t="n"/>
      <c r="L986" s="82" t="n"/>
      <c r="M986" s="82" t="n"/>
      <c r="N986" s="82" t="n"/>
      <c r="O986" s="82" t="n"/>
      <c r="P986" s="82" t="n"/>
      <c r="Q986" s="82" t="n"/>
      <c r="R986" s="82" t="n"/>
      <c r="S986" s="82" t="n"/>
      <c r="T986" s="82" t="n"/>
      <c r="U986" s="82" t="n"/>
      <c r="V986" s="82" t="n"/>
      <c r="W986" s="82" t="n"/>
      <c r="X986" s="82" t="n"/>
      <c r="Y986" s="82" t="n"/>
      <c r="Z986" s="82" t="n"/>
    </row>
    <row r="987" ht="15.75" customHeight="1" s="83">
      <c r="A987" s="82" t="n"/>
      <c r="B987" s="82" t="n"/>
      <c r="C987" s="82" t="n"/>
      <c r="D987" s="82" t="n"/>
      <c r="E987" s="81" t="n"/>
      <c r="F987" s="82" t="n"/>
      <c r="G987" s="82" t="n"/>
      <c r="H987" s="82" t="n"/>
      <c r="I987" s="82" t="n"/>
      <c r="J987" s="82" t="n"/>
      <c r="K987" s="82" t="n"/>
      <c r="L987" s="82" t="n"/>
      <c r="M987" s="82" t="n"/>
      <c r="N987" s="82" t="n"/>
      <c r="O987" s="82" t="n"/>
      <c r="P987" s="82" t="n"/>
      <c r="Q987" s="82" t="n"/>
      <c r="R987" s="82" t="n"/>
      <c r="S987" s="82" t="n"/>
      <c r="T987" s="82" t="n"/>
      <c r="U987" s="82" t="n"/>
      <c r="V987" s="82" t="n"/>
      <c r="W987" s="82" t="n"/>
      <c r="X987" s="82" t="n"/>
      <c r="Y987" s="82" t="n"/>
      <c r="Z987" s="82" t="n"/>
    </row>
    <row r="988" ht="15.75" customHeight="1" s="83">
      <c r="A988" s="82" t="n"/>
      <c r="B988" s="82" t="n"/>
      <c r="C988" s="82" t="n"/>
      <c r="D988" s="82" t="n"/>
      <c r="E988" s="81" t="n"/>
      <c r="F988" s="82" t="n"/>
      <c r="G988" s="82" t="n"/>
      <c r="H988" s="82" t="n"/>
      <c r="I988" s="82" t="n"/>
      <c r="J988" s="82" t="n"/>
      <c r="K988" s="82" t="n"/>
      <c r="L988" s="82" t="n"/>
      <c r="M988" s="82" t="n"/>
      <c r="N988" s="82" t="n"/>
      <c r="O988" s="82" t="n"/>
      <c r="P988" s="82" t="n"/>
      <c r="Q988" s="82" t="n"/>
      <c r="R988" s="82" t="n"/>
      <c r="S988" s="82" t="n"/>
      <c r="T988" s="82" t="n"/>
      <c r="U988" s="82" t="n"/>
      <c r="V988" s="82" t="n"/>
      <c r="W988" s="82" t="n"/>
      <c r="X988" s="82" t="n"/>
      <c r="Y988" s="82" t="n"/>
      <c r="Z988" s="82" t="n"/>
    </row>
    <row r="989" ht="15.75" customHeight="1" s="83">
      <c r="A989" s="82" t="n"/>
      <c r="B989" s="82" t="n"/>
      <c r="C989" s="82" t="n"/>
      <c r="D989" s="82" t="n"/>
      <c r="E989" s="81" t="n"/>
      <c r="F989" s="82" t="n"/>
      <c r="G989" s="82" t="n"/>
      <c r="H989" s="82" t="n"/>
      <c r="I989" s="82" t="n"/>
      <c r="J989" s="82" t="n"/>
      <c r="K989" s="82" t="n"/>
      <c r="L989" s="82" t="n"/>
      <c r="M989" s="82" t="n"/>
      <c r="N989" s="82" t="n"/>
      <c r="O989" s="82" t="n"/>
      <c r="P989" s="82" t="n"/>
      <c r="Q989" s="82" t="n"/>
      <c r="R989" s="82" t="n"/>
      <c r="S989" s="82" t="n"/>
      <c r="T989" s="82" t="n"/>
      <c r="U989" s="82" t="n"/>
      <c r="V989" s="82" t="n"/>
      <c r="W989" s="82" t="n"/>
      <c r="X989" s="82" t="n"/>
      <c r="Y989" s="82" t="n"/>
      <c r="Z989" s="82" t="n"/>
    </row>
    <row r="990" ht="15.75" customHeight="1" s="83">
      <c r="A990" s="82" t="n"/>
      <c r="B990" s="82" t="n"/>
      <c r="C990" s="82" t="n"/>
      <c r="D990" s="82" t="n"/>
      <c r="E990" s="81" t="n"/>
      <c r="F990" s="82" t="n"/>
      <c r="G990" s="82" t="n"/>
      <c r="H990" s="82" t="n"/>
      <c r="I990" s="82" t="n"/>
      <c r="J990" s="82" t="n"/>
      <c r="K990" s="82" t="n"/>
      <c r="L990" s="82" t="n"/>
      <c r="M990" s="82" t="n"/>
      <c r="N990" s="82" t="n"/>
      <c r="O990" s="82" t="n"/>
      <c r="P990" s="82" t="n"/>
      <c r="Q990" s="82" t="n"/>
      <c r="R990" s="82" t="n"/>
      <c r="S990" s="82" t="n"/>
      <c r="T990" s="82" t="n"/>
      <c r="U990" s="82" t="n"/>
      <c r="V990" s="82" t="n"/>
      <c r="W990" s="82" t="n"/>
      <c r="X990" s="82" t="n"/>
      <c r="Y990" s="82" t="n"/>
      <c r="Z990" s="82" t="n"/>
    </row>
    <row r="991" ht="15.75" customHeight="1" s="83">
      <c r="A991" s="82" t="n"/>
      <c r="B991" s="82" t="n"/>
      <c r="C991" s="82" t="n"/>
      <c r="D991" s="82" t="n"/>
      <c r="E991" s="81" t="n"/>
      <c r="F991" s="82" t="n"/>
      <c r="G991" s="82" t="n"/>
      <c r="H991" s="82" t="n"/>
      <c r="I991" s="82" t="n"/>
      <c r="J991" s="82" t="n"/>
      <c r="K991" s="82" t="n"/>
      <c r="L991" s="82" t="n"/>
      <c r="M991" s="82" t="n"/>
      <c r="N991" s="82" t="n"/>
      <c r="O991" s="82" t="n"/>
      <c r="P991" s="82" t="n"/>
      <c r="Q991" s="82" t="n"/>
      <c r="R991" s="82" t="n"/>
      <c r="S991" s="82" t="n"/>
      <c r="T991" s="82" t="n"/>
      <c r="U991" s="82" t="n"/>
      <c r="V991" s="82" t="n"/>
      <c r="W991" s="82" t="n"/>
      <c r="X991" s="82" t="n"/>
      <c r="Y991" s="82" t="n"/>
      <c r="Z991" s="82" t="n"/>
    </row>
    <row r="992" ht="15.75" customHeight="1" s="83">
      <c r="A992" s="82" t="n"/>
      <c r="B992" s="82" t="n"/>
      <c r="C992" s="82" t="n"/>
      <c r="D992" s="82" t="n"/>
      <c r="E992" s="81" t="n"/>
      <c r="F992" s="82" t="n"/>
      <c r="G992" s="82" t="n"/>
      <c r="H992" s="82" t="n"/>
      <c r="I992" s="82" t="n"/>
      <c r="J992" s="82" t="n"/>
      <c r="K992" s="82" t="n"/>
      <c r="L992" s="82" t="n"/>
      <c r="M992" s="82" t="n"/>
      <c r="N992" s="82" t="n"/>
      <c r="O992" s="82" t="n"/>
      <c r="P992" s="82" t="n"/>
      <c r="Q992" s="82" t="n"/>
      <c r="R992" s="82" t="n"/>
      <c r="S992" s="82" t="n"/>
      <c r="T992" s="82" t="n"/>
      <c r="U992" s="82" t="n"/>
      <c r="V992" s="82" t="n"/>
      <c r="W992" s="82" t="n"/>
      <c r="X992" s="82" t="n"/>
      <c r="Y992" s="82" t="n"/>
      <c r="Z992" s="82" t="n"/>
    </row>
    <row r="993" ht="15.75" customHeight="1" s="83">
      <c r="A993" s="82" t="n"/>
      <c r="B993" s="82" t="n"/>
      <c r="C993" s="82" t="n"/>
      <c r="D993" s="82" t="n"/>
      <c r="E993" s="81" t="n"/>
      <c r="F993" s="82" t="n"/>
      <c r="G993" s="82" t="n"/>
      <c r="H993" s="82" t="n"/>
      <c r="I993" s="82" t="n"/>
      <c r="J993" s="82" t="n"/>
      <c r="K993" s="82" t="n"/>
      <c r="L993" s="82" t="n"/>
      <c r="M993" s="82" t="n"/>
      <c r="N993" s="82" t="n"/>
      <c r="O993" s="82" t="n"/>
      <c r="P993" s="82" t="n"/>
      <c r="Q993" s="82" t="n"/>
      <c r="R993" s="82" t="n"/>
      <c r="S993" s="82" t="n"/>
      <c r="T993" s="82" t="n"/>
      <c r="U993" s="82" t="n"/>
      <c r="V993" s="82" t="n"/>
      <c r="W993" s="82" t="n"/>
      <c r="X993" s="82" t="n"/>
      <c r="Y993" s="82" t="n"/>
      <c r="Z993" s="82" t="n"/>
    </row>
    <row r="994" ht="15.75" customHeight="1" s="83">
      <c r="A994" s="82" t="n"/>
      <c r="B994" s="82" t="n"/>
      <c r="C994" s="82" t="n"/>
      <c r="D994" s="82" t="n"/>
      <c r="E994" s="81" t="n"/>
      <c r="F994" s="82" t="n"/>
      <c r="G994" s="82" t="n"/>
      <c r="H994" s="82" t="n"/>
      <c r="I994" s="82" t="n"/>
      <c r="J994" s="82" t="n"/>
      <c r="K994" s="82" t="n"/>
      <c r="L994" s="82" t="n"/>
      <c r="M994" s="82" t="n"/>
      <c r="N994" s="82" t="n"/>
      <c r="O994" s="82" t="n"/>
      <c r="P994" s="82" t="n"/>
      <c r="Q994" s="82" t="n"/>
      <c r="R994" s="82" t="n"/>
      <c r="S994" s="82" t="n"/>
      <c r="T994" s="82" t="n"/>
      <c r="U994" s="82" t="n"/>
      <c r="V994" s="82" t="n"/>
      <c r="W994" s="82" t="n"/>
      <c r="X994" s="82" t="n"/>
      <c r="Y994" s="82" t="n"/>
      <c r="Z994" s="82" t="n"/>
    </row>
    <row r="995" ht="15.75" customHeight="1" s="83">
      <c r="A995" s="82" t="n"/>
      <c r="B995" s="82" t="n"/>
      <c r="C995" s="82" t="n"/>
      <c r="D995" s="82" t="n"/>
      <c r="E995" s="81" t="n"/>
      <c r="F995" s="82" t="n"/>
      <c r="G995" s="82" t="n"/>
      <c r="H995" s="82" t="n"/>
      <c r="I995" s="82" t="n"/>
      <c r="J995" s="82" t="n"/>
      <c r="K995" s="82" t="n"/>
      <c r="L995" s="82" t="n"/>
      <c r="M995" s="82" t="n"/>
      <c r="N995" s="82" t="n"/>
      <c r="O995" s="82" t="n"/>
      <c r="P995" s="82" t="n"/>
      <c r="Q995" s="82" t="n"/>
      <c r="R995" s="82" t="n"/>
      <c r="S995" s="82" t="n"/>
      <c r="T995" s="82" t="n"/>
      <c r="U995" s="82" t="n"/>
      <c r="V995" s="82" t="n"/>
      <c r="W995" s="82" t="n"/>
      <c r="X995" s="82" t="n"/>
      <c r="Y995" s="82" t="n"/>
      <c r="Z995" s="82" t="n"/>
    </row>
    <row r="996" ht="15.75" customHeight="1" s="83">
      <c r="A996" s="82" t="n"/>
      <c r="B996" s="82" t="n"/>
      <c r="C996" s="82" t="n"/>
      <c r="D996" s="82" t="n"/>
      <c r="E996" s="81" t="n"/>
      <c r="F996" s="82" t="n"/>
      <c r="G996" s="82" t="n"/>
      <c r="H996" s="82" t="n"/>
      <c r="I996" s="82" t="n"/>
      <c r="J996" s="82" t="n"/>
      <c r="K996" s="82" t="n"/>
      <c r="L996" s="82" t="n"/>
      <c r="M996" s="82" t="n"/>
      <c r="N996" s="82" t="n"/>
      <c r="O996" s="82" t="n"/>
      <c r="P996" s="82" t="n"/>
      <c r="Q996" s="82" t="n"/>
      <c r="R996" s="82" t="n"/>
      <c r="S996" s="82" t="n"/>
      <c r="T996" s="82" t="n"/>
      <c r="U996" s="82" t="n"/>
      <c r="V996" s="82" t="n"/>
      <c r="W996" s="82" t="n"/>
      <c r="X996" s="82" t="n"/>
      <c r="Y996" s="82" t="n"/>
      <c r="Z996" s="82" t="n"/>
    </row>
    <row r="997" ht="15.75" customHeight="1" s="83">
      <c r="A997" s="82" t="n"/>
      <c r="B997" s="82" t="n"/>
      <c r="C997" s="82" t="n"/>
      <c r="D997" s="82" t="n"/>
      <c r="E997" s="81" t="n"/>
      <c r="F997" s="82" t="n"/>
      <c r="G997" s="82" t="n"/>
      <c r="H997" s="82" t="n"/>
      <c r="I997" s="82" t="n"/>
      <c r="J997" s="82" t="n"/>
      <c r="K997" s="82" t="n"/>
      <c r="L997" s="82" t="n"/>
      <c r="M997" s="82" t="n"/>
      <c r="N997" s="82" t="n"/>
      <c r="O997" s="82" t="n"/>
      <c r="P997" s="82" t="n"/>
      <c r="Q997" s="82" t="n"/>
      <c r="R997" s="82" t="n"/>
      <c r="S997" s="82" t="n"/>
      <c r="T997" s="82" t="n"/>
      <c r="U997" s="82" t="n"/>
      <c r="V997" s="82" t="n"/>
      <c r="W997" s="82" t="n"/>
      <c r="X997" s="82" t="n"/>
      <c r="Y997" s="82" t="n"/>
      <c r="Z997" s="82" t="n"/>
    </row>
    <row r="998" ht="15.75" customHeight="1" s="83">
      <c r="A998" s="82" t="n"/>
      <c r="B998" s="82" t="n"/>
      <c r="C998" s="82" t="n"/>
      <c r="D998" s="82" t="n"/>
      <c r="E998" s="81" t="n"/>
      <c r="F998" s="82" t="n"/>
      <c r="G998" s="82" t="n"/>
      <c r="H998" s="82" t="n"/>
      <c r="I998" s="82" t="n"/>
      <c r="J998" s="82" t="n"/>
      <c r="K998" s="82" t="n"/>
      <c r="L998" s="82" t="n"/>
      <c r="M998" s="82" t="n"/>
      <c r="N998" s="82" t="n"/>
      <c r="O998" s="82" t="n"/>
      <c r="P998" s="82" t="n"/>
      <c r="Q998" s="82" t="n"/>
      <c r="R998" s="82" t="n"/>
      <c r="S998" s="82" t="n"/>
      <c r="T998" s="82" t="n"/>
      <c r="U998" s="82" t="n"/>
      <c r="V998" s="82" t="n"/>
      <c r="W998" s="82" t="n"/>
      <c r="X998" s="82" t="n"/>
      <c r="Y998" s="82" t="n"/>
      <c r="Z998" s="82" t="n"/>
    </row>
    <row r="999" ht="15.75" customHeight="1" s="83">
      <c r="A999" s="82" t="n"/>
      <c r="B999" s="82" t="n"/>
      <c r="C999" s="82" t="n"/>
      <c r="D999" s="82" t="n"/>
      <c r="E999" s="81" t="n"/>
      <c r="F999" s="82" t="n"/>
      <c r="G999" s="82" t="n"/>
      <c r="H999" s="82" t="n"/>
      <c r="I999" s="82" t="n"/>
      <c r="J999" s="82" t="n"/>
      <c r="K999" s="82" t="n"/>
      <c r="L999" s="82" t="n"/>
      <c r="M999" s="82" t="n"/>
      <c r="N999" s="82" t="n"/>
      <c r="O999" s="82" t="n"/>
      <c r="P999" s="82" t="n"/>
      <c r="Q999" s="82" t="n"/>
      <c r="R999" s="82" t="n"/>
      <c r="S999" s="82" t="n"/>
      <c r="T999" s="82" t="n"/>
      <c r="U999" s="82" t="n"/>
      <c r="V999" s="82" t="n"/>
      <c r="W999" s="82" t="n"/>
      <c r="X999" s="82" t="n"/>
      <c r="Y999" s="82" t="n"/>
      <c r="Z999" s="82" t="n"/>
    </row>
    <row r="1000" ht="15.75" customHeight="1" s="83">
      <c r="A1000" s="82" t="n"/>
      <c r="B1000" s="82" t="n"/>
      <c r="C1000" s="82" t="n"/>
      <c r="D1000" s="82" t="n"/>
      <c r="E1000" s="81" t="n"/>
      <c r="F1000" s="82" t="n"/>
      <c r="G1000" s="82" t="n"/>
      <c r="H1000" s="82" t="n"/>
      <c r="I1000" s="82" t="n"/>
      <c r="J1000" s="82" t="n"/>
      <c r="K1000" s="82" t="n"/>
      <c r="L1000" s="82" t="n"/>
      <c r="M1000" s="82" t="n"/>
      <c r="N1000" s="82" t="n"/>
      <c r="O1000" s="82" t="n"/>
      <c r="P1000" s="82" t="n"/>
      <c r="Q1000" s="82" t="n"/>
      <c r="R1000" s="82" t="n"/>
      <c r="S1000" s="82" t="n"/>
      <c r="T1000" s="82" t="n"/>
      <c r="U1000" s="82" t="n"/>
      <c r="V1000" s="82" t="n"/>
      <c r="W1000" s="82" t="n"/>
      <c r="X1000" s="82" t="n"/>
      <c r="Y1000" s="82" t="n"/>
      <c r="Z1000" s="82" t="n"/>
    </row>
    <row r="1001" ht="15.75" customHeight="1" s="83">
      <c r="A1001" s="82" t="n"/>
      <c r="B1001" s="82" t="n"/>
      <c r="C1001" s="82" t="n"/>
      <c r="D1001" s="82" t="n"/>
      <c r="E1001" s="81" t="n"/>
      <c r="F1001" s="82" t="n"/>
      <c r="G1001" s="82" t="n"/>
      <c r="H1001" s="82" t="n"/>
      <c r="I1001" s="82" t="n"/>
      <c r="J1001" s="82" t="n"/>
      <c r="K1001" s="82" t="n"/>
      <c r="L1001" s="82" t="n"/>
      <c r="M1001" s="82" t="n"/>
      <c r="N1001" s="82" t="n"/>
      <c r="O1001" s="82" t="n"/>
      <c r="P1001" s="82" t="n"/>
      <c r="Q1001" s="82" t="n"/>
      <c r="R1001" s="82" t="n"/>
      <c r="S1001" s="82" t="n"/>
      <c r="T1001" s="82" t="n"/>
      <c r="U1001" s="82" t="n"/>
      <c r="V1001" s="82" t="n"/>
      <c r="W1001" s="82" t="n"/>
      <c r="X1001" s="82" t="n"/>
      <c r="Y1001" s="82" t="n"/>
      <c r="Z1001" s="82" t="n"/>
    </row>
    <row r="1002" ht="15.75" customHeight="1" s="83">
      <c r="A1002" s="82" t="n"/>
      <c r="B1002" s="82" t="n"/>
      <c r="C1002" s="82" t="n"/>
      <c r="D1002" s="82" t="n"/>
      <c r="E1002" s="81" t="n"/>
      <c r="F1002" s="82" t="n"/>
      <c r="G1002" s="82" t="n"/>
      <c r="H1002" s="82" t="n"/>
      <c r="I1002" s="82" t="n"/>
      <c r="J1002" s="82" t="n"/>
      <c r="K1002" s="82" t="n"/>
      <c r="L1002" s="82" t="n"/>
      <c r="M1002" s="82" t="n"/>
      <c r="N1002" s="82" t="n"/>
      <c r="O1002" s="82" t="n"/>
      <c r="P1002" s="82" t="n"/>
      <c r="Q1002" s="82" t="n"/>
      <c r="R1002" s="82" t="n"/>
      <c r="S1002" s="82" t="n"/>
      <c r="T1002" s="82" t="n"/>
      <c r="U1002" s="82" t="n"/>
      <c r="V1002" s="82" t="n"/>
      <c r="W1002" s="82" t="n"/>
      <c r="X1002" s="82" t="n"/>
      <c r="Y1002" s="82" t="n"/>
      <c r="Z1002" s="82" t="n"/>
    </row>
    <row r="1003" ht="15.75" customHeight="1" s="83">
      <c r="A1003" s="82" t="n"/>
      <c r="B1003" s="82" t="n"/>
      <c r="C1003" s="82" t="n"/>
      <c r="D1003" s="82" t="n"/>
      <c r="E1003" s="81" t="n"/>
      <c r="F1003" s="82" t="n"/>
      <c r="G1003" s="82" t="n"/>
      <c r="H1003" s="82" t="n"/>
      <c r="I1003" s="82" t="n"/>
      <c r="J1003" s="82" t="n"/>
      <c r="K1003" s="82" t="n"/>
      <c r="L1003" s="82" t="n"/>
      <c r="M1003" s="82" t="n"/>
      <c r="N1003" s="82" t="n"/>
      <c r="O1003" s="82" t="n"/>
      <c r="P1003" s="82" t="n"/>
      <c r="Q1003" s="82" t="n"/>
      <c r="R1003" s="82" t="n"/>
      <c r="S1003" s="82" t="n"/>
      <c r="T1003" s="82" t="n"/>
      <c r="U1003" s="82" t="n"/>
      <c r="V1003" s="82" t="n"/>
      <c r="W1003" s="82" t="n"/>
      <c r="X1003" s="82" t="n"/>
      <c r="Y1003" s="82" t="n"/>
      <c r="Z1003" s="82" t="n"/>
    </row>
    <row r="1004" ht="15.75" customHeight="1" s="83">
      <c r="A1004" s="82" t="n"/>
      <c r="B1004" s="82" t="n"/>
      <c r="C1004" s="82" t="n"/>
      <c r="D1004" s="82" t="n"/>
      <c r="E1004" s="81" t="n"/>
      <c r="F1004" s="82" t="n"/>
      <c r="G1004" s="82" t="n"/>
      <c r="H1004" s="82" t="n"/>
      <c r="I1004" s="82" t="n"/>
      <c r="J1004" s="82" t="n"/>
      <c r="K1004" s="82" t="n"/>
      <c r="L1004" s="82" t="n"/>
      <c r="M1004" s="82" t="n"/>
      <c r="N1004" s="82" t="n"/>
      <c r="O1004" s="82" t="n"/>
      <c r="P1004" s="82" t="n"/>
      <c r="Q1004" s="82" t="n"/>
      <c r="R1004" s="82" t="n"/>
      <c r="S1004" s="82" t="n"/>
      <c r="T1004" s="82" t="n"/>
      <c r="U1004" s="82" t="n"/>
      <c r="V1004" s="82" t="n"/>
      <c r="W1004" s="82" t="n"/>
      <c r="X1004" s="82" t="n"/>
      <c r="Y1004" s="82" t="n"/>
      <c r="Z1004" s="82" t="n"/>
    </row>
    <row r="1005" ht="15.75" customHeight="1" s="83">
      <c r="A1005" s="82" t="n"/>
      <c r="B1005" s="82" t="n"/>
      <c r="C1005" s="82" t="n"/>
      <c r="D1005" s="82" t="n"/>
      <c r="E1005" s="81" t="n"/>
      <c r="F1005" s="82" t="n"/>
      <c r="G1005" s="82" t="n"/>
      <c r="H1005" s="82" t="n"/>
      <c r="I1005" s="82" t="n"/>
      <c r="J1005" s="82" t="n"/>
      <c r="K1005" s="82" t="n"/>
      <c r="L1005" s="82" t="n"/>
      <c r="M1005" s="82" t="n"/>
      <c r="N1005" s="82" t="n"/>
      <c r="O1005" s="82" t="n"/>
      <c r="P1005" s="82" t="n"/>
      <c r="Q1005" s="82" t="n"/>
      <c r="R1005" s="82" t="n"/>
      <c r="S1005" s="82" t="n"/>
      <c r="T1005" s="82" t="n"/>
      <c r="U1005" s="82" t="n"/>
      <c r="V1005" s="82" t="n"/>
      <c r="W1005" s="82" t="n"/>
      <c r="X1005" s="82" t="n"/>
      <c r="Y1005" s="82" t="n"/>
      <c r="Z1005" s="82" t="n"/>
    </row>
    <row r="1006" ht="15.75" customHeight="1" s="83">
      <c r="A1006" s="82" t="n"/>
      <c r="B1006" s="82" t="n"/>
      <c r="C1006" s="82" t="n"/>
      <c r="D1006" s="82" t="n"/>
      <c r="E1006" s="81" t="n"/>
      <c r="F1006" s="82" t="n"/>
      <c r="G1006" s="82" t="n"/>
      <c r="H1006" s="82" t="n"/>
      <c r="I1006" s="82" t="n"/>
      <c r="J1006" s="82" t="n"/>
      <c r="K1006" s="82" t="n"/>
      <c r="L1006" s="82" t="n"/>
      <c r="M1006" s="82" t="n"/>
      <c r="N1006" s="82" t="n"/>
      <c r="O1006" s="82" t="n"/>
      <c r="P1006" s="82" t="n"/>
      <c r="Q1006" s="82" t="n"/>
      <c r="R1006" s="82" t="n"/>
      <c r="S1006" s="82" t="n"/>
      <c r="T1006" s="82" t="n"/>
      <c r="U1006" s="82" t="n"/>
      <c r="V1006" s="82" t="n"/>
      <c r="W1006" s="82" t="n"/>
      <c r="X1006" s="82" t="n"/>
      <c r="Y1006" s="82" t="n"/>
      <c r="Z1006" s="82" t="n"/>
    </row>
    <row r="1007" ht="15.75" customHeight="1" s="83">
      <c r="A1007" s="82" t="n"/>
      <c r="B1007" s="44" t="n"/>
      <c r="C1007" s="82" t="n"/>
      <c r="D1007" s="82" t="n"/>
      <c r="E1007" s="81" t="n"/>
      <c r="F1007" s="82" t="n"/>
      <c r="G1007" s="82" t="n"/>
      <c r="H1007" s="82" t="n"/>
      <c r="I1007" s="82" t="n"/>
      <c r="J1007" s="82" t="n"/>
      <c r="K1007" s="82" t="n"/>
      <c r="L1007" s="82" t="n"/>
      <c r="M1007" s="82" t="n"/>
      <c r="N1007" s="82" t="n"/>
      <c r="O1007" s="82" t="n"/>
      <c r="P1007" s="82" t="n"/>
      <c r="Q1007" s="82" t="n"/>
      <c r="R1007" s="82" t="n"/>
      <c r="S1007" s="82" t="n"/>
      <c r="T1007" s="82" t="n"/>
      <c r="U1007" s="82" t="n"/>
      <c r="V1007" s="82" t="n"/>
      <c r="W1007" s="82" t="n"/>
      <c r="X1007" s="82" t="n"/>
      <c r="Y1007" s="82" t="n"/>
      <c r="Z1007" s="82" t="n"/>
    </row>
    <row r="1008" ht="15.75" customHeight="1" s="83">
      <c r="A1008" s="82" t="n"/>
      <c r="B1008" s="44" t="n"/>
      <c r="C1008" s="82" t="n"/>
      <c r="D1008" s="82" t="n"/>
      <c r="E1008" s="81" t="n"/>
      <c r="F1008" s="82" t="n"/>
      <c r="G1008" s="82" t="n"/>
      <c r="H1008" s="82" t="n"/>
      <c r="I1008" s="82" t="n"/>
      <c r="J1008" s="82" t="n"/>
      <c r="K1008" s="82" t="n"/>
      <c r="L1008" s="82" t="n"/>
      <c r="M1008" s="82" t="n"/>
      <c r="N1008" s="82" t="n"/>
      <c r="O1008" s="82" t="n"/>
      <c r="P1008" s="82" t="n"/>
      <c r="Q1008" s="82" t="n"/>
      <c r="R1008" s="82" t="n"/>
      <c r="S1008" s="82" t="n"/>
      <c r="T1008" s="82" t="n"/>
      <c r="U1008" s="82" t="n"/>
      <c r="V1008" s="82" t="n"/>
      <c r="W1008" s="82" t="n"/>
      <c r="X1008" s="82" t="n"/>
      <c r="Y1008" s="82" t="n"/>
      <c r="Z1008" s="82" t="n"/>
    </row>
    <row r="1009" ht="15.75" customHeight="1" s="83">
      <c r="A1009" s="82" t="n"/>
      <c r="B1009" s="44" t="n"/>
      <c r="C1009" s="82" t="n"/>
      <c r="D1009" s="82" t="n"/>
      <c r="E1009" s="81" t="n"/>
      <c r="F1009" s="82" t="n"/>
      <c r="G1009" s="82" t="n"/>
      <c r="H1009" s="82" t="n"/>
      <c r="I1009" s="82" t="n"/>
      <c r="J1009" s="82" t="n"/>
      <c r="K1009" s="82" t="n"/>
      <c r="L1009" s="82" t="n"/>
      <c r="M1009" s="82" t="n"/>
      <c r="N1009" s="82" t="n"/>
      <c r="O1009" s="82" t="n"/>
      <c r="P1009" s="82" t="n"/>
      <c r="Q1009" s="82" t="n"/>
      <c r="R1009" s="82" t="n"/>
      <c r="S1009" s="82" t="n"/>
      <c r="T1009" s="82" t="n"/>
      <c r="U1009" s="82" t="n"/>
      <c r="V1009" s="82" t="n"/>
      <c r="W1009" s="82" t="n"/>
      <c r="X1009" s="82" t="n"/>
      <c r="Y1009" s="82" t="n"/>
      <c r="Z1009" s="82" t="n"/>
    </row>
    <row r="1010" ht="15.75" customHeight="1" s="83">
      <c r="A1010" s="82" t="n"/>
      <c r="B1010" s="44" t="n"/>
      <c r="C1010" s="82" t="n"/>
      <c r="D1010" s="82" t="n"/>
      <c r="E1010" s="81" t="n"/>
      <c r="F1010" s="82" t="n"/>
      <c r="G1010" s="82" t="n"/>
      <c r="H1010" s="82" t="n"/>
      <c r="I1010" s="82" t="n"/>
      <c r="J1010" s="82" t="n"/>
      <c r="K1010" s="82" t="n"/>
      <c r="L1010" s="82" t="n"/>
      <c r="M1010" s="82" t="n"/>
      <c r="N1010" s="82" t="n"/>
      <c r="O1010" s="82" t="n"/>
      <c r="P1010" s="82" t="n"/>
      <c r="Q1010" s="82" t="n"/>
      <c r="R1010" s="82" t="n"/>
      <c r="S1010" s="82" t="n"/>
      <c r="T1010" s="82" t="n"/>
      <c r="U1010" s="82" t="n"/>
      <c r="V1010" s="82" t="n"/>
      <c r="W1010" s="82" t="n"/>
      <c r="X1010" s="82" t="n"/>
      <c r="Y1010" s="82" t="n"/>
      <c r="Z1010" s="82" t="n"/>
    </row>
    <row r="1011" ht="15.75" customHeight="1" s="83">
      <c r="A1011" s="82" t="n"/>
      <c r="B1011" s="44" t="n"/>
      <c r="C1011" s="82" t="n"/>
      <c r="D1011" s="82" t="n"/>
      <c r="E1011" s="81" t="n"/>
      <c r="F1011" s="82" t="n"/>
      <c r="G1011" s="82" t="n"/>
      <c r="H1011" s="82" t="n"/>
      <c r="I1011" s="82" t="n"/>
      <c r="J1011" s="82" t="n"/>
      <c r="K1011" s="82" t="n"/>
      <c r="L1011" s="82" t="n"/>
      <c r="M1011" s="82" t="n"/>
      <c r="N1011" s="82" t="n"/>
      <c r="O1011" s="82" t="n"/>
      <c r="P1011" s="82" t="n"/>
      <c r="Q1011" s="82" t="n"/>
      <c r="R1011" s="82" t="n"/>
      <c r="S1011" s="82" t="n"/>
      <c r="T1011" s="82" t="n"/>
      <c r="U1011" s="82" t="n"/>
      <c r="V1011" s="82" t="n"/>
      <c r="W1011" s="82" t="n"/>
      <c r="X1011" s="82" t="n"/>
      <c r="Y1011" s="82" t="n"/>
      <c r="Z1011" s="82" t="n"/>
    </row>
    <row r="1012" ht="15.75" customHeight="1" s="83">
      <c r="A1012" s="82" t="n"/>
      <c r="B1012" s="44" t="n"/>
      <c r="C1012" s="82" t="n"/>
      <c r="D1012" s="82" t="n"/>
      <c r="E1012" s="81" t="n"/>
      <c r="F1012" s="82" t="n"/>
      <c r="G1012" s="82" t="n"/>
      <c r="H1012" s="82" t="n"/>
      <c r="I1012" s="82" t="n"/>
      <c r="J1012" s="82" t="n"/>
      <c r="K1012" s="82" t="n"/>
      <c r="L1012" s="82" t="n"/>
      <c r="M1012" s="82" t="n"/>
      <c r="N1012" s="82" t="n"/>
      <c r="O1012" s="82" t="n"/>
      <c r="P1012" s="82" t="n"/>
      <c r="Q1012" s="82" t="n"/>
      <c r="R1012" s="82" t="n"/>
      <c r="S1012" s="82" t="n"/>
      <c r="T1012" s="82" t="n"/>
      <c r="U1012" s="82" t="n"/>
      <c r="V1012" s="82" t="n"/>
      <c r="W1012" s="82" t="n"/>
      <c r="X1012" s="82" t="n"/>
      <c r="Y1012" s="82" t="n"/>
      <c r="Z1012" s="82" t="n"/>
    </row>
    <row r="1013" ht="15.75" customHeight="1" s="83">
      <c r="A1013" s="82" t="n"/>
      <c r="B1013" s="44" t="n"/>
      <c r="C1013" s="82" t="n"/>
      <c r="D1013" s="82" t="n"/>
      <c r="E1013" s="81" t="n"/>
      <c r="F1013" s="82" t="n"/>
      <c r="G1013" s="82" t="n"/>
      <c r="H1013" s="82" t="n"/>
      <c r="I1013" s="82" t="n"/>
      <c r="J1013" s="82" t="n"/>
      <c r="K1013" s="82" t="n"/>
      <c r="L1013" s="82" t="n"/>
      <c r="M1013" s="82" t="n"/>
      <c r="N1013" s="82" t="n"/>
      <c r="O1013" s="82" t="n"/>
      <c r="P1013" s="82" t="n"/>
      <c r="Q1013" s="82" t="n"/>
      <c r="R1013" s="82" t="n"/>
      <c r="S1013" s="82" t="n"/>
      <c r="T1013" s="82" t="n"/>
      <c r="U1013" s="82" t="n"/>
      <c r="V1013" s="82" t="n"/>
      <c r="W1013" s="82" t="n"/>
      <c r="X1013" s="82" t="n"/>
      <c r="Y1013" s="82" t="n"/>
      <c r="Z1013" s="82" t="n"/>
    </row>
    <row r="1014" ht="15.75" customHeight="1" s="83">
      <c r="A1014" s="82" t="n"/>
      <c r="B1014" s="44" t="n"/>
      <c r="C1014" s="82" t="n"/>
      <c r="D1014" s="82" t="n"/>
      <c r="E1014" s="81" t="n"/>
      <c r="F1014" s="82" t="n"/>
      <c r="G1014" s="82" t="n"/>
      <c r="H1014" s="82" t="n"/>
      <c r="I1014" s="82" t="n"/>
      <c r="J1014" s="82" t="n"/>
      <c r="K1014" s="82" t="n"/>
      <c r="L1014" s="82" t="n"/>
      <c r="M1014" s="82" t="n"/>
      <c r="N1014" s="82" t="n"/>
      <c r="O1014" s="82" t="n"/>
      <c r="P1014" s="82" t="n"/>
      <c r="Q1014" s="82" t="n"/>
      <c r="R1014" s="82" t="n"/>
      <c r="S1014" s="82" t="n"/>
      <c r="T1014" s="82" t="n"/>
      <c r="U1014" s="82" t="n"/>
      <c r="V1014" s="82" t="n"/>
      <c r="W1014" s="82" t="n"/>
      <c r="X1014" s="82" t="n"/>
      <c r="Y1014" s="82" t="n"/>
      <c r="Z1014" s="82" t="n"/>
    </row>
    <row r="1015" ht="15.75" customHeight="1" s="83">
      <c r="A1015" s="82" t="n"/>
      <c r="B1015" s="44" t="n"/>
      <c r="C1015" s="82" t="n"/>
      <c r="D1015" s="82" t="n"/>
      <c r="E1015" s="81" t="n"/>
      <c r="F1015" s="82" t="n"/>
      <c r="G1015" s="82" t="n"/>
      <c r="H1015" s="82" t="n"/>
      <c r="I1015" s="82" t="n"/>
      <c r="J1015" s="82" t="n"/>
      <c r="K1015" s="82" t="n"/>
      <c r="L1015" s="82" t="n"/>
      <c r="M1015" s="82" t="n"/>
      <c r="N1015" s="82" t="n"/>
      <c r="O1015" s="82" t="n"/>
      <c r="P1015" s="82" t="n"/>
      <c r="Q1015" s="82" t="n"/>
      <c r="R1015" s="82" t="n"/>
      <c r="S1015" s="82" t="n"/>
      <c r="T1015" s="82" t="n"/>
      <c r="U1015" s="82" t="n"/>
      <c r="V1015" s="82" t="n"/>
      <c r="W1015" s="82" t="n"/>
      <c r="X1015" s="82" t="n"/>
      <c r="Y1015" s="82" t="n"/>
      <c r="Z1015" s="82" t="n"/>
    </row>
    <row r="1016" ht="15.75" customHeight="1" s="83">
      <c r="A1016" s="82" t="n"/>
      <c r="B1016" s="44" t="n"/>
      <c r="C1016" s="82" t="n"/>
      <c r="D1016" s="82" t="n"/>
      <c r="E1016" s="81" t="n"/>
      <c r="F1016" s="82" t="n"/>
      <c r="G1016" s="82" t="n"/>
      <c r="H1016" s="82" t="n"/>
      <c r="I1016" s="82" t="n"/>
      <c r="J1016" s="82" t="n"/>
      <c r="K1016" s="82" t="n"/>
      <c r="L1016" s="82" t="n"/>
      <c r="M1016" s="82" t="n"/>
      <c r="N1016" s="82" t="n"/>
      <c r="O1016" s="82" t="n"/>
      <c r="P1016" s="82" t="n"/>
      <c r="Q1016" s="82" t="n"/>
      <c r="R1016" s="82" t="n"/>
      <c r="S1016" s="82" t="n"/>
      <c r="T1016" s="82" t="n"/>
      <c r="U1016" s="82" t="n"/>
      <c r="V1016" s="82" t="n"/>
      <c r="W1016" s="82" t="n"/>
      <c r="X1016" s="82" t="n"/>
      <c r="Y1016" s="82" t="n"/>
      <c r="Z1016" s="82" t="n"/>
    </row>
    <row r="1017" ht="15.75" customHeight="1" s="83">
      <c r="A1017" s="82" t="n"/>
      <c r="B1017" s="44" t="n"/>
      <c r="C1017" s="82" t="n"/>
      <c r="D1017" s="82" t="n"/>
      <c r="E1017" s="81" t="n"/>
      <c r="F1017" s="82" t="n"/>
      <c r="G1017" s="82" t="n"/>
      <c r="H1017" s="82" t="n"/>
      <c r="I1017" s="82" t="n"/>
      <c r="J1017" s="82" t="n"/>
      <c r="K1017" s="82" t="n"/>
      <c r="L1017" s="82" t="n"/>
      <c r="M1017" s="82" t="n"/>
      <c r="N1017" s="82" t="n"/>
      <c r="O1017" s="82" t="n"/>
      <c r="P1017" s="82" t="n"/>
      <c r="Q1017" s="82" t="n"/>
      <c r="R1017" s="82" t="n"/>
      <c r="S1017" s="82" t="n"/>
      <c r="T1017" s="82" t="n"/>
      <c r="U1017" s="82" t="n"/>
      <c r="V1017" s="82" t="n"/>
      <c r="W1017" s="82" t="n"/>
      <c r="X1017" s="82" t="n"/>
      <c r="Y1017" s="82" t="n"/>
      <c r="Z1017" s="82" t="n"/>
    </row>
    <row r="1018" ht="15.75" customHeight="1" s="83">
      <c r="A1018" s="82" t="n"/>
      <c r="B1018" s="44" t="n"/>
      <c r="C1018" s="82" t="n"/>
      <c r="D1018" s="82" t="n"/>
      <c r="E1018" s="81" t="n"/>
      <c r="F1018" s="82" t="n"/>
      <c r="G1018" s="82" t="n"/>
      <c r="H1018" s="82" t="n"/>
      <c r="I1018" s="82" t="n"/>
      <c r="J1018" s="82" t="n"/>
      <c r="K1018" s="82" t="n"/>
      <c r="L1018" s="82" t="n"/>
      <c r="M1018" s="82" t="n"/>
      <c r="N1018" s="82" t="n"/>
      <c r="O1018" s="82" t="n"/>
      <c r="P1018" s="82" t="n"/>
      <c r="Q1018" s="82" t="n"/>
      <c r="R1018" s="82" t="n"/>
      <c r="S1018" s="82" t="n"/>
      <c r="T1018" s="82" t="n"/>
      <c r="U1018" s="82" t="n"/>
      <c r="V1018" s="82" t="n"/>
      <c r="W1018" s="82" t="n"/>
      <c r="X1018" s="82" t="n"/>
      <c r="Y1018" s="82" t="n"/>
      <c r="Z1018" s="82" t="n"/>
    </row>
    <row r="1019" ht="15.75" customHeight="1" s="83">
      <c r="A1019" s="82" t="n"/>
      <c r="B1019" s="44" t="n"/>
      <c r="C1019" s="82" t="n"/>
      <c r="D1019" s="82" t="n"/>
      <c r="E1019" s="81" t="n"/>
      <c r="F1019" s="82" t="n"/>
      <c r="G1019" s="82" t="n"/>
      <c r="H1019" s="82" t="n"/>
      <c r="I1019" s="82" t="n"/>
      <c r="J1019" s="82" t="n"/>
      <c r="K1019" s="82" t="n"/>
      <c r="L1019" s="82" t="n"/>
      <c r="M1019" s="82" t="n"/>
      <c r="N1019" s="82" t="n"/>
      <c r="O1019" s="82" t="n"/>
      <c r="P1019" s="82" t="n"/>
      <c r="Q1019" s="82" t="n"/>
      <c r="R1019" s="82" t="n"/>
      <c r="S1019" s="82" t="n"/>
      <c r="T1019" s="82" t="n"/>
      <c r="U1019" s="82" t="n"/>
      <c r="V1019" s="82" t="n"/>
      <c r="W1019" s="82" t="n"/>
      <c r="X1019" s="82" t="n"/>
      <c r="Y1019" s="82" t="n"/>
      <c r="Z1019" s="82" t="n"/>
    </row>
    <row r="1020" ht="15.75" customHeight="1" s="83">
      <c r="A1020" s="82" t="n"/>
      <c r="B1020" s="44" t="n"/>
      <c r="C1020" s="82" t="n"/>
      <c r="D1020" s="82" t="n"/>
      <c r="E1020" s="81" t="n"/>
      <c r="F1020" s="82" t="n"/>
      <c r="G1020" s="82" t="n"/>
      <c r="H1020" s="82" t="n"/>
      <c r="I1020" s="82" t="n"/>
      <c r="J1020" s="82" t="n"/>
      <c r="K1020" s="82" t="n"/>
      <c r="L1020" s="82" t="n"/>
      <c r="M1020" s="82" t="n"/>
      <c r="N1020" s="82" t="n"/>
      <c r="O1020" s="82" t="n"/>
      <c r="P1020" s="82" t="n"/>
      <c r="Q1020" s="82" t="n"/>
      <c r="R1020" s="82" t="n"/>
      <c r="S1020" s="82" t="n"/>
      <c r="T1020" s="82" t="n"/>
      <c r="U1020" s="82" t="n"/>
      <c r="V1020" s="82" t="n"/>
      <c r="W1020" s="82" t="n"/>
      <c r="X1020" s="82" t="n"/>
      <c r="Y1020" s="82" t="n"/>
      <c r="Z1020" s="82" t="n"/>
    </row>
    <row r="1021" ht="15.75" customHeight="1" s="83">
      <c r="A1021" s="82" t="n"/>
      <c r="B1021" s="44" t="n"/>
      <c r="C1021" s="82" t="n"/>
      <c r="D1021" s="82" t="n"/>
      <c r="E1021" s="81" t="n"/>
      <c r="F1021" s="82" t="n"/>
      <c r="G1021" s="82" t="n"/>
      <c r="H1021" s="82" t="n"/>
      <c r="I1021" s="82" t="n"/>
      <c r="J1021" s="82" t="n"/>
      <c r="K1021" s="82" t="n"/>
      <c r="L1021" s="82" t="n"/>
      <c r="M1021" s="82" t="n"/>
      <c r="N1021" s="82" t="n"/>
      <c r="O1021" s="82" t="n"/>
      <c r="P1021" s="82" t="n"/>
      <c r="Q1021" s="82" t="n"/>
      <c r="R1021" s="82" t="n"/>
      <c r="S1021" s="82" t="n"/>
      <c r="T1021" s="82" t="n"/>
      <c r="U1021" s="82" t="n"/>
      <c r="V1021" s="82" t="n"/>
      <c r="W1021" s="82" t="n"/>
      <c r="X1021" s="82" t="n"/>
      <c r="Y1021" s="82" t="n"/>
      <c r="Z1021" s="82" t="n"/>
    </row>
    <row r="1022" ht="15.75" customHeight="1" s="83">
      <c r="A1022" s="82" t="n"/>
      <c r="B1022" s="44" t="n"/>
      <c r="C1022" s="82" t="n"/>
      <c r="D1022" s="82" t="n"/>
      <c r="E1022" s="81" t="n"/>
      <c r="F1022" s="82" t="n"/>
      <c r="G1022" s="82" t="n"/>
      <c r="H1022" s="82" t="n"/>
      <c r="I1022" s="82" t="n"/>
      <c r="J1022" s="82" t="n"/>
      <c r="K1022" s="82" t="n"/>
      <c r="L1022" s="82" t="n"/>
      <c r="M1022" s="82" t="n"/>
      <c r="N1022" s="82" t="n"/>
      <c r="O1022" s="82" t="n"/>
      <c r="P1022" s="82" t="n"/>
      <c r="Q1022" s="82" t="n"/>
      <c r="R1022" s="82" t="n"/>
      <c r="S1022" s="82" t="n"/>
      <c r="T1022" s="82" t="n"/>
      <c r="U1022" s="82" t="n"/>
      <c r="V1022" s="82" t="n"/>
      <c r="W1022" s="82" t="n"/>
      <c r="X1022" s="82" t="n"/>
      <c r="Y1022" s="82" t="n"/>
      <c r="Z1022" s="82" t="n"/>
    </row>
    <row r="1023" ht="15.75" customHeight="1" s="83">
      <c r="A1023" s="82" t="n"/>
      <c r="B1023" s="44" t="n"/>
      <c r="C1023" s="82" t="n"/>
      <c r="D1023" s="82" t="n"/>
      <c r="E1023" s="81" t="n"/>
      <c r="F1023" s="82" t="n"/>
      <c r="G1023" s="82" t="n"/>
      <c r="H1023" s="82" t="n"/>
      <c r="I1023" s="82" t="n"/>
      <c r="J1023" s="82" t="n"/>
      <c r="K1023" s="82" t="n"/>
      <c r="L1023" s="82" t="n"/>
      <c r="M1023" s="82" t="n"/>
      <c r="N1023" s="82" t="n"/>
      <c r="O1023" s="82" t="n"/>
      <c r="P1023" s="82" t="n"/>
      <c r="Q1023" s="82" t="n"/>
      <c r="R1023" s="82" t="n"/>
      <c r="S1023" s="82" t="n"/>
      <c r="T1023" s="82" t="n"/>
      <c r="U1023" s="82" t="n"/>
      <c r="V1023" s="82" t="n"/>
      <c r="W1023" s="82" t="n"/>
      <c r="X1023" s="82" t="n"/>
      <c r="Y1023" s="82" t="n"/>
      <c r="Z1023" s="82" t="n"/>
    </row>
    <row r="1024" ht="15.75" customHeight="1" s="83">
      <c r="A1024" s="82" t="n"/>
      <c r="B1024" s="44" t="n"/>
      <c r="C1024" s="82" t="n"/>
      <c r="D1024" s="82" t="n"/>
      <c r="E1024" s="81" t="n"/>
      <c r="F1024" s="82" t="n"/>
      <c r="G1024" s="82" t="n"/>
      <c r="H1024" s="82" t="n"/>
      <c r="I1024" s="82" t="n"/>
      <c r="J1024" s="82" t="n"/>
      <c r="K1024" s="82" t="n"/>
      <c r="L1024" s="82" t="n"/>
      <c r="M1024" s="82" t="n"/>
      <c r="N1024" s="82" t="n"/>
      <c r="O1024" s="82" t="n"/>
      <c r="P1024" s="82" t="n"/>
      <c r="Q1024" s="82" t="n"/>
      <c r="R1024" s="82" t="n"/>
      <c r="S1024" s="82" t="n"/>
      <c r="T1024" s="82" t="n"/>
      <c r="U1024" s="82" t="n"/>
      <c r="V1024" s="82" t="n"/>
      <c r="W1024" s="82" t="n"/>
      <c r="X1024" s="82" t="n"/>
      <c r="Y1024" s="82" t="n"/>
      <c r="Z1024" s="82" t="n"/>
    </row>
    <row r="1025" ht="15.75" customHeight="1" s="83">
      <c r="A1025" s="82" t="n"/>
      <c r="B1025" s="44" t="n"/>
      <c r="C1025" s="82" t="n"/>
      <c r="D1025" s="82" t="n"/>
      <c r="E1025" s="81" t="n"/>
      <c r="F1025" s="82" t="n"/>
      <c r="G1025" s="82" t="n"/>
      <c r="H1025" s="82" t="n"/>
      <c r="I1025" s="82" t="n"/>
      <c r="J1025" s="82" t="n"/>
      <c r="K1025" s="82" t="n"/>
      <c r="L1025" s="82" t="n"/>
      <c r="M1025" s="82" t="n"/>
      <c r="N1025" s="82" t="n"/>
      <c r="O1025" s="82" t="n"/>
      <c r="P1025" s="82" t="n"/>
      <c r="Q1025" s="82" t="n"/>
      <c r="R1025" s="82" t="n"/>
      <c r="S1025" s="82" t="n"/>
      <c r="T1025" s="82" t="n"/>
      <c r="U1025" s="82" t="n"/>
      <c r="V1025" s="82" t="n"/>
      <c r="W1025" s="82" t="n"/>
      <c r="X1025" s="82" t="n"/>
      <c r="Y1025" s="82" t="n"/>
      <c r="Z1025" s="82" t="n"/>
    </row>
    <row r="1026" ht="15.75" customHeight="1" s="83">
      <c r="A1026" s="82" t="n"/>
      <c r="B1026" s="44" t="n"/>
      <c r="C1026" s="82" t="n"/>
      <c r="D1026" s="82" t="n"/>
      <c r="E1026" s="81" t="n"/>
      <c r="F1026" s="82" t="n"/>
      <c r="G1026" s="82" t="n"/>
      <c r="H1026" s="82" t="n"/>
      <c r="I1026" s="82" t="n"/>
      <c r="J1026" s="82" t="n"/>
      <c r="K1026" s="82" t="n"/>
      <c r="L1026" s="82" t="n"/>
      <c r="M1026" s="82" t="n"/>
      <c r="N1026" s="82" t="n"/>
      <c r="O1026" s="82" t="n"/>
      <c r="P1026" s="82" t="n"/>
      <c r="Q1026" s="82" t="n"/>
      <c r="R1026" s="82" t="n"/>
      <c r="S1026" s="82" t="n"/>
      <c r="T1026" s="82" t="n"/>
      <c r="U1026" s="82" t="n"/>
      <c r="V1026" s="82" t="n"/>
      <c r="W1026" s="82" t="n"/>
      <c r="X1026" s="82" t="n"/>
      <c r="Y1026" s="82" t="n"/>
      <c r="Z1026" s="82" t="n"/>
    </row>
    <row r="1027" ht="15.75" customHeight="1" s="83">
      <c r="A1027" s="82" t="n"/>
      <c r="B1027" s="44" t="n"/>
      <c r="C1027" s="82" t="n"/>
      <c r="D1027" s="82" t="n"/>
      <c r="E1027" s="81" t="n"/>
      <c r="F1027" s="82" t="n"/>
      <c r="G1027" s="82" t="n"/>
      <c r="H1027" s="82" t="n"/>
      <c r="I1027" s="82" t="n"/>
      <c r="J1027" s="82" t="n"/>
      <c r="K1027" s="82" t="n"/>
      <c r="L1027" s="82" t="n"/>
      <c r="M1027" s="82" t="n"/>
      <c r="N1027" s="82" t="n"/>
      <c r="O1027" s="82" t="n"/>
      <c r="P1027" s="82" t="n"/>
      <c r="Q1027" s="82" t="n"/>
      <c r="R1027" s="82" t="n"/>
      <c r="S1027" s="82" t="n"/>
      <c r="T1027" s="82" t="n"/>
      <c r="U1027" s="82" t="n"/>
      <c r="V1027" s="82" t="n"/>
      <c r="W1027" s="82" t="n"/>
      <c r="X1027" s="82" t="n"/>
      <c r="Y1027" s="82" t="n"/>
      <c r="Z1027" s="82" t="n"/>
    </row>
    <row r="1028" ht="15.75" customHeight="1" s="83">
      <c r="A1028" s="82" t="n"/>
      <c r="B1028" s="44" t="n"/>
      <c r="C1028" s="82" t="n"/>
      <c r="D1028" s="82" t="n"/>
      <c r="E1028" s="81" t="n"/>
      <c r="F1028" s="82" t="n"/>
      <c r="G1028" s="82" t="n"/>
      <c r="H1028" s="82" t="n"/>
      <c r="I1028" s="82" t="n"/>
      <c r="J1028" s="82" t="n"/>
      <c r="K1028" s="82" t="n"/>
      <c r="L1028" s="82" t="n"/>
      <c r="M1028" s="82" t="n"/>
      <c r="N1028" s="82" t="n"/>
      <c r="O1028" s="82" t="n"/>
      <c r="P1028" s="82" t="n"/>
      <c r="Q1028" s="82" t="n"/>
      <c r="R1028" s="82" t="n"/>
      <c r="S1028" s="82" t="n"/>
      <c r="T1028" s="82" t="n"/>
      <c r="U1028" s="82" t="n"/>
      <c r="V1028" s="82" t="n"/>
      <c r="W1028" s="82" t="n"/>
      <c r="X1028" s="82" t="n"/>
      <c r="Y1028" s="82" t="n"/>
      <c r="Z1028" s="82" t="n"/>
    </row>
    <row r="1029" ht="15.75" customHeight="1" s="83">
      <c r="A1029" s="82" t="n"/>
      <c r="B1029" s="44" t="n"/>
      <c r="C1029" s="82" t="n"/>
      <c r="D1029" s="82" t="n"/>
      <c r="E1029" s="81" t="n"/>
      <c r="F1029" s="82" t="n"/>
      <c r="G1029" s="82" t="n"/>
      <c r="H1029" s="82" t="n"/>
      <c r="I1029" s="82" t="n"/>
      <c r="J1029" s="82" t="n"/>
      <c r="K1029" s="82" t="n"/>
      <c r="L1029" s="82" t="n"/>
      <c r="M1029" s="82" t="n"/>
      <c r="N1029" s="82" t="n"/>
      <c r="O1029" s="82" t="n"/>
      <c r="P1029" s="82" t="n"/>
      <c r="Q1029" s="82" t="n"/>
      <c r="R1029" s="82" t="n"/>
      <c r="S1029" s="82" t="n"/>
      <c r="T1029" s="82" t="n"/>
      <c r="U1029" s="82" t="n"/>
      <c r="V1029" s="82" t="n"/>
      <c r="W1029" s="82" t="n"/>
      <c r="X1029" s="82" t="n"/>
      <c r="Y1029" s="82" t="n"/>
      <c r="Z1029" s="82" t="n"/>
    </row>
    <row r="1030" ht="15.75" customHeight="1" s="83">
      <c r="A1030" s="82" t="n"/>
      <c r="B1030" s="44" t="n"/>
      <c r="C1030" s="82" t="n"/>
      <c r="D1030" s="82" t="n"/>
      <c r="E1030" s="81" t="n"/>
      <c r="F1030" s="82" t="n"/>
      <c r="G1030" s="82" t="n"/>
      <c r="H1030" s="82" t="n"/>
      <c r="I1030" s="82" t="n"/>
      <c r="J1030" s="82" t="n"/>
      <c r="K1030" s="82" t="n"/>
      <c r="L1030" s="82" t="n"/>
      <c r="M1030" s="82" t="n"/>
      <c r="N1030" s="82" t="n"/>
      <c r="O1030" s="82" t="n"/>
      <c r="P1030" s="82" t="n"/>
      <c r="Q1030" s="82" t="n"/>
      <c r="R1030" s="82" t="n"/>
      <c r="S1030" s="82" t="n"/>
      <c r="T1030" s="82" t="n"/>
      <c r="U1030" s="82" t="n"/>
      <c r="V1030" s="82" t="n"/>
      <c r="W1030" s="82" t="n"/>
      <c r="X1030" s="82" t="n"/>
      <c r="Y1030" s="82" t="n"/>
      <c r="Z1030" s="82" t="n"/>
    </row>
    <row r="1031" ht="15.75" customHeight="1" s="83">
      <c r="A1031" s="82" t="n"/>
      <c r="B1031" s="44" t="n"/>
      <c r="C1031" s="82" t="n"/>
      <c r="D1031" s="82" t="n"/>
      <c r="E1031" s="81" t="n"/>
      <c r="F1031" s="82" t="n"/>
      <c r="G1031" s="82" t="n"/>
      <c r="H1031" s="82" t="n"/>
      <c r="I1031" s="82" t="n"/>
      <c r="J1031" s="82" t="n"/>
      <c r="K1031" s="82" t="n"/>
      <c r="L1031" s="82" t="n"/>
      <c r="M1031" s="82" t="n"/>
      <c r="N1031" s="82" t="n"/>
      <c r="O1031" s="82" t="n"/>
      <c r="P1031" s="82" t="n"/>
      <c r="Q1031" s="82" t="n"/>
      <c r="R1031" s="82" t="n"/>
      <c r="S1031" s="82" t="n"/>
      <c r="T1031" s="82" t="n"/>
      <c r="U1031" s="82" t="n"/>
      <c r="V1031" s="82" t="n"/>
      <c r="W1031" s="82" t="n"/>
      <c r="X1031" s="82" t="n"/>
      <c r="Y1031" s="82" t="n"/>
      <c r="Z1031" s="82" t="n"/>
    </row>
    <row r="1032" ht="15.75" customHeight="1" s="83">
      <c r="A1032" s="82" t="n"/>
      <c r="B1032" s="44" t="n"/>
      <c r="C1032" s="82" t="n"/>
      <c r="D1032" s="82" t="n"/>
      <c r="E1032" s="81" t="n"/>
      <c r="F1032" s="82" t="n"/>
      <c r="G1032" s="82" t="n"/>
      <c r="H1032" s="82" t="n"/>
      <c r="I1032" s="82" t="n"/>
      <c r="J1032" s="82" t="n"/>
      <c r="K1032" s="82" t="n"/>
      <c r="L1032" s="82" t="n"/>
      <c r="M1032" s="82" t="n"/>
      <c r="N1032" s="82" t="n"/>
      <c r="O1032" s="82" t="n"/>
      <c r="P1032" s="82" t="n"/>
      <c r="Q1032" s="82" t="n"/>
      <c r="R1032" s="82" t="n"/>
      <c r="S1032" s="82" t="n"/>
      <c r="T1032" s="82" t="n"/>
      <c r="U1032" s="82" t="n"/>
      <c r="V1032" s="82" t="n"/>
      <c r="W1032" s="82" t="n"/>
      <c r="X1032" s="82" t="n"/>
      <c r="Y1032" s="82" t="n"/>
      <c r="Z1032" s="82" t="n"/>
    </row>
    <row r="1033" ht="15.75" customHeight="1" s="83">
      <c r="A1033" s="82" t="n"/>
      <c r="B1033" s="44" t="n"/>
      <c r="C1033" s="82" t="n"/>
      <c r="D1033" s="82" t="n"/>
      <c r="E1033" s="81" t="n"/>
      <c r="F1033" s="82" t="n"/>
      <c r="G1033" s="82" t="n"/>
      <c r="H1033" s="82" t="n"/>
      <c r="I1033" s="82" t="n"/>
      <c r="J1033" s="82" t="n"/>
      <c r="K1033" s="82" t="n"/>
      <c r="L1033" s="82" t="n"/>
      <c r="M1033" s="82" t="n"/>
      <c r="N1033" s="82" t="n"/>
      <c r="O1033" s="82" t="n"/>
      <c r="P1033" s="82" t="n"/>
      <c r="Q1033" s="82" t="n"/>
      <c r="R1033" s="82" t="n"/>
      <c r="S1033" s="82" t="n"/>
      <c r="T1033" s="82" t="n"/>
      <c r="U1033" s="82" t="n"/>
      <c r="V1033" s="82" t="n"/>
      <c r="W1033" s="82" t="n"/>
      <c r="X1033" s="82" t="n"/>
      <c r="Y1033" s="82" t="n"/>
      <c r="Z1033" s="82" t="n"/>
    </row>
    <row r="1034" ht="15.75" customHeight="1" s="83">
      <c r="A1034" s="82" t="n"/>
      <c r="B1034" s="44" t="n"/>
      <c r="C1034" s="82" t="n"/>
      <c r="D1034" s="82" t="n"/>
      <c r="E1034" s="81" t="n"/>
      <c r="F1034" s="82" t="n"/>
      <c r="G1034" s="82" t="n"/>
      <c r="H1034" s="82" t="n"/>
      <c r="I1034" s="82" t="n"/>
      <c r="J1034" s="82" t="n"/>
      <c r="K1034" s="82" t="n"/>
      <c r="L1034" s="82" t="n"/>
      <c r="M1034" s="82" t="n"/>
      <c r="N1034" s="82" t="n"/>
      <c r="O1034" s="82" t="n"/>
      <c r="P1034" s="82" t="n"/>
      <c r="Q1034" s="82" t="n"/>
      <c r="R1034" s="82" t="n"/>
      <c r="S1034" s="82" t="n"/>
      <c r="T1034" s="82" t="n"/>
      <c r="U1034" s="82" t="n"/>
      <c r="V1034" s="82" t="n"/>
      <c r="W1034" s="82" t="n"/>
      <c r="X1034" s="82" t="n"/>
      <c r="Y1034" s="82" t="n"/>
      <c r="Z1034" s="82" t="n"/>
    </row>
    <row r="1035" ht="15.75" customHeight="1" s="83">
      <c r="A1035" s="82" t="n"/>
      <c r="B1035" s="44" t="n"/>
      <c r="C1035" s="82" t="n"/>
      <c r="D1035" s="82" t="n"/>
      <c r="E1035" s="81" t="n"/>
      <c r="F1035" s="82" t="n"/>
      <c r="G1035" s="82" t="n"/>
      <c r="H1035" s="82" t="n"/>
      <c r="I1035" s="82" t="n"/>
      <c r="J1035" s="82" t="n"/>
      <c r="K1035" s="82" t="n"/>
      <c r="L1035" s="82" t="n"/>
      <c r="M1035" s="82" t="n"/>
      <c r="N1035" s="82" t="n"/>
      <c r="O1035" s="82" t="n"/>
      <c r="P1035" s="82" t="n"/>
      <c r="Q1035" s="82" t="n"/>
      <c r="R1035" s="82" t="n"/>
      <c r="S1035" s="82" t="n"/>
      <c r="T1035" s="82" t="n"/>
      <c r="U1035" s="82" t="n"/>
      <c r="V1035" s="82" t="n"/>
      <c r="W1035" s="82" t="n"/>
      <c r="X1035" s="82" t="n"/>
      <c r="Y1035" s="82" t="n"/>
      <c r="Z1035" s="82" t="n"/>
    </row>
    <row r="1036" ht="15.75" customHeight="1" s="83">
      <c r="A1036" s="82" t="n"/>
      <c r="B1036" s="44" t="n"/>
      <c r="C1036" s="82" t="n"/>
      <c r="D1036" s="82" t="n"/>
      <c r="E1036" s="81" t="n"/>
      <c r="F1036" s="82" t="n"/>
      <c r="G1036" s="82" t="n"/>
      <c r="H1036" s="82" t="n"/>
      <c r="I1036" s="82" t="n"/>
      <c r="J1036" s="82" t="n"/>
      <c r="K1036" s="82" t="n"/>
      <c r="L1036" s="82" t="n"/>
      <c r="M1036" s="82" t="n"/>
      <c r="N1036" s="82" t="n"/>
      <c r="O1036" s="82" t="n"/>
      <c r="P1036" s="82" t="n"/>
      <c r="Q1036" s="82" t="n"/>
      <c r="R1036" s="82" t="n"/>
      <c r="S1036" s="82" t="n"/>
      <c r="T1036" s="82" t="n"/>
      <c r="U1036" s="82" t="n"/>
      <c r="V1036" s="82" t="n"/>
      <c r="W1036" s="82" t="n"/>
      <c r="X1036" s="82" t="n"/>
      <c r="Y1036" s="82" t="n"/>
      <c r="Z1036" s="82" t="n"/>
    </row>
    <row r="1037" ht="15.75" customHeight="1" s="83">
      <c r="A1037" s="82" t="n"/>
      <c r="B1037" s="44" t="n"/>
      <c r="C1037" s="82" t="n"/>
      <c r="D1037" s="82" t="n"/>
      <c r="E1037" s="81" t="n"/>
      <c r="F1037" s="82" t="n"/>
      <c r="G1037" s="82" t="n"/>
      <c r="H1037" s="82" t="n"/>
      <c r="I1037" s="82" t="n"/>
      <c r="J1037" s="82" t="n"/>
      <c r="K1037" s="82" t="n"/>
      <c r="L1037" s="82" t="n"/>
      <c r="M1037" s="82" t="n"/>
      <c r="N1037" s="82" t="n"/>
      <c r="O1037" s="82" t="n"/>
      <c r="P1037" s="82" t="n"/>
      <c r="Q1037" s="82" t="n"/>
      <c r="R1037" s="82" t="n"/>
      <c r="S1037" s="82" t="n"/>
      <c r="T1037" s="82" t="n"/>
      <c r="U1037" s="82" t="n"/>
      <c r="V1037" s="82" t="n"/>
      <c r="W1037" s="82" t="n"/>
      <c r="X1037" s="82" t="n"/>
      <c r="Y1037" s="82" t="n"/>
      <c r="Z1037" s="82" t="n"/>
    </row>
    <row r="1038" ht="15.75" customHeight="1" s="83">
      <c r="A1038" s="82" t="n"/>
      <c r="B1038" s="44" t="n"/>
      <c r="C1038" s="82" t="n"/>
      <c r="D1038" s="82" t="n"/>
      <c r="E1038" s="81" t="n"/>
      <c r="F1038" s="82" t="n"/>
      <c r="G1038" s="82" t="n"/>
      <c r="H1038" s="82" t="n"/>
      <c r="I1038" s="82" t="n"/>
      <c r="J1038" s="82" t="n"/>
      <c r="K1038" s="82" t="n"/>
      <c r="L1038" s="82" t="n"/>
      <c r="M1038" s="82" t="n"/>
      <c r="N1038" s="82" t="n"/>
      <c r="O1038" s="82" t="n"/>
      <c r="P1038" s="82" t="n"/>
      <c r="Q1038" s="82" t="n"/>
      <c r="R1038" s="82" t="n"/>
      <c r="S1038" s="82" t="n"/>
      <c r="T1038" s="82" t="n"/>
      <c r="U1038" s="82" t="n"/>
      <c r="V1038" s="82" t="n"/>
      <c r="W1038" s="82" t="n"/>
      <c r="X1038" s="82" t="n"/>
      <c r="Y1038" s="82" t="n"/>
      <c r="Z1038" s="82" t="n"/>
    </row>
    <row r="1039" ht="15.75" customHeight="1" s="83">
      <c r="A1039" s="82" t="n"/>
      <c r="B1039" s="44" t="n"/>
      <c r="C1039" s="82" t="n"/>
      <c r="D1039" s="82" t="n"/>
      <c r="E1039" s="81" t="n"/>
      <c r="F1039" s="82" t="n"/>
      <c r="G1039" s="82" t="n"/>
      <c r="H1039" s="82" t="n"/>
      <c r="I1039" s="82" t="n"/>
      <c r="J1039" s="82" t="n"/>
      <c r="K1039" s="82" t="n"/>
      <c r="L1039" s="82" t="n"/>
      <c r="M1039" s="82" t="n"/>
      <c r="N1039" s="82" t="n"/>
      <c r="O1039" s="82" t="n"/>
      <c r="P1039" s="82" t="n"/>
      <c r="Q1039" s="82" t="n"/>
      <c r="R1039" s="82" t="n"/>
      <c r="S1039" s="82" t="n"/>
      <c r="T1039" s="82" t="n"/>
      <c r="U1039" s="82" t="n"/>
      <c r="V1039" s="82" t="n"/>
      <c r="W1039" s="82" t="n"/>
      <c r="X1039" s="82" t="n"/>
      <c r="Y1039" s="82" t="n"/>
      <c r="Z1039" s="82" t="n"/>
    </row>
    <row r="1040" ht="15.75" customHeight="1" s="83">
      <c r="A1040" s="82" t="n"/>
      <c r="B1040" s="44" t="n"/>
      <c r="C1040" s="82" t="n"/>
      <c r="D1040" s="82" t="n"/>
      <c r="E1040" s="81" t="n"/>
      <c r="F1040" s="82" t="n"/>
      <c r="G1040" s="82" t="n"/>
      <c r="H1040" s="82" t="n"/>
      <c r="I1040" s="82" t="n"/>
      <c r="J1040" s="82" t="n"/>
      <c r="K1040" s="82" t="n"/>
      <c r="L1040" s="82" t="n"/>
      <c r="M1040" s="82" t="n"/>
      <c r="N1040" s="82" t="n"/>
      <c r="O1040" s="82" t="n"/>
      <c r="P1040" s="82" t="n"/>
      <c r="Q1040" s="82" t="n"/>
      <c r="R1040" s="82" t="n"/>
      <c r="S1040" s="82" t="n"/>
      <c r="T1040" s="82" t="n"/>
      <c r="U1040" s="82" t="n"/>
      <c r="V1040" s="82" t="n"/>
      <c r="W1040" s="82" t="n"/>
      <c r="X1040" s="82" t="n"/>
      <c r="Y1040" s="82" t="n"/>
      <c r="Z1040" s="82" t="n"/>
    </row>
    <row r="1041" ht="15.75" customHeight="1" s="83">
      <c r="A1041" s="82" t="n"/>
      <c r="B1041" s="44" t="n"/>
      <c r="C1041" s="82" t="n"/>
      <c r="D1041" s="82" t="n"/>
      <c r="E1041" s="81" t="n"/>
      <c r="F1041" s="82" t="n"/>
      <c r="G1041" s="82" t="n"/>
      <c r="H1041" s="82" t="n"/>
      <c r="I1041" s="82" t="n"/>
      <c r="J1041" s="82" t="n"/>
      <c r="K1041" s="82" t="n"/>
      <c r="L1041" s="82" t="n"/>
      <c r="M1041" s="82" t="n"/>
      <c r="N1041" s="82" t="n"/>
      <c r="O1041" s="82" t="n"/>
      <c r="P1041" s="82" t="n"/>
      <c r="Q1041" s="82" t="n"/>
      <c r="R1041" s="82" t="n"/>
      <c r="S1041" s="82" t="n"/>
      <c r="T1041" s="82" t="n"/>
      <c r="U1041" s="82" t="n"/>
      <c r="V1041" s="82" t="n"/>
      <c r="W1041" s="82" t="n"/>
      <c r="X1041" s="82" t="n"/>
      <c r="Y1041" s="82" t="n"/>
      <c r="Z1041" s="82" t="n"/>
    </row>
    <row r="1042" ht="15.75" customHeight="1" s="83">
      <c r="A1042" s="82" t="n"/>
      <c r="B1042" s="44" t="n"/>
      <c r="C1042" s="82" t="n"/>
      <c r="D1042" s="82" t="n"/>
      <c r="E1042" s="81" t="n"/>
      <c r="F1042" s="82" t="n"/>
      <c r="G1042" s="82" t="n"/>
      <c r="H1042" s="82" t="n"/>
      <c r="I1042" s="82" t="n"/>
      <c r="J1042" s="82" t="n"/>
      <c r="K1042" s="82" t="n"/>
      <c r="L1042" s="82" t="n"/>
      <c r="M1042" s="82" t="n"/>
      <c r="N1042" s="82" t="n"/>
      <c r="O1042" s="82" t="n"/>
      <c r="P1042" s="82" t="n"/>
      <c r="Q1042" s="82" t="n"/>
      <c r="R1042" s="82" t="n"/>
      <c r="S1042" s="82" t="n"/>
      <c r="T1042" s="82" t="n"/>
      <c r="U1042" s="82" t="n"/>
      <c r="V1042" s="82" t="n"/>
      <c r="W1042" s="82" t="n"/>
      <c r="X1042" s="82" t="n"/>
      <c r="Y1042" s="82" t="n"/>
      <c r="Z1042" s="82" t="n"/>
    </row>
    <row r="1043" ht="15.75" customHeight="1" s="83">
      <c r="A1043" s="82" t="n"/>
      <c r="B1043" s="44" t="n"/>
      <c r="C1043" s="82" t="n"/>
      <c r="D1043" s="82" t="n"/>
      <c r="E1043" s="81" t="n"/>
      <c r="F1043" s="82" t="n"/>
      <c r="G1043" s="82" t="n"/>
      <c r="H1043" s="82" t="n"/>
      <c r="I1043" s="82" t="n"/>
      <c r="J1043" s="82" t="n"/>
      <c r="K1043" s="82" t="n"/>
      <c r="L1043" s="82" t="n"/>
      <c r="M1043" s="82" t="n"/>
      <c r="N1043" s="82" t="n"/>
      <c r="O1043" s="82" t="n"/>
      <c r="P1043" s="82" t="n"/>
      <c r="Q1043" s="82" t="n"/>
      <c r="R1043" s="82" t="n"/>
      <c r="S1043" s="82" t="n"/>
      <c r="T1043" s="82" t="n"/>
      <c r="U1043" s="82" t="n"/>
      <c r="V1043" s="82" t="n"/>
      <c r="W1043" s="82" t="n"/>
      <c r="X1043" s="82" t="n"/>
      <c r="Y1043" s="82" t="n"/>
      <c r="Z1043" s="82" t="n"/>
    </row>
    <row r="1044" ht="15.75" customHeight="1" s="83">
      <c r="A1044" s="82" t="n"/>
      <c r="B1044" s="44" t="n"/>
      <c r="C1044" s="82" t="n"/>
      <c r="D1044" s="82" t="n"/>
      <c r="E1044" s="81" t="n"/>
      <c r="F1044" s="82" t="n"/>
      <c r="G1044" s="82" t="n"/>
      <c r="H1044" s="82" t="n"/>
      <c r="I1044" s="82" t="n"/>
      <c r="J1044" s="82" t="n"/>
      <c r="K1044" s="82" t="n"/>
      <c r="L1044" s="82" t="n"/>
      <c r="M1044" s="82" t="n"/>
      <c r="N1044" s="82" t="n"/>
      <c r="O1044" s="82" t="n"/>
      <c r="P1044" s="82" t="n"/>
      <c r="Q1044" s="82" t="n"/>
      <c r="R1044" s="82" t="n"/>
      <c r="S1044" s="82" t="n"/>
      <c r="T1044" s="82" t="n"/>
      <c r="U1044" s="82" t="n"/>
      <c r="V1044" s="82" t="n"/>
      <c r="W1044" s="82" t="n"/>
      <c r="X1044" s="82" t="n"/>
      <c r="Y1044" s="82" t="n"/>
      <c r="Z1044" s="82" t="n"/>
    </row>
    <row r="1045" ht="15.75" customHeight="1" s="83">
      <c r="A1045" s="82" t="n"/>
      <c r="B1045" s="44" t="n"/>
      <c r="C1045" s="82" t="n"/>
      <c r="D1045" s="82" t="n"/>
      <c r="E1045" s="81" t="n"/>
      <c r="F1045" s="82" t="n"/>
      <c r="G1045" s="82" t="n"/>
      <c r="H1045" s="82" t="n"/>
      <c r="I1045" s="82" t="n"/>
      <c r="J1045" s="82" t="n"/>
      <c r="K1045" s="82" t="n"/>
      <c r="L1045" s="82" t="n"/>
      <c r="M1045" s="82" t="n"/>
      <c r="N1045" s="82" t="n"/>
      <c r="O1045" s="82" t="n"/>
      <c r="P1045" s="82" t="n"/>
      <c r="Q1045" s="82" t="n"/>
      <c r="R1045" s="82" t="n"/>
      <c r="S1045" s="82" t="n"/>
      <c r="T1045" s="82" t="n"/>
      <c r="U1045" s="82" t="n"/>
      <c r="V1045" s="82" t="n"/>
      <c r="W1045" s="82" t="n"/>
      <c r="X1045" s="82" t="n"/>
      <c r="Y1045" s="82" t="n"/>
      <c r="Z1045" s="82" t="n"/>
    </row>
    <row r="1046" ht="15.75" customHeight="1" s="83">
      <c r="A1046" s="82" t="n"/>
      <c r="B1046" s="44" t="n"/>
      <c r="C1046" s="82" t="n"/>
      <c r="D1046" s="82" t="n"/>
      <c r="E1046" s="81" t="n"/>
      <c r="F1046" s="82" t="n"/>
      <c r="G1046" s="82" t="n"/>
      <c r="H1046" s="82" t="n"/>
      <c r="I1046" s="82" t="n"/>
      <c r="J1046" s="82" t="n"/>
      <c r="K1046" s="82" t="n"/>
      <c r="L1046" s="82" t="n"/>
      <c r="M1046" s="82" t="n"/>
      <c r="N1046" s="82" t="n"/>
      <c r="O1046" s="82" t="n"/>
      <c r="P1046" s="82" t="n"/>
      <c r="Q1046" s="82" t="n"/>
      <c r="R1046" s="82" t="n"/>
      <c r="S1046" s="82" t="n"/>
      <c r="T1046" s="82" t="n"/>
      <c r="U1046" s="82" t="n"/>
      <c r="V1046" s="82" t="n"/>
      <c r="W1046" s="82" t="n"/>
      <c r="X1046" s="82" t="n"/>
      <c r="Y1046" s="82" t="n"/>
      <c r="Z1046" s="82" t="n"/>
    </row>
    <row r="1047" ht="15.75" customHeight="1" s="83">
      <c r="A1047" s="82" t="n"/>
      <c r="B1047" s="44" t="n"/>
      <c r="C1047" s="82" t="n"/>
      <c r="D1047" s="82" t="n"/>
      <c r="E1047" s="81" t="n"/>
      <c r="F1047" s="82" t="n"/>
      <c r="G1047" s="82" t="n"/>
      <c r="H1047" s="82" t="n"/>
      <c r="I1047" s="82" t="n"/>
      <c r="J1047" s="82" t="n"/>
      <c r="K1047" s="82" t="n"/>
      <c r="L1047" s="82" t="n"/>
      <c r="M1047" s="82" t="n"/>
      <c r="N1047" s="82" t="n"/>
      <c r="O1047" s="82" t="n"/>
      <c r="P1047" s="82" t="n"/>
      <c r="Q1047" s="82" t="n"/>
      <c r="R1047" s="82" t="n"/>
      <c r="S1047" s="82" t="n"/>
      <c r="T1047" s="82" t="n"/>
      <c r="U1047" s="82" t="n"/>
      <c r="V1047" s="82" t="n"/>
      <c r="W1047" s="82" t="n"/>
      <c r="X1047" s="82" t="n"/>
      <c r="Y1047" s="82" t="n"/>
      <c r="Z1047" s="82" t="n"/>
    </row>
    <row r="1048" ht="15.75" customHeight="1" s="83">
      <c r="A1048" s="82" t="n"/>
      <c r="B1048" s="44" t="n"/>
      <c r="C1048" s="82" t="n"/>
      <c r="D1048" s="82" t="n"/>
      <c r="E1048" s="81" t="n"/>
      <c r="F1048" s="82" t="n"/>
      <c r="G1048" s="82" t="n"/>
      <c r="H1048" s="82" t="n"/>
      <c r="I1048" s="82" t="n"/>
      <c r="J1048" s="82" t="n"/>
      <c r="K1048" s="82" t="n"/>
      <c r="L1048" s="82" t="n"/>
      <c r="M1048" s="82" t="n"/>
      <c r="N1048" s="82" t="n"/>
      <c r="O1048" s="82" t="n"/>
      <c r="P1048" s="82" t="n"/>
      <c r="Q1048" s="82" t="n"/>
      <c r="R1048" s="82" t="n"/>
      <c r="S1048" s="82" t="n"/>
      <c r="T1048" s="82" t="n"/>
      <c r="U1048" s="82" t="n"/>
      <c r="V1048" s="82" t="n"/>
      <c r="W1048" s="82" t="n"/>
      <c r="X1048" s="82" t="n"/>
      <c r="Y1048" s="82" t="n"/>
      <c r="Z1048" s="82" t="n"/>
    </row>
    <row r="1049" ht="15.75" customHeight="1" s="83">
      <c r="A1049" s="82" t="n"/>
      <c r="B1049" s="44" t="n"/>
      <c r="C1049" s="82" t="n"/>
      <c r="D1049" s="82" t="n"/>
      <c r="E1049" s="81" t="n"/>
      <c r="F1049" s="82" t="n"/>
      <c r="G1049" s="82" t="n"/>
      <c r="H1049" s="82" t="n"/>
      <c r="I1049" s="82" t="n"/>
      <c r="J1049" s="82" t="n"/>
      <c r="K1049" s="82" t="n"/>
      <c r="L1049" s="82" t="n"/>
      <c r="M1049" s="82" t="n"/>
      <c r="N1049" s="82" t="n"/>
      <c r="O1049" s="82" t="n"/>
      <c r="P1049" s="82" t="n"/>
      <c r="Q1049" s="82" t="n"/>
      <c r="R1049" s="82" t="n"/>
      <c r="S1049" s="82" t="n"/>
      <c r="T1049" s="82" t="n"/>
      <c r="U1049" s="82" t="n"/>
      <c r="V1049" s="82" t="n"/>
      <c r="W1049" s="82" t="n"/>
      <c r="X1049" s="82" t="n"/>
      <c r="Y1049" s="82" t="n"/>
      <c r="Z1049" s="82" t="n"/>
    </row>
    <row r="1050" ht="15.75" customHeight="1" s="83">
      <c r="A1050" s="82" t="n"/>
      <c r="B1050" s="44" t="n"/>
      <c r="C1050" s="82" t="n"/>
      <c r="D1050" s="82" t="n"/>
      <c r="E1050" s="81" t="n"/>
      <c r="F1050" s="82" t="n"/>
      <c r="G1050" s="82" t="n"/>
      <c r="H1050" s="82" t="n"/>
      <c r="I1050" s="82" t="n"/>
      <c r="J1050" s="82" t="n"/>
      <c r="K1050" s="82" t="n"/>
      <c r="L1050" s="82" t="n"/>
      <c r="M1050" s="82" t="n"/>
      <c r="N1050" s="82" t="n"/>
      <c r="O1050" s="82" t="n"/>
      <c r="P1050" s="82" t="n"/>
      <c r="Q1050" s="82" t="n"/>
      <c r="R1050" s="82" t="n"/>
      <c r="S1050" s="82" t="n"/>
      <c r="T1050" s="82" t="n"/>
      <c r="U1050" s="82" t="n"/>
      <c r="V1050" s="82" t="n"/>
      <c r="W1050" s="82" t="n"/>
      <c r="X1050" s="82" t="n"/>
      <c r="Y1050" s="82" t="n"/>
      <c r="Z1050" s="82" t="n"/>
    </row>
    <row r="1051" ht="15.75" customHeight="1" s="83">
      <c r="A1051" s="82" t="n"/>
      <c r="B1051" s="44" t="n"/>
      <c r="C1051" s="82" t="n"/>
      <c r="D1051" s="82" t="n"/>
      <c r="E1051" s="81" t="n"/>
      <c r="F1051" s="82" t="n"/>
      <c r="G1051" s="82" t="n"/>
      <c r="H1051" s="82" t="n"/>
      <c r="I1051" s="82" t="n"/>
      <c r="J1051" s="82" t="n"/>
      <c r="K1051" s="82" t="n"/>
      <c r="L1051" s="82" t="n"/>
      <c r="M1051" s="82" t="n"/>
      <c r="N1051" s="82" t="n"/>
      <c r="O1051" s="82" t="n"/>
      <c r="P1051" s="82" t="n"/>
      <c r="Q1051" s="82" t="n"/>
      <c r="R1051" s="82" t="n"/>
      <c r="S1051" s="82" t="n"/>
      <c r="T1051" s="82" t="n"/>
      <c r="U1051" s="82" t="n"/>
      <c r="V1051" s="82" t="n"/>
      <c r="W1051" s="82" t="n"/>
      <c r="X1051" s="82" t="n"/>
      <c r="Y1051" s="82" t="n"/>
      <c r="Z1051" s="82" t="n"/>
    </row>
    <row r="1052" ht="15.75" customHeight="1" s="83">
      <c r="A1052" s="82" t="n"/>
      <c r="B1052" s="44" t="n"/>
      <c r="C1052" s="82" t="n"/>
      <c r="D1052" s="82" t="n"/>
      <c r="E1052" s="81" t="n"/>
      <c r="F1052" s="82" t="n"/>
      <c r="G1052" s="82" t="n"/>
      <c r="H1052" s="82" t="n"/>
      <c r="I1052" s="82" t="n"/>
      <c r="J1052" s="82" t="n"/>
      <c r="K1052" s="82" t="n"/>
      <c r="L1052" s="82" t="n"/>
      <c r="M1052" s="82" t="n"/>
      <c r="N1052" s="82" t="n"/>
      <c r="O1052" s="82" t="n"/>
      <c r="P1052" s="82" t="n"/>
      <c r="Q1052" s="82" t="n"/>
      <c r="R1052" s="82" t="n"/>
      <c r="S1052" s="82" t="n"/>
      <c r="T1052" s="82" t="n"/>
      <c r="U1052" s="82" t="n"/>
      <c r="V1052" s="82" t="n"/>
      <c r="W1052" s="82" t="n"/>
      <c r="X1052" s="82" t="n"/>
      <c r="Y1052" s="82" t="n"/>
      <c r="Z1052" s="82" t="n"/>
    </row>
    <row r="1053" ht="15.75" customHeight="1" s="83">
      <c r="A1053" s="82" t="n"/>
      <c r="B1053" s="44" t="n"/>
      <c r="C1053" s="82" t="n"/>
      <c r="D1053" s="82" t="n"/>
      <c r="E1053" s="81" t="n"/>
      <c r="F1053" s="82" t="n"/>
      <c r="G1053" s="82" t="n"/>
      <c r="H1053" s="82" t="n"/>
      <c r="I1053" s="82" t="n"/>
      <c r="J1053" s="82" t="n"/>
      <c r="K1053" s="82" t="n"/>
      <c r="L1053" s="82" t="n"/>
      <c r="M1053" s="82" t="n"/>
      <c r="N1053" s="82" t="n"/>
      <c r="O1053" s="82" t="n"/>
      <c r="P1053" s="82" t="n"/>
      <c r="Q1053" s="82" t="n"/>
      <c r="R1053" s="82" t="n"/>
      <c r="S1053" s="82" t="n"/>
      <c r="T1053" s="82" t="n"/>
      <c r="U1053" s="82" t="n"/>
      <c r="V1053" s="82" t="n"/>
      <c r="W1053" s="82" t="n"/>
      <c r="X1053" s="82" t="n"/>
      <c r="Y1053" s="82" t="n"/>
      <c r="Z1053" s="82" t="n"/>
    </row>
    <row r="1054" ht="15.75" customHeight="1" s="83">
      <c r="A1054" s="82" t="n"/>
      <c r="B1054" s="44" t="n"/>
      <c r="C1054" s="82" t="n"/>
      <c r="D1054" s="82" t="n"/>
      <c r="E1054" s="81" t="n"/>
      <c r="F1054" s="82" t="n"/>
      <c r="G1054" s="82" t="n"/>
      <c r="H1054" s="82" t="n"/>
      <c r="I1054" s="82" t="n"/>
      <c r="J1054" s="82" t="n"/>
      <c r="K1054" s="82" t="n"/>
      <c r="L1054" s="82" t="n"/>
      <c r="M1054" s="82" t="n"/>
      <c r="N1054" s="82" t="n"/>
      <c r="O1054" s="82" t="n"/>
      <c r="P1054" s="82" t="n"/>
      <c r="Q1054" s="82" t="n"/>
      <c r="R1054" s="82" t="n"/>
      <c r="S1054" s="82" t="n"/>
      <c r="T1054" s="82" t="n"/>
      <c r="U1054" s="82" t="n"/>
      <c r="V1054" s="82" t="n"/>
      <c r="W1054" s="82" t="n"/>
      <c r="X1054" s="82" t="n"/>
      <c r="Y1054" s="82" t="n"/>
      <c r="Z1054" s="82" t="n"/>
    </row>
    <row r="1055" ht="15.75" customHeight="1" s="83">
      <c r="A1055" s="82" t="n"/>
      <c r="B1055" s="44" t="n"/>
      <c r="C1055" s="82" t="n"/>
      <c r="D1055" s="82" t="n"/>
      <c r="E1055" s="81" t="n"/>
      <c r="F1055" s="82" t="n"/>
      <c r="G1055" s="82" t="n"/>
      <c r="H1055" s="82" t="n"/>
      <c r="I1055" s="82" t="n"/>
      <c r="J1055" s="82" t="n"/>
      <c r="K1055" s="82" t="n"/>
      <c r="L1055" s="82" t="n"/>
      <c r="M1055" s="82" t="n"/>
      <c r="N1055" s="82" t="n"/>
      <c r="O1055" s="82" t="n"/>
      <c r="P1055" s="82" t="n"/>
      <c r="Q1055" s="82" t="n"/>
      <c r="R1055" s="82" t="n"/>
      <c r="S1055" s="82" t="n"/>
      <c r="T1055" s="82" t="n"/>
      <c r="U1055" s="82" t="n"/>
      <c r="V1055" s="82" t="n"/>
      <c r="W1055" s="82" t="n"/>
      <c r="X1055" s="82" t="n"/>
      <c r="Y1055" s="82" t="n"/>
      <c r="Z1055" s="82" t="n"/>
    </row>
    <row r="1056" ht="15.75" customHeight="1" s="83">
      <c r="A1056" s="82" t="n"/>
      <c r="B1056" s="44" t="n"/>
      <c r="C1056" s="82" t="n"/>
      <c r="D1056" s="82" t="n"/>
      <c r="E1056" s="81" t="n"/>
      <c r="F1056" s="82" t="n"/>
      <c r="G1056" s="82" t="n"/>
      <c r="H1056" s="82" t="n"/>
      <c r="I1056" s="82" t="n"/>
      <c r="J1056" s="82" t="n"/>
      <c r="K1056" s="82" t="n"/>
      <c r="L1056" s="82" t="n"/>
      <c r="M1056" s="82" t="n"/>
      <c r="N1056" s="82" t="n"/>
      <c r="O1056" s="82" t="n"/>
      <c r="P1056" s="82" t="n"/>
      <c r="Q1056" s="82" t="n"/>
      <c r="R1056" s="82" t="n"/>
      <c r="S1056" s="82" t="n"/>
      <c r="T1056" s="82" t="n"/>
      <c r="U1056" s="82" t="n"/>
      <c r="V1056" s="82" t="n"/>
      <c r="W1056" s="82" t="n"/>
      <c r="X1056" s="82" t="n"/>
      <c r="Y1056" s="82" t="n"/>
      <c r="Z1056" s="82" t="n"/>
    </row>
    <row r="1057" ht="15.75" customHeight="1" s="83">
      <c r="A1057" s="82" t="n"/>
      <c r="B1057" s="44" t="n"/>
      <c r="C1057" s="82" t="n"/>
      <c r="D1057" s="82" t="n"/>
      <c r="E1057" s="81" t="n"/>
      <c r="F1057" s="82" t="n"/>
      <c r="G1057" s="82" t="n"/>
      <c r="H1057" s="82" t="n"/>
      <c r="I1057" s="82" t="n"/>
      <c r="J1057" s="82" t="n"/>
      <c r="K1057" s="82" t="n"/>
      <c r="L1057" s="82" t="n"/>
      <c r="M1057" s="82" t="n"/>
      <c r="N1057" s="82" t="n"/>
      <c r="O1057" s="82" t="n"/>
      <c r="P1057" s="82" t="n"/>
      <c r="Q1057" s="82" t="n"/>
      <c r="R1057" s="82" t="n"/>
      <c r="S1057" s="82" t="n"/>
      <c r="T1057" s="82" t="n"/>
      <c r="U1057" s="82" t="n"/>
      <c r="V1057" s="82" t="n"/>
      <c r="W1057" s="82" t="n"/>
      <c r="X1057" s="82" t="n"/>
      <c r="Y1057" s="82" t="n"/>
      <c r="Z1057" s="82" t="n"/>
    </row>
    <row r="1058" ht="15.75" customHeight="1" s="83">
      <c r="A1058" s="82" t="n"/>
      <c r="B1058" s="44" t="n"/>
      <c r="C1058" s="82" t="n"/>
      <c r="D1058" s="82" t="n"/>
      <c r="E1058" s="81" t="n"/>
      <c r="F1058" s="82" t="n"/>
      <c r="G1058" s="82" t="n"/>
      <c r="H1058" s="82" t="n"/>
      <c r="I1058" s="82" t="n"/>
      <c r="J1058" s="82" t="n"/>
      <c r="K1058" s="82" t="n"/>
      <c r="L1058" s="82" t="n"/>
      <c r="M1058" s="82" t="n"/>
      <c r="N1058" s="82" t="n"/>
      <c r="O1058" s="82" t="n"/>
      <c r="P1058" s="82" t="n"/>
      <c r="Q1058" s="82" t="n"/>
      <c r="R1058" s="82" t="n"/>
      <c r="S1058" s="82" t="n"/>
      <c r="T1058" s="82" t="n"/>
      <c r="U1058" s="82" t="n"/>
      <c r="V1058" s="82" t="n"/>
      <c r="W1058" s="82" t="n"/>
      <c r="X1058" s="82" t="n"/>
      <c r="Y1058" s="82" t="n"/>
      <c r="Z1058" s="82" t="n"/>
    </row>
    <row r="1059" ht="15.75" customHeight="1" s="83">
      <c r="A1059" s="82" t="n"/>
      <c r="B1059" s="44" t="n"/>
      <c r="C1059" s="82" t="n"/>
      <c r="D1059" s="82" t="n"/>
      <c r="E1059" s="81" t="n"/>
      <c r="F1059" s="82" t="n"/>
      <c r="G1059" s="82" t="n"/>
      <c r="H1059" s="82" t="n"/>
      <c r="I1059" s="82" t="n"/>
      <c r="J1059" s="82" t="n"/>
      <c r="K1059" s="82" t="n"/>
      <c r="L1059" s="82" t="n"/>
      <c r="M1059" s="82" t="n"/>
      <c r="N1059" s="82" t="n"/>
      <c r="O1059" s="82" t="n"/>
      <c r="P1059" s="82" t="n"/>
      <c r="Q1059" s="82" t="n"/>
      <c r="R1059" s="82" t="n"/>
      <c r="S1059" s="82" t="n"/>
      <c r="T1059" s="82" t="n"/>
      <c r="U1059" s="82" t="n"/>
      <c r="V1059" s="82" t="n"/>
      <c r="W1059" s="82" t="n"/>
      <c r="X1059" s="82" t="n"/>
      <c r="Y1059" s="82" t="n"/>
      <c r="Z1059" s="82" t="n"/>
    </row>
    <row r="1060" ht="15.75" customHeight="1" s="83">
      <c r="A1060" s="82" t="n"/>
      <c r="B1060" s="44" t="n"/>
      <c r="C1060" s="82" t="n"/>
      <c r="D1060" s="82" t="n"/>
      <c r="E1060" s="81" t="n"/>
      <c r="F1060" s="82" t="n"/>
      <c r="G1060" s="82" t="n"/>
      <c r="H1060" s="82" t="n"/>
      <c r="I1060" s="82" t="n"/>
      <c r="J1060" s="82" t="n"/>
      <c r="K1060" s="82" t="n"/>
      <c r="L1060" s="82" t="n"/>
      <c r="M1060" s="82" t="n"/>
      <c r="N1060" s="82" t="n"/>
      <c r="O1060" s="82" t="n"/>
      <c r="P1060" s="82" t="n"/>
      <c r="Q1060" s="82" t="n"/>
      <c r="R1060" s="82" t="n"/>
      <c r="S1060" s="82" t="n"/>
      <c r="T1060" s="82" t="n"/>
      <c r="U1060" s="82" t="n"/>
      <c r="V1060" s="82" t="n"/>
      <c r="W1060" s="82" t="n"/>
      <c r="X1060" s="82" t="n"/>
      <c r="Y1060" s="82" t="n"/>
      <c r="Z1060" s="82" t="n"/>
    </row>
    <row r="1061" ht="15.75" customHeight="1" s="83">
      <c r="A1061" s="82" t="n"/>
      <c r="B1061" s="44" t="n"/>
      <c r="C1061" s="82" t="n"/>
      <c r="D1061" s="82" t="n"/>
      <c r="E1061" s="81" t="n"/>
      <c r="F1061" s="82" t="n"/>
      <c r="G1061" s="82" t="n"/>
      <c r="H1061" s="82" t="n"/>
      <c r="I1061" s="82" t="n"/>
      <c r="J1061" s="82" t="n"/>
      <c r="K1061" s="82" t="n"/>
      <c r="L1061" s="82" t="n"/>
      <c r="M1061" s="82" t="n"/>
      <c r="N1061" s="82" t="n"/>
      <c r="O1061" s="82" t="n"/>
      <c r="P1061" s="82" t="n"/>
      <c r="Q1061" s="82" t="n"/>
      <c r="R1061" s="82" t="n"/>
      <c r="S1061" s="82" t="n"/>
      <c r="T1061" s="82" t="n"/>
      <c r="U1061" s="82" t="n"/>
      <c r="V1061" s="82" t="n"/>
      <c r="W1061" s="82" t="n"/>
      <c r="X1061" s="82" t="n"/>
      <c r="Y1061" s="82" t="n"/>
      <c r="Z1061" s="82" t="n"/>
    </row>
    <row r="1062" ht="15.75" customHeight="1" s="83">
      <c r="A1062" s="82" t="n"/>
      <c r="B1062" s="44" t="n"/>
      <c r="C1062" s="82" t="n"/>
      <c r="D1062" s="82" t="n"/>
      <c r="E1062" s="81" t="n"/>
      <c r="F1062" s="82" t="n"/>
      <c r="G1062" s="82" t="n"/>
      <c r="H1062" s="82" t="n"/>
      <c r="I1062" s="82" t="n"/>
      <c r="J1062" s="82" t="n"/>
      <c r="K1062" s="82" t="n"/>
      <c r="L1062" s="82" t="n"/>
      <c r="M1062" s="82" t="n"/>
      <c r="N1062" s="82" t="n"/>
      <c r="O1062" s="82" t="n"/>
      <c r="P1062" s="82" t="n"/>
      <c r="Q1062" s="82" t="n"/>
      <c r="R1062" s="82" t="n"/>
      <c r="S1062" s="82" t="n"/>
      <c r="T1062" s="82" t="n"/>
      <c r="U1062" s="82" t="n"/>
      <c r="V1062" s="82" t="n"/>
      <c r="W1062" s="82" t="n"/>
      <c r="X1062" s="82" t="n"/>
      <c r="Y1062" s="82" t="n"/>
      <c r="Z1062" s="82" t="n"/>
    </row>
    <row r="1063" ht="15.75" customHeight="1" s="83">
      <c r="A1063" s="82" t="n"/>
      <c r="B1063" s="44" t="n"/>
      <c r="C1063" s="82" t="n"/>
      <c r="D1063" s="82" t="n"/>
      <c r="E1063" s="81" t="n"/>
      <c r="F1063" s="82" t="n"/>
      <c r="G1063" s="82" t="n"/>
      <c r="H1063" s="82" t="n"/>
      <c r="I1063" s="82" t="n"/>
      <c r="J1063" s="82" t="n"/>
      <c r="K1063" s="82" t="n"/>
      <c r="L1063" s="82" t="n"/>
      <c r="M1063" s="82" t="n"/>
      <c r="N1063" s="82" t="n"/>
      <c r="O1063" s="82" t="n"/>
      <c r="P1063" s="82" t="n"/>
      <c r="Q1063" s="82" t="n"/>
      <c r="R1063" s="82" t="n"/>
      <c r="S1063" s="82" t="n"/>
      <c r="T1063" s="82" t="n"/>
      <c r="U1063" s="82" t="n"/>
      <c r="V1063" s="82" t="n"/>
      <c r="W1063" s="82" t="n"/>
      <c r="X1063" s="82" t="n"/>
      <c r="Y1063" s="82" t="n"/>
      <c r="Z1063" s="82" t="n"/>
    </row>
    <row r="1064" ht="15.75" customHeight="1" s="83">
      <c r="A1064" s="82" t="n"/>
      <c r="B1064" s="44" t="n"/>
      <c r="C1064" s="82" t="n"/>
      <c r="D1064" s="82" t="n"/>
      <c r="E1064" s="81" t="n"/>
      <c r="F1064" s="82" t="n"/>
      <c r="G1064" s="82" t="n"/>
      <c r="H1064" s="82" t="n"/>
      <c r="I1064" s="82" t="n"/>
      <c r="J1064" s="82" t="n"/>
      <c r="K1064" s="82" t="n"/>
      <c r="L1064" s="82" t="n"/>
      <c r="M1064" s="82" t="n"/>
      <c r="N1064" s="82" t="n"/>
      <c r="O1064" s="82" t="n"/>
      <c r="P1064" s="82" t="n"/>
      <c r="Q1064" s="82" t="n"/>
      <c r="R1064" s="82" t="n"/>
      <c r="S1064" s="82" t="n"/>
      <c r="T1064" s="82" t="n"/>
      <c r="U1064" s="82" t="n"/>
      <c r="V1064" s="82" t="n"/>
      <c r="W1064" s="82" t="n"/>
      <c r="X1064" s="82" t="n"/>
      <c r="Y1064" s="82" t="n"/>
      <c r="Z1064" s="82" t="n"/>
    </row>
    <row r="1065" ht="15.75" customHeight="1" s="83">
      <c r="A1065" s="82" t="n"/>
      <c r="B1065" s="44" t="n"/>
      <c r="C1065" s="82" t="n"/>
      <c r="D1065" s="82" t="n"/>
      <c r="E1065" s="81" t="n"/>
      <c r="F1065" s="82" t="n"/>
      <c r="G1065" s="82" t="n"/>
      <c r="H1065" s="82" t="n"/>
      <c r="I1065" s="82" t="n"/>
      <c r="J1065" s="82" t="n"/>
      <c r="K1065" s="82" t="n"/>
      <c r="L1065" s="82" t="n"/>
      <c r="M1065" s="82" t="n"/>
      <c r="N1065" s="82" t="n"/>
      <c r="O1065" s="82" t="n"/>
      <c r="P1065" s="82" t="n"/>
      <c r="Q1065" s="82" t="n"/>
      <c r="R1065" s="82" t="n"/>
      <c r="S1065" s="82" t="n"/>
      <c r="T1065" s="82" t="n"/>
      <c r="U1065" s="82" t="n"/>
      <c r="V1065" s="82" t="n"/>
      <c r="W1065" s="82" t="n"/>
      <c r="X1065" s="82" t="n"/>
      <c r="Y1065" s="82" t="n"/>
      <c r="Z1065" s="82" t="n"/>
    </row>
    <row r="1066" ht="15.75" customHeight="1" s="83">
      <c r="A1066" s="82" t="n"/>
      <c r="B1066" s="44" t="n"/>
      <c r="C1066" s="82" t="n"/>
      <c r="D1066" s="82" t="n"/>
      <c r="E1066" s="81" t="n"/>
      <c r="F1066" s="82" t="n"/>
      <c r="G1066" s="82" t="n"/>
      <c r="H1066" s="82" t="n"/>
      <c r="I1066" s="82" t="n"/>
      <c r="J1066" s="82" t="n"/>
      <c r="K1066" s="82" t="n"/>
      <c r="L1066" s="82" t="n"/>
      <c r="M1066" s="82" t="n"/>
      <c r="N1066" s="82" t="n"/>
      <c r="O1066" s="82" t="n"/>
      <c r="P1066" s="82" t="n"/>
      <c r="Q1066" s="82" t="n"/>
      <c r="R1066" s="82" t="n"/>
      <c r="S1066" s="82" t="n"/>
      <c r="T1066" s="82" t="n"/>
      <c r="U1066" s="82" t="n"/>
      <c r="V1066" s="82" t="n"/>
      <c r="W1066" s="82" t="n"/>
      <c r="X1066" s="82" t="n"/>
      <c r="Y1066" s="82" t="n"/>
      <c r="Z1066" s="82" t="n"/>
    </row>
    <row r="1067" ht="15.75" customHeight="1" s="83">
      <c r="A1067" s="82" t="n"/>
      <c r="B1067" s="44" t="n"/>
      <c r="C1067" s="82" t="n"/>
      <c r="D1067" s="82" t="n"/>
      <c r="E1067" s="81" t="n"/>
      <c r="F1067" s="82" t="n"/>
      <c r="G1067" s="82" t="n"/>
      <c r="H1067" s="82" t="n"/>
      <c r="I1067" s="82" t="n"/>
      <c r="J1067" s="82" t="n"/>
      <c r="K1067" s="82" t="n"/>
      <c r="L1067" s="82" t="n"/>
      <c r="M1067" s="82" t="n"/>
      <c r="N1067" s="82" t="n"/>
      <c r="O1067" s="82" t="n"/>
      <c r="P1067" s="82" t="n"/>
      <c r="Q1067" s="82" t="n"/>
      <c r="R1067" s="82" t="n"/>
      <c r="S1067" s="82" t="n"/>
      <c r="T1067" s="82" t="n"/>
      <c r="U1067" s="82" t="n"/>
      <c r="V1067" s="82" t="n"/>
      <c r="W1067" s="82" t="n"/>
      <c r="X1067" s="82" t="n"/>
      <c r="Y1067" s="82" t="n"/>
      <c r="Z1067" s="82" t="n"/>
    </row>
    <row r="1068" ht="15.75" customHeight="1" s="83">
      <c r="A1068" s="82" t="n"/>
      <c r="B1068" s="44" t="n"/>
      <c r="C1068" s="82" t="n"/>
      <c r="D1068" s="82" t="n"/>
      <c r="E1068" s="81" t="n"/>
      <c r="F1068" s="82" t="n"/>
      <c r="G1068" s="82" t="n"/>
      <c r="H1068" s="82" t="n"/>
      <c r="I1068" s="82" t="n"/>
      <c r="J1068" s="82" t="n"/>
      <c r="K1068" s="82" t="n"/>
      <c r="L1068" s="82" t="n"/>
      <c r="M1068" s="82" t="n"/>
      <c r="N1068" s="82" t="n"/>
      <c r="O1068" s="82" t="n"/>
      <c r="P1068" s="82" t="n"/>
      <c r="Q1068" s="82" t="n"/>
      <c r="R1068" s="82" t="n"/>
      <c r="S1068" s="82" t="n"/>
      <c r="T1068" s="82" t="n"/>
      <c r="U1068" s="82" t="n"/>
      <c r="V1068" s="82" t="n"/>
      <c r="W1068" s="82" t="n"/>
      <c r="X1068" s="82" t="n"/>
      <c r="Y1068" s="82" t="n"/>
      <c r="Z1068" s="82" t="n"/>
    </row>
    <row r="1069" ht="15.75" customHeight="1" s="83">
      <c r="A1069" s="82" t="n"/>
      <c r="B1069" s="44" t="n"/>
      <c r="C1069" s="82" t="n"/>
      <c r="D1069" s="82" t="n"/>
      <c r="E1069" s="81" t="n"/>
      <c r="F1069" s="82" t="n"/>
      <c r="G1069" s="82" t="n"/>
      <c r="H1069" s="82" t="n"/>
      <c r="I1069" s="82" t="n"/>
      <c r="J1069" s="82" t="n"/>
      <c r="K1069" s="82" t="n"/>
      <c r="L1069" s="82" t="n"/>
      <c r="M1069" s="82" t="n"/>
      <c r="N1069" s="82" t="n"/>
      <c r="O1069" s="82" t="n"/>
      <c r="P1069" s="82" t="n"/>
      <c r="Q1069" s="82" t="n"/>
      <c r="R1069" s="82" t="n"/>
      <c r="S1069" s="82" t="n"/>
      <c r="T1069" s="82" t="n"/>
      <c r="U1069" s="82" t="n"/>
      <c r="V1069" s="82" t="n"/>
      <c r="W1069" s="82" t="n"/>
      <c r="X1069" s="82" t="n"/>
      <c r="Y1069" s="82" t="n"/>
      <c r="Z1069" s="82" t="n"/>
    </row>
    <row r="1070" ht="15.75" customHeight="1" s="83">
      <c r="A1070" s="82" t="n"/>
      <c r="B1070" s="44" t="n"/>
      <c r="C1070" s="82" t="n"/>
      <c r="D1070" s="82" t="n"/>
      <c r="E1070" s="81" t="n"/>
      <c r="F1070" s="82" t="n"/>
      <c r="G1070" s="82" t="n"/>
      <c r="H1070" s="82" t="n"/>
      <c r="I1070" s="82" t="n"/>
      <c r="J1070" s="82" t="n"/>
      <c r="K1070" s="82" t="n"/>
      <c r="L1070" s="82" t="n"/>
      <c r="M1070" s="82" t="n"/>
      <c r="N1070" s="82" t="n"/>
      <c r="O1070" s="82" t="n"/>
      <c r="P1070" s="82" t="n"/>
      <c r="Q1070" s="82" t="n"/>
      <c r="R1070" s="82" t="n"/>
      <c r="S1070" s="82" t="n"/>
      <c r="T1070" s="82" t="n"/>
      <c r="U1070" s="82" t="n"/>
      <c r="V1070" s="82" t="n"/>
      <c r="W1070" s="82" t="n"/>
      <c r="X1070" s="82" t="n"/>
      <c r="Y1070" s="82" t="n"/>
      <c r="Z1070" s="82" t="n"/>
    </row>
    <row r="1071" ht="15.75" customHeight="1" s="83">
      <c r="A1071" s="82" t="n"/>
      <c r="B1071" s="44" t="n"/>
      <c r="C1071" s="82" t="n"/>
      <c r="D1071" s="82" t="n"/>
      <c r="E1071" s="81" t="n"/>
      <c r="F1071" s="82" t="n"/>
      <c r="G1071" s="82" t="n"/>
      <c r="H1071" s="82" t="n"/>
      <c r="I1071" s="82" t="n"/>
      <c r="J1071" s="82" t="n"/>
      <c r="K1071" s="82" t="n"/>
      <c r="L1071" s="82" t="n"/>
      <c r="M1071" s="82" t="n"/>
      <c r="N1071" s="82" t="n"/>
      <c r="O1071" s="82" t="n"/>
      <c r="P1071" s="82" t="n"/>
      <c r="Q1071" s="82" t="n"/>
      <c r="R1071" s="82" t="n"/>
      <c r="S1071" s="82" t="n"/>
      <c r="T1071" s="82" t="n"/>
      <c r="U1071" s="82" t="n"/>
      <c r="V1071" s="82" t="n"/>
      <c r="W1071" s="82" t="n"/>
      <c r="X1071" s="82" t="n"/>
      <c r="Y1071" s="82" t="n"/>
      <c r="Z1071" s="82" t="n"/>
    </row>
    <row r="1072" ht="15.75" customHeight="1" s="83">
      <c r="A1072" s="82" t="n"/>
      <c r="B1072" s="44" t="n"/>
      <c r="C1072" s="82" t="n"/>
      <c r="D1072" s="82" t="n"/>
      <c r="E1072" s="81" t="n"/>
      <c r="F1072" s="82" t="n"/>
      <c r="G1072" s="82" t="n"/>
      <c r="H1072" s="82" t="n"/>
      <c r="I1072" s="82" t="n"/>
      <c r="J1072" s="82" t="n"/>
      <c r="K1072" s="82" t="n"/>
      <c r="L1072" s="82" t="n"/>
      <c r="M1072" s="82" t="n"/>
      <c r="N1072" s="82" t="n"/>
      <c r="O1072" s="82" t="n"/>
      <c r="P1072" s="82" t="n"/>
      <c r="Q1072" s="82" t="n"/>
      <c r="R1072" s="82" t="n"/>
      <c r="S1072" s="82" t="n"/>
      <c r="T1072" s="82" t="n"/>
      <c r="U1072" s="82" t="n"/>
      <c r="V1072" s="82" t="n"/>
      <c r="W1072" s="82" t="n"/>
      <c r="X1072" s="82" t="n"/>
      <c r="Y1072" s="82" t="n"/>
      <c r="Z1072" s="82" t="n"/>
    </row>
    <row r="1073" ht="15.75" customHeight="1" s="83">
      <c r="A1073" s="82" t="n"/>
      <c r="B1073" s="44" t="n"/>
      <c r="C1073" s="82" t="n"/>
      <c r="D1073" s="82" t="n"/>
      <c r="E1073" s="81" t="n"/>
      <c r="F1073" s="82" t="n"/>
      <c r="G1073" s="82" t="n"/>
      <c r="H1073" s="82" t="n"/>
      <c r="I1073" s="82" t="n"/>
      <c r="J1073" s="82" t="n"/>
      <c r="K1073" s="82" t="n"/>
      <c r="L1073" s="82" t="n"/>
      <c r="M1073" s="82" t="n"/>
      <c r="N1073" s="82" t="n"/>
      <c r="O1073" s="82" t="n"/>
      <c r="P1073" s="82" t="n"/>
      <c r="Q1073" s="82" t="n"/>
      <c r="R1073" s="82" t="n"/>
      <c r="S1073" s="82" t="n"/>
      <c r="T1073" s="82" t="n"/>
      <c r="U1073" s="82" t="n"/>
      <c r="V1073" s="82" t="n"/>
      <c r="W1073" s="82" t="n"/>
      <c r="X1073" s="82" t="n"/>
      <c r="Y1073" s="82" t="n"/>
      <c r="Z1073" s="82" t="n"/>
    </row>
    <row r="1074" ht="15.75" customHeight="1" s="83">
      <c r="A1074" s="82" t="n"/>
      <c r="B1074" s="44" t="n"/>
      <c r="C1074" s="82" t="n"/>
      <c r="D1074" s="82" t="n"/>
      <c r="E1074" s="81" t="n"/>
      <c r="F1074" s="82" t="n"/>
      <c r="G1074" s="82" t="n"/>
      <c r="H1074" s="82" t="n"/>
      <c r="I1074" s="82" t="n"/>
      <c r="J1074" s="82" t="n"/>
      <c r="K1074" s="82" t="n"/>
      <c r="L1074" s="82" t="n"/>
      <c r="M1074" s="82" t="n"/>
      <c r="N1074" s="82" t="n"/>
      <c r="O1074" s="82" t="n"/>
      <c r="P1074" s="82" t="n"/>
      <c r="Q1074" s="82" t="n"/>
      <c r="R1074" s="82" t="n"/>
      <c r="S1074" s="82" t="n"/>
      <c r="T1074" s="82" t="n"/>
      <c r="U1074" s="82" t="n"/>
      <c r="V1074" s="82" t="n"/>
      <c r="W1074" s="82" t="n"/>
      <c r="X1074" s="82" t="n"/>
      <c r="Y1074" s="82" t="n"/>
      <c r="Z1074" s="82" t="n"/>
    </row>
    <row r="1075" ht="15.75" customHeight="1" s="83">
      <c r="A1075" s="82" t="n"/>
      <c r="B1075" s="44" t="n"/>
      <c r="C1075" s="82" t="n"/>
      <c r="D1075" s="82" t="n"/>
      <c r="E1075" s="81" t="n"/>
      <c r="F1075" s="82" t="n"/>
      <c r="G1075" s="82" t="n"/>
      <c r="H1075" s="82" t="n"/>
      <c r="I1075" s="82" t="n"/>
      <c r="J1075" s="82" t="n"/>
      <c r="K1075" s="82" t="n"/>
      <c r="L1075" s="82" t="n"/>
      <c r="M1075" s="82" t="n"/>
      <c r="N1075" s="82" t="n"/>
      <c r="O1075" s="82" t="n"/>
      <c r="P1075" s="82" t="n"/>
      <c r="Q1075" s="82" t="n"/>
      <c r="R1075" s="82" t="n"/>
      <c r="S1075" s="82" t="n"/>
      <c r="T1075" s="82" t="n"/>
      <c r="U1075" s="82" t="n"/>
      <c r="V1075" s="82" t="n"/>
      <c r="W1075" s="82" t="n"/>
      <c r="X1075" s="82" t="n"/>
      <c r="Y1075" s="82" t="n"/>
      <c r="Z1075" s="82" t="n"/>
    </row>
    <row r="1076" ht="15.75" customHeight="1" s="83">
      <c r="A1076" s="82" t="n"/>
      <c r="B1076" s="44" t="n"/>
      <c r="C1076" s="82" t="n"/>
      <c r="D1076" s="82" t="n"/>
      <c r="E1076" s="81" t="n"/>
      <c r="F1076" s="82" t="n"/>
      <c r="G1076" s="82" t="n"/>
      <c r="H1076" s="82" t="n"/>
      <c r="I1076" s="82" t="n"/>
      <c r="J1076" s="82" t="n"/>
      <c r="K1076" s="82" t="n"/>
      <c r="L1076" s="82" t="n"/>
      <c r="M1076" s="82" t="n"/>
      <c r="N1076" s="82" t="n"/>
      <c r="O1076" s="82" t="n"/>
      <c r="P1076" s="82" t="n"/>
      <c r="Q1076" s="82" t="n"/>
      <c r="R1076" s="82" t="n"/>
      <c r="S1076" s="82" t="n"/>
      <c r="T1076" s="82" t="n"/>
      <c r="U1076" s="82" t="n"/>
      <c r="V1076" s="82" t="n"/>
      <c r="W1076" s="82" t="n"/>
      <c r="X1076" s="82" t="n"/>
      <c r="Y1076" s="82" t="n"/>
      <c r="Z1076" s="82" t="n"/>
    </row>
    <row r="1077" ht="15.75" customHeight="1" s="83">
      <c r="A1077" s="82" t="n"/>
      <c r="B1077" s="44" t="n"/>
      <c r="C1077" s="82" t="n"/>
      <c r="D1077" s="82" t="n"/>
      <c r="E1077" s="81" t="n"/>
      <c r="F1077" s="82" t="n"/>
      <c r="G1077" s="82" t="n"/>
      <c r="H1077" s="82" t="n"/>
      <c r="I1077" s="82" t="n"/>
      <c r="J1077" s="82" t="n"/>
      <c r="K1077" s="82" t="n"/>
      <c r="L1077" s="82" t="n"/>
      <c r="M1077" s="82" t="n"/>
      <c r="N1077" s="82" t="n"/>
      <c r="O1077" s="82" t="n"/>
      <c r="P1077" s="82" t="n"/>
      <c r="Q1077" s="82" t="n"/>
      <c r="R1077" s="82" t="n"/>
      <c r="S1077" s="82" t="n"/>
      <c r="T1077" s="82" t="n"/>
      <c r="U1077" s="82" t="n"/>
      <c r="V1077" s="82" t="n"/>
      <c r="W1077" s="82" t="n"/>
      <c r="X1077" s="82" t="n"/>
      <c r="Y1077" s="82" t="n"/>
      <c r="Z1077" s="82" t="n"/>
    </row>
    <row r="1078" ht="15.75" customHeight="1" s="83">
      <c r="A1078" s="82" t="n"/>
      <c r="B1078" s="44" t="n"/>
      <c r="C1078" s="82" t="n"/>
      <c r="D1078" s="82" t="n"/>
      <c r="E1078" s="81" t="n"/>
      <c r="F1078" s="82" t="n"/>
      <c r="G1078" s="82" t="n"/>
      <c r="H1078" s="82" t="n"/>
      <c r="I1078" s="82" t="n"/>
      <c r="J1078" s="82" t="n"/>
      <c r="K1078" s="82" t="n"/>
      <c r="L1078" s="82" t="n"/>
      <c r="M1078" s="82" t="n"/>
      <c r="N1078" s="82" t="n"/>
      <c r="O1078" s="82" t="n"/>
      <c r="P1078" s="82" t="n"/>
      <c r="Q1078" s="82" t="n"/>
      <c r="R1078" s="82" t="n"/>
      <c r="S1078" s="82" t="n"/>
      <c r="T1078" s="82" t="n"/>
      <c r="U1078" s="82" t="n"/>
      <c r="V1078" s="82" t="n"/>
      <c r="W1078" s="82" t="n"/>
      <c r="X1078" s="82" t="n"/>
      <c r="Y1078" s="82" t="n"/>
      <c r="Z1078" s="82" t="n"/>
    </row>
    <row r="1079" ht="15.75" customHeight="1" s="83">
      <c r="A1079" s="82" t="n"/>
      <c r="B1079" s="44" t="n"/>
      <c r="C1079" s="82" t="n"/>
      <c r="D1079" s="82" t="n"/>
      <c r="E1079" s="81" t="n"/>
      <c r="F1079" s="82" t="n"/>
      <c r="G1079" s="82" t="n"/>
      <c r="H1079" s="82" t="n"/>
      <c r="I1079" s="82" t="n"/>
      <c r="J1079" s="82" t="n"/>
      <c r="K1079" s="82" t="n"/>
      <c r="L1079" s="82" t="n"/>
      <c r="M1079" s="82" t="n"/>
      <c r="N1079" s="82" t="n"/>
      <c r="O1079" s="82" t="n"/>
      <c r="P1079" s="82" t="n"/>
      <c r="Q1079" s="82" t="n"/>
      <c r="R1079" s="82" t="n"/>
      <c r="S1079" s="82" t="n"/>
      <c r="T1079" s="82" t="n"/>
      <c r="U1079" s="82" t="n"/>
      <c r="V1079" s="82" t="n"/>
      <c r="W1079" s="82" t="n"/>
      <c r="X1079" s="82" t="n"/>
      <c r="Y1079" s="82" t="n"/>
      <c r="Z1079" s="82" t="n"/>
    </row>
    <row r="1080" ht="15.75" customHeight="1" s="83">
      <c r="A1080" s="82" t="n"/>
      <c r="B1080" s="44" t="n"/>
      <c r="C1080" s="82" t="n"/>
      <c r="D1080" s="82" t="n"/>
      <c r="E1080" s="81" t="n"/>
      <c r="F1080" s="82" t="n"/>
      <c r="G1080" s="82" t="n"/>
      <c r="H1080" s="82" t="n"/>
      <c r="I1080" s="82" t="n"/>
      <c r="J1080" s="82" t="n"/>
      <c r="K1080" s="82" t="n"/>
      <c r="L1080" s="82" t="n"/>
      <c r="M1080" s="82" t="n"/>
      <c r="N1080" s="82" t="n"/>
      <c r="O1080" s="82" t="n"/>
      <c r="P1080" s="82" t="n"/>
      <c r="Q1080" s="82" t="n"/>
      <c r="R1080" s="82" t="n"/>
      <c r="S1080" s="82" t="n"/>
      <c r="T1080" s="82" t="n"/>
      <c r="U1080" s="82" t="n"/>
      <c r="V1080" s="82" t="n"/>
      <c r="W1080" s="82" t="n"/>
      <c r="X1080" s="82" t="n"/>
      <c r="Y1080" s="82" t="n"/>
      <c r="Z1080" s="82" t="n"/>
    </row>
    <row r="1081" ht="15.75" customHeight="1" s="83">
      <c r="A1081" s="82" t="n"/>
      <c r="B1081" s="44" t="n"/>
      <c r="C1081" s="82" t="n"/>
      <c r="D1081" s="82" t="n"/>
      <c r="E1081" s="81" t="n"/>
      <c r="F1081" s="82" t="n"/>
      <c r="G1081" s="82" t="n"/>
      <c r="H1081" s="82" t="n"/>
      <c r="I1081" s="82" t="n"/>
      <c r="J1081" s="82" t="n"/>
      <c r="K1081" s="82" t="n"/>
      <c r="L1081" s="82" t="n"/>
      <c r="M1081" s="82" t="n"/>
      <c r="N1081" s="82" t="n"/>
      <c r="O1081" s="82" t="n"/>
      <c r="P1081" s="82" t="n"/>
      <c r="Q1081" s="82" t="n"/>
      <c r="R1081" s="82" t="n"/>
      <c r="S1081" s="82" t="n"/>
      <c r="T1081" s="82" t="n"/>
      <c r="U1081" s="82" t="n"/>
      <c r="V1081" s="82" t="n"/>
      <c r="W1081" s="82" t="n"/>
      <c r="X1081" s="82" t="n"/>
      <c r="Y1081" s="82" t="n"/>
      <c r="Z1081" s="82" t="n"/>
    </row>
    <row r="1082" ht="15.75" customHeight="1" s="83">
      <c r="A1082" s="82" t="n"/>
      <c r="B1082" s="44" t="n"/>
      <c r="C1082" s="82" t="n"/>
      <c r="D1082" s="82" t="n"/>
      <c r="E1082" s="81" t="n"/>
      <c r="F1082" s="82" t="n"/>
      <c r="G1082" s="82" t="n"/>
      <c r="H1082" s="82" t="n"/>
      <c r="I1082" s="82" t="n"/>
      <c r="J1082" s="82" t="n"/>
      <c r="K1082" s="82" t="n"/>
      <c r="L1082" s="82" t="n"/>
      <c r="M1082" s="82" t="n"/>
      <c r="N1082" s="82" t="n"/>
      <c r="O1082" s="82" t="n"/>
      <c r="P1082" s="82" t="n"/>
      <c r="Q1082" s="82" t="n"/>
      <c r="R1082" s="82" t="n"/>
      <c r="S1082" s="82" t="n"/>
      <c r="T1082" s="82" t="n"/>
      <c r="U1082" s="82" t="n"/>
      <c r="V1082" s="82" t="n"/>
      <c r="W1082" s="82" t="n"/>
      <c r="X1082" s="82" t="n"/>
      <c r="Y1082" s="82" t="n"/>
      <c r="Z1082" s="82" t="n"/>
    </row>
    <row r="1083" ht="15.75" customHeight="1" s="83">
      <c r="A1083" s="82" t="n"/>
      <c r="B1083" s="44" t="n"/>
      <c r="C1083" s="82" t="n"/>
      <c r="D1083" s="82" t="n"/>
      <c r="E1083" s="81" t="n"/>
      <c r="F1083" s="82" t="n"/>
      <c r="G1083" s="82" t="n"/>
      <c r="H1083" s="82" t="n"/>
      <c r="I1083" s="82" t="n"/>
      <c r="J1083" s="82" t="n"/>
      <c r="K1083" s="82" t="n"/>
      <c r="L1083" s="82" t="n"/>
      <c r="M1083" s="82" t="n"/>
      <c r="N1083" s="82" t="n"/>
      <c r="O1083" s="82" t="n"/>
      <c r="P1083" s="82" t="n"/>
      <c r="Q1083" s="82" t="n"/>
      <c r="R1083" s="82" t="n"/>
      <c r="S1083" s="82" t="n"/>
      <c r="T1083" s="82" t="n"/>
      <c r="U1083" s="82" t="n"/>
      <c r="V1083" s="82" t="n"/>
      <c r="W1083" s="82" t="n"/>
      <c r="X1083" s="82" t="n"/>
      <c r="Y1083" s="82" t="n"/>
      <c r="Z1083" s="82" t="n"/>
    </row>
    <row r="1084" ht="15.75" customHeight="1" s="83">
      <c r="A1084" s="82" t="n"/>
      <c r="B1084" s="44" t="n"/>
      <c r="C1084" s="82" t="n"/>
      <c r="D1084" s="82" t="n"/>
      <c r="E1084" s="81" t="n"/>
      <c r="F1084" s="82" t="n"/>
      <c r="G1084" s="82" t="n"/>
      <c r="H1084" s="82" t="n"/>
      <c r="I1084" s="82" t="n"/>
      <c r="J1084" s="82" t="n"/>
      <c r="K1084" s="82" t="n"/>
      <c r="L1084" s="82" t="n"/>
      <c r="M1084" s="82" t="n"/>
      <c r="N1084" s="82" t="n"/>
      <c r="O1084" s="82" t="n"/>
      <c r="P1084" s="82" t="n"/>
      <c r="Q1084" s="82" t="n"/>
      <c r="R1084" s="82" t="n"/>
      <c r="S1084" s="82" t="n"/>
      <c r="T1084" s="82" t="n"/>
      <c r="U1084" s="82" t="n"/>
      <c r="V1084" s="82" t="n"/>
      <c r="W1084" s="82" t="n"/>
      <c r="X1084" s="82" t="n"/>
      <c r="Y1084" s="82" t="n"/>
      <c r="Z1084" s="82" t="n"/>
    </row>
    <row r="1085" ht="15.75" customHeight="1" s="83">
      <c r="A1085" s="82" t="n"/>
      <c r="B1085" s="44" t="n"/>
      <c r="C1085" s="82" t="n"/>
      <c r="D1085" s="82" t="n"/>
      <c r="E1085" s="81" t="n"/>
      <c r="F1085" s="82" t="n"/>
      <c r="G1085" s="82" t="n"/>
      <c r="H1085" s="82" t="n"/>
      <c r="I1085" s="82" t="n"/>
      <c r="J1085" s="82" t="n"/>
      <c r="K1085" s="82" t="n"/>
      <c r="L1085" s="82" t="n"/>
      <c r="M1085" s="82" t="n"/>
      <c r="N1085" s="82" t="n"/>
      <c r="O1085" s="82" t="n"/>
      <c r="P1085" s="82" t="n"/>
      <c r="Q1085" s="82" t="n"/>
      <c r="R1085" s="82" t="n"/>
      <c r="S1085" s="82" t="n"/>
      <c r="T1085" s="82" t="n"/>
      <c r="U1085" s="82" t="n"/>
      <c r="V1085" s="82" t="n"/>
      <c r="W1085" s="82" t="n"/>
      <c r="X1085" s="82" t="n"/>
      <c r="Y1085" s="82" t="n"/>
      <c r="Z1085" s="82" t="n"/>
    </row>
    <row r="1086" ht="15.75" customHeight="1" s="83">
      <c r="A1086" s="82" t="n"/>
      <c r="B1086" s="44" t="n"/>
      <c r="C1086" s="82" t="n"/>
      <c r="D1086" s="82" t="n"/>
      <c r="E1086" s="81" t="n"/>
      <c r="F1086" s="82" t="n"/>
      <c r="G1086" s="82" t="n"/>
      <c r="H1086" s="82" t="n"/>
      <c r="I1086" s="82" t="n"/>
      <c r="J1086" s="82" t="n"/>
      <c r="K1086" s="82" t="n"/>
      <c r="L1086" s="82" t="n"/>
      <c r="M1086" s="82" t="n"/>
      <c r="N1086" s="82" t="n"/>
      <c r="O1086" s="82" t="n"/>
      <c r="P1086" s="82" t="n"/>
      <c r="Q1086" s="82" t="n"/>
      <c r="R1086" s="82" t="n"/>
      <c r="S1086" s="82" t="n"/>
      <c r="T1086" s="82" t="n"/>
      <c r="U1086" s="82" t="n"/>
      <c r="V1086" s="82" t="n"/>
      <c r="W1086" s="82" t="n"/>
      <c r="X1086" s="82" t="n"/>
      <c r="Y1086" s="82" t="n"/>
      <c r="Z1086" s="82" t="n"/>
    </row>
    <row r="1087" ht="15.75" customHeight="1" s="83">
      <c r="A1087" s="82" t="n"/>
      <c r="B1087" s="44" t="n"/>
      <c r="C1087" s="82" t="n"/>
      <c r="D1087" s="82" t="n"/>
      <c r="E1087" s="81" t="n"/>
      <c r="F1087" s="82" t="n"/>
      <c r="G1087" s="82" t="n"/>
      <c r="H1087" s="82" t="n"/>
      <c r="I1087" s="82" t="n"/>
      <c r="J1087" s="82" t="n"/>
      <c r="K1087" s="82" t="n"/>
      <c r="L1087" s="82" t="n"/>
      <c r="M1087" s="82" t="n"/>
      <c r="N1087" s="82" t="n"/>
      <c r="O1087" s="82" t="n"/>
      <c r="P1087" s="82" t="n"/>
      <c r="Q1087" s="82" t="n"/>
      <c r="R1087" s="82" t="n"/>
      <c r="S1087" s="82" t="n"/>
      <c r="T1087" s="82" t="n"/>
      <c r="U1087" s="82" t="n"/>
      <c r="V1087" s="82" t="n"/>
      <c r="W1087" s="82" t="n"/>
      <c r="X1087" s="82" t="n"/>
      <c r="Y1087" s="82" t="n"/>
      <c r="Z1087" s="82" t="n"/>
    </row>
    <row r="1088" ht="15.75" customHeight="1" s="83">
      <c r="A1088" s="82" t="n"/>
      <c r="B1088" s="44" t="n"/>
      <c r="C1088" s="82" t="n"/>
      <c r="D1088" s="82" t="n"/>
      <c r="E1088" s="81" t="n"/>
      <c r="F1088" s="82" t="n"/>
      <c r="G1088" s="82" t="n"/>
      <c r="H1088" s="82" t="n"/>
      <c r="I1088" s="82" t="n"/>
      <c r="J1088" s="82" t="n"/>
      <c r="K1088" s="82" t="n"/>
      <c r="L1088" s="82" t="n"/>
      <c r="M1088" s="82" t="n"/>
      <c r="N1088" s="82" t="n"/>
      <c r="O1088" s="82" t="n"/>
      <c r="P1088" s="82" t="n"/>
      <c r="Q1088" s="82" t="n"/>
      <c r="R1088" s="82" t="n"/>
      <c r="S1088" s="82" t="n"/>
      <c r="T1088" s="82" t="n"/>
      <c r="U1088" s="82" t="n"/>
      <c r="V1088" s="82" t="n"/>
      <c r="W1088" s="82" t="n"/>
      <c r="X1088" s="82" t="n"/>
      <c r="Y1088" s="82" t="n"/>
      <c r="Z1088" s="82" t="n"/>
    </row>
    <row r="1089" ht="15.75" customHeight="1" s="83">
      <c r="A1089" s="82" t="n"/>
      <c r="B1089" s="44" t="n"/>
      <c r="C1089" s="82" t="n"/>
      <c r="D1089" s="82" t="n"/>
      <c r="E1089" s="81" t="n"/>
      <c r="F1089" s="82" t="n"/>
      <c r="G1089" s="82" t="n"/>
      <c r="H1089" s="82" t="n"/>
      <c r="I1089" s="82" t="n"/>
      <c r="J1089" s="82" t="n"/>
      <c r="K1089" s="82" t="n"/>
      <c r="L1089" s="82" t="n"/>
      <c r="M1089" s="82" t="n"/>
      <c r="N1089" s="82" t="n"/>
      <c r="O1089" s="82" t="n"/>
      <c r="P1089" s="82" t="n"/>
      <c r="Q1089" s="82" t="n"/>
      <c r="R1089" s="82" t="n"/>
      <c r="S1089" s="82" t="n"/>
      <c r="T1089" s="82" t="n"/>
      <c r="U1089" s="82" t="n"/>
      <c r="V1089" s="82" t="n"/>
      <c r="W1089" s="82" t="n"/>
      <c r="X1089" s="82" t="n"/>
      <c r="Y1089" s="82" t="n"/>
      <c r="Z1089" s="82" t="n"/>
    </row>
    <row r="1090" ht="15.75" customHeight="1" s="83">
      <c r="A1090" s="82" t="n"/>
      <c r="B1090" s="44" t="n"/>
      <c r="C1090" s="82" t="n"/>
      <c r="D1090" s="82" t="n"/>
      <c r="E1090" s="81" t="n"/>
      <c r="F1090" s="82" t="n"/>
      <c r="G1090" s="82" t="n"/>
      <c r="H1090" s="82" t="n"/>
      <c r="I1090" s="82" t="n"/>
      <c r="J1090" s="82" t="n"/>
      <c r="K1090" s="82" t="n"/>
      <c r="L1090" s="82" t="n"/>
      <c r="M1090" s="82" t="n"/>
      <c r="N1090" s="82" t="n"/>
      <c r="O1090" s="82" t="n"/>
      <c r="P1090" s="82" t="n"/>
      <c r="Q1090" s="82" t="n"/>
      <c r="R1090" s="82" t="n"/>
      <c r="S1090" s="82" t="n"/>
      <c r="T1090" s="82" t="n"/>
      <c r="U1090" s="82" t="n"/>
      <c r="V1090" s="82" t="n"/>
      <c r="W1090" s="82" t="n"/>
      <c r="X1090" s="82" t="n"/>
      <c r="Y1090" s="82" t="n"/>
      <c r="Z1090" s="82" t="n"/>
    </row>
    <row r="1091" ht="15.75" customHeight="1" s="83">
      <c r="A1091" s="82" t="n"/>
      <c r="B1091" s="44" t="n"/>
      <c r="C1091" s="82" t="n"/>
      <c r="D1091" s="82" t="n"/>
      <c r="E1091" s="81" t="n"/>
      <c r="F1091" s="82" t="n"/>
      <c r="G1091" s="82" t="n"/>
      <c r="H1091" s="82" t="n"/>
      <c r="I1091" s="82" t="n"/>
      <c r="J1091" s="82" t="n"/>
      <c r="K1091" s="82" t="n"/>
      <c r="L1091" s="82" t="n"/>
      <c r="M1091" s="82" t="n"/>
      <c r="N1091" s="82" t="n"/>
      <c r="O1091" s="82" t="n"/>
      <c r="P1091" s="82" t="n"/>
      <c r="Q1091" s="82" t="n"/>
      <c r="R1091" s="82" t="n"/>
      <c r="S1091" s="82" t="n"/>
      <c r="T1091" s="82" t="n"/>
      <c r="U1091" s="82" t="n"/>
      <c r="V1091" s="82" t="n"/>
      <c r="W1091" s="82" t="n"/>
      <c r="X1091" s="82" t="n"/>
      <c r="Y1091" s="82" t="n"/>
      <c r="Z1091" s="82" t="n"/>
    </row>
    <row r="1092" ht="15.75" customHeight="1" s="83">
      <c r="A1092" s="82" t="n"/>
      <c r="B1092" s="44" t="n"/>
      <c r="C1092" s="82" t="n"/>
      <c r="D1092" s="82" t="n"/>
      <c r="E1092" s="81" t="n"/>
      <c r="F1092" s="82" t="n"/>
      <c r="G1092" s="82" t="n"/>
      <c r="H1092" s="82" t="n"/>
      <c r="I1092" s="82" t="n"/>
      <c r="J1092" s="82" t="n"/>
      <c r="K1092" s="82" t="n"/>
      <c r="L1092" s="82" t="n"/>
      <c r="M1092" s="82" t="n"/>
      <c r="N1092" s="82" t="n"/>
      <c r="O1092" s="82" t="n"/>
      <c r="P1092" s="82" t="n"/>
      <c r="Q1092" s="82" t="n"/>
      <c r="R1092" s="82" t="n"/>
      <c r="S1092" s="82" t="n"/>
      <c r="T1092" s="82" t="n"/>
      <c r="U1092" s="82" t="n"/>
      <c r="V1092" s="82" t="n"/>
      <c r="W1092" s="82" t="n"/>
      <c r="X1092" s="82" t="n"/>
      <c r="Y1092" s="82" t="n"/>
      <c r="Z1092" s="82" t="n"/>
    </row>
    <row r="1093" ht="15.75" customHeight="1" s="83">
      <c r="A1093" s="82" t="n"/>
      <c r="B1093" s="44" t="n"/>
      <c r="C1093" s="82" t="n"/>
      <c r="D1093" s="82" t="n"/>
      <c r="E1093" s="81" t="n"/>
      <c r="F1093" s="82" t="n"/>
      <c r="G1093" s="82" t="n"/>
      <c r="H1093" s="82" t="n"/>
      <c r="I1093" s="82" t="n"/>
      <c r="J1093" s="82" t="n"/>
      <c r="K1093" s="82" t="n"/>
      <c r="L1093" s="82" t="n"/>
      <c r="M1093" s="82" t="n"/>
      <c r="N1093" s="82" t="n"/>
      <c r="O1093" s="82" t="n"/>
      <c r="P1093" s="82" t="n"/>
      <c r="Q1093" s="82" t="n"/>
      <c r="R1093" s="82" t="n"/>
      <c r="S1093" s="82" t="n"/>
      <c r="T1093" s="82" t="n"/>
      <c r="U1093" s="82" t="n"/>
      <c r="V1093" s="82" t="n"/>
      <c r="W1093" s="82" t="n"/>
      <c r="X1093" s="82" t="n"/>
      <c r="Y1093" s="82" t="n"/>
      <c r="Z1093" s="82" t="n"/>
    </row>
    <row r="1094" ht="15.75" customHeight="1" s="83">
      <c r="A1094" s="82" t="n"/>
      <c r="B1094" s="44" t="n"/>
      <c r="C1094" s="82" t="n"/>
      <c r="D1094" s="82" t="n"/>
      <c r="E1094" s="81" t="n"/>
      <c r="F1094" s="82" t="n"/>
      <c r="G1094" s="82" t="n"/>
      <c r="H1094" s="82" t="n"/>
      <c r="I1094" s="82" t="n"/>
      <c r="J1094" s="82" t="n"/>
      <c r="K1094" s="82" t="n"/>
      <c r="L1094" s="82" t="n"/>
      <c r="M1094" s="82" t="n"/>
      <c r="N1094" s="82" t="n"/>
      <c r="O1094" s="82" t="n"/>
      <c r="P1094" s="82" t="n"/>
      <c r="Q1094" s="82" t="n"/>
      <c r="R1094" s="82" t="n"/>
      <c r="S1094" s="82" t="n"/>
      <c r="T1094" s="82" t="n"/>
      <c r="U1094" s="82" t="n"/>
      <c r="V1094" s="82" t="n"/>
      <c r="W1094" s="82" t="n"/>
      <c r="X1094" s="82" t="n"/>
      <c r="Y1094" s="82" t="n"/>
      <c r="Z1094" s="82" t="n"/>
    </row>
    <row r="1095" ht="15.75" customHeight="1" s="83">
      <c r="A1095" s="82" t="n"/>
      <c r="B1095" s="44" t="n"/>
      <c r="C1095" s="82" t="n"/>
      <c r="D1095" s="82" t="n"/>
      <c r="E1095" s="81" t="n"/>
      <c r="F1095" s="82" t="n"/>
      <c r="G1095" s="82" t="n"/>
      <c r="H1095" s="82" t="n"/>
      <c r="I1095" s="82" t="n"/>
      <c r="J1095" s="82" t="n"/>
      <c r="K1095" s="82" t="n"/>
      <c r="L1095" s="82" t="n"/>
      <c r="M1095" s="82" t="n"/>
      <c r="N1095" s="82" t="n"/>
      <c r="O1095" s="82" t="n"/>
      <c r="P1095" s="82" t="n"/>
      <c r="Q1095" s="82" t="n"/>
      <c r="R1095" s="82" t="n"/>
      <c r="S1095" s="82" t="n"/>
      <c r="T1095" s="82" t="n"/>
      <c r="U1095" s="82" t="n"/>
      <c r="V1095" s="82" t="n"/>
      <c r="W1095" s="82" t="n"/>
      <c r="X1095" s="82" t="n"/>
      <c r="Y1095" s="82" t="n"/>
      <c r="Z1095" s="82" t="n"/>
    </row>
    <row r="1096" ht="15.75" customHeight="1" s="83">
      <c r="A1096" s="82" t="n"/>
      <c r="B1096" s="44" t="n"/>
      <c r="C1096" s="82" t="n"/>
      <c r="D1096" s="82" t="n"/>
      <c r="E1096" s="81" t="n"/>
      <c r="F1096" s="82" t="n"/>
      <c r="G1096" s="82" t="n"/>
      <c r="H1096" s="82" t="n"/>
      <c r="I1096" s="82" t="n"/>
      <c r="J1096" s="82" t="n"/>
      <c r="K1096" s="82" t="n"/>
      <c r="L1096" s="82" t="n"/>
      <c r="M1096" s="82" t="n"/>
      <c r="N1096" s="82" t="n"/>
      <c r="O1096" s="82" t="n"/>
      <c r="P1096" s="82" t="n"/>
      <c r="Q1096" s="82" t="n"/>
      <c r="R1096" s="82" t="n"/>
      <c r="S1096" s="82" t="n"/>
      <c r="T1096" s="82" t="n"/>
      <c r="U1096" s="82" t="n"/>
      <c r="V1096" s="82" t="n"/>
      <c r="W1096" s="82" t="n"/>
      <c r="X1096" s="82" t="n"/>
      <c r="Y1096" s="82" t="n"/>
      <c r="Z1096" s="82" t="n"/>
    </row>
    <row r="1097" ht="15.75" customHeight="1" s="83">
      <c r="A1097" s="82" t="n"/>
      <c r="B1097" s="44" t="n"/>
      <c r="C1097" s="82" t="n"/>
      <c r="D1097" s="82" t="n"/>
      <c r="E1097" s="81" t="n"/>
      <c r="F1097" s="82" t="n"/>
      <c r="G1097" s="82" t="n"/>
      <c r="H1097" s="82" t="n"/>
      <c r="I1097" s="82" t="n"/>
      <c r="J1097" s="82" t="n"/>
      <c r="K1097" s="82" t="n"/>
      <c r="L1097" s="82" t="n"/>
      <c r="M1097" s="82" t="n"/>
      <c r="N1097" s="82" t="n"/>
      <c r="O1097" s="82" t="n"/>
      <c r="P1097" s="82" t="n"/>
      <c r="Q1097" s="82" t="n"/>
      <c r="R1097" s="82" t="n"/>
      <c r="S1097" s="82" t="n"/>
      <c r="T1097" s="82" t="n"/>
      <c r="U1097" s="82" t="n"/>
      <c r="V1097" s="82" t="n"/>
      <c r="W1097" s="82" t="n"/>
      <c r="X1097" s="82" t="n"/>
      <c r="Y1097" s="82" t="n"/>
      <c r="Z1097" s="82" t="n"/>
    </row>
    <row r="1098" ht="15.75" customHeight="1" s="83">
      <c r="A1098" s="82" t="n"/>
      <c r="B1098" s="44" t="n"/>
      <c r="C1098" s="82" t="n"/>
      <c r="D1098" s="82" t="n"/>
      <c r="E1098" s="81" t="n"/>
      <c r="F1098" s="82" t="n"/>
      <c r="G1098" s="82" t="n"/>
      <c r="H1098" s="82" t="n"/>
      <c r="I1098" s="82" t="n"/>
      <c r="J1098" s="82" t="n"/>
      <c r="K1098" s="82" t="n"/>
      <c r="L1098" s="82" t="n"/>
      <c r="M1098" s="82" t="n"/>
      <c r="N1098" s="82" t="n"/>
      <c r="O1098" s="82" t="n"/>
      <c r="P1098" s="82" t="n"/>
      <c r="Q1098" s="82" t="n"/>
      <c r="R1098" s="82" t="n"/>
      <c r="S1098" s="82" t="n"/>
      <c r="T1098" s="82" t="n"/>
      <c r="U1098" s="82" t="n"/>
      <c r="V1098" s="82" t="n"/>
      <c r="W1098" s="82" t="n"/>
      <c r="X1098" s="82" t="n"/>
      <c r="Y1098" s="82" t="n"/>
      <c r="Z1098" s="82" t="n"/>
    </row>
    <row r="1099" ht="15.75" customHeight="1" s="83">
      <c r="A1099" s="82" t="n"/>
      <c r="B1099" s="44" t="n"/>
      <c r="C1099" s="82" t="n"/>
      <c r="D1099" s="82" t="n"/>
      <c r="E1099" s="81" t="n"/>
      <c r="F1099" s="82" t="n"/>
      <c r="G1099" s="82" t="n"/>
      <c r="H1099" s="82" t="n"/>
      <c r="I1099" s="82" t="n"/>
      <c r="J1099" s="82" t="n"/>
      <c r="K1099" s="82" t="n"/>
      <c r="L1099" s="82" t="n"/>
      <c r="M1099" s="82" t="n"/>
      <c r="N1099" s="82" t="n"/>
      <c r="O1099" s="82" t="n"/>
      <c r="P1099" s="82" t="n"/>
      <c r="Q1099" s="82" t="n"/>
      <c r="R1099" s="82" t="n"/>
      <c r="S1099" s="82" t="n"/>
      <c r="T1099" s="82" t="n"/>
      <c r="U1099" s="82" t="n"/>
      <c r="V1099" s="82" t="n"/>
      <c r="W1099" s="82" t="n"/>
      <c r="X1099" s="82" t="n"/>
      <c r="Y1099" s="82" t="n"/>
      <c r="Z1099" s="82" t="n"/>
    </row>
    <row r="1100" ht="15.75" customHeight="1" s="83">
      <c r="A1100" s="82" t="n"/>
      <c r="B1100" s="44" t="n"/>
      <c r="C1100" s="82" t="n"/>
      <c r="D1100" s="82" t="n"/>
      <c r="E1100" s="81" t="n"/>
      <c r="F1100" s="82" t="n"/>
      <c r="G1100" s="82" t="n"/>
      <c r="H1100" s="82" t="n"/>
      <c r="I1100" s="82" t="n"/>
      <c r="J1100" s="82" t="n"/>
      <c r="K1100" s="82" t="n"/>
      <c r="L1100" s="82" t="n"/>
      <c r="M1100" s="82" t="n"/>
      <c r="N1100" s="82" t="n"/>
      <c r="O1100" s="82" t="n"/>
      <c r="P1100" s="82" t="n"/>
      <c r="Q1100" s="82" t="n"/>
      <c r="R1100" s="82" t="n"/>
      <c r="S1100" s="82" t="n"/>
      <c r="T1100" s="82" t="n"/>
      <c r="U1100" s="82" t="n"/>
      <c r="V1100" s="82" t="n"/>
      <c r="W1100" s="82" t="n"/>
      <c r="X1100" s="82" t="n"/>
      <c r="Y1100" s="82" t="n"/>
      <c r="Z1100" s="82" t="n"/>
    </row>
    <row r="1101" ht="15.75" customHeight="1" s="83">
      <c r="A1101" s="82" t="n"/>
      <c r="B1101" s="44" t="n"/>
      <c r="C1101" s="82" t="n"/>
      <c r="D1101" s="82" t="n"/>
      <c r="E1101" s="81" t="n"/>
      <c r="F1101" s="82" t="n"/>
      <c r="G1101" s="82" t="n"/>
      <c r="H1101" s="82" t="n"/>
      <c r="I1101" s="82" t="n"/>
      <c r="J1101" s="82" t="n"/>
      <c r="K1101" s="82" t="n"/>
      <c r="L1101" s="82" t="n"/>
      <c r="M1101" s="82" t="n"/>
      <c r="N1101" s="82" t="n"/>
      <c r="O1101" s="82" t="n"/>
      <c r="P1101" s="82" t="n"/>
      <c r="Q1101" s="82" t="n"/>
      <c r="R1101" s="82" t="n"/>
      <c r="S1101" s="82" t="n"/>
      <c r="T1101" s="82" t="n"/>
      <c r="U1101" s="82" t="n"/>
      <c r="V1101" s="82" t="n"/>
      <c r="W1101" s="82" t="n"/>
      <c r="X1101" s="82" t="n"/>
      <c r="Y1101" s="82" t="n"/>
      <c r="Z1101" s="82" t="n"/>
    </row>
    <row r="1102" ht="15.75" customHeight="1" s="83">
      <c r="A1102" s="82" t="n"/>
      <c r="B1102" s="44" t="n"/>
      <c r="C1102" s="82" t="n"/>
      <c r="D1102" s="82" t="n"/>
      <c r="E1102" s="81" t="n"/>
      <c r="F1102" s="82" t="n"/>
      <c r="G1102" s="82" t="n"/>
      <c r="H1102" s="82" t="n"/>
      <c r="I1102" s="82" t="n"/>
      <c r="J1102" s="82" t="n"/>
      <c r="K1102" s="82" t="n"/>
      <c r="L1102" s="82" t="n"/>
      <c r="M1102" s="82" t="n"/>
      <c r="N1102" s="82" t="n"/>
      <c r="O1102" s="82" t="n"/>
      <c r="P1102" s="82" t="n"/>
      <c r="Q1102" s="82" t="n"/>
      <c r="R1102" s="82" t="n"/>
      <c r="S1102" s="82" t="n"/>
      <c r="T1102" s="82" t="n"/>
      <c r="U1102" s="82" t="n"/>
      <c r="V1102" s="82" t="n"/>
      <c r="W1102" s="82" t="n"/>
      <c r="X1102" s="82" t="n"/>
      <c r="Y1102" s="82" t="n"/>
      <c r="Z1102" s="82" t="n"/>
    </row>
    <row r="1103" ht="15.75" customHeight="1" s="83">
      <c r="A1103" s="82" t="n"/>
      <c r="B1103" s="44" t="n"/>
      <c r="C1103" s="82" t="n"/>
      <c r="D1103" s="82" t="n"/>
      <c r="E1103" s="81" t="n"/>
      <c r="F1103" s="82" t="n"/>
      <c r="G1103" s="82" t="n"/>
      <c r="H1103" s="82" t="n"/>
      <c r="I1103" s="82" t="n"/>
      <c r="J1103" s="82" t="n"/>
      <c r="K1103" s="82" t="n"/>
      <c r="L1103" s="82" t="n"/>
      <c r="M1103" s="82" t="n"/>
      <c r="N1103" s="82" t="n"/>
      <c r="O1103" s="82" t="n"/>
      <c r="P1103" s="82" t="n"/>
      <c r="Q1103" s="82" t="n"/>
      <c r="R1103" s="82" t="n"/>
      <c r="S1103" s="82" t="n"/>
      <c r="T1103" s="82" t="n"/>
      <c r="U1103" s="82" t="n"/>
      <c r="V1103" s="82" t="n"/>
      <c r="W1103" s="82" t="n"/>
      <c r="X1103" s="82" t="n"/>
      <c r="Y1103" s="82" t="n"/>
      <c r="Z1103" s="82" t="n"/>
    </row>
    <row r="1104" ht="15.75" customHeight="1" s="83">
      <c r="A1104" s="82" t="n"/>
      <c r="B1104" s="44" t="n"/>
      <c r="C1104" s="82" t="n"/>
      <c r="D1104" s="82" t="n"/>
      <c r="E1104" s="81" t="n"/>
      <c r="F1104" s="82" t="n"/>
      <c r="G1104" s="82" t="n"/>
      <c r="H1104" s="82" t="n"/>
      <c r="I1104" s="82" t="n"/>
      <c r="J1104" s="82" t="n"/>
      <c r="K1104" s="82" t="n"/>
      <c r="L1104" s="82" t="n"/>
      <c r="M1104" s="82" t="n"/>
      <c r="N1104" s="82" t="n"/>
      <c r="O1104" s="82" t="n"/>
      <c r="P1104" s="82" t="n"/>
      <c r="Q1104" s="82" t="n"/>
      <c r="R1104" s="82" t="n"/>
      <c r="S1104" s="82" t="n"/>
      <c r="T1104" s="82" t="n"/>
      <c r="U1104" s="82" t="n"/>
      <c r="V1104" s="82" t="n"/>
      <c r="W1104" s="82" t="n"/>
      <c r="X1104" s="82" t="n"/>
      <c r="Y1104" s="82" t="n"/>
      <c r="Z1104" s="82" t="n"/>
    </row>
    <row r="1105" ht="15.75" customHeight="1" s="83">
      <c r="A1105" s="82" t="n"/>
      <c r="B1105" s="44" t="n"/>
      <c r="C1105" s="82" t="n"/>
      <c r="D1105" s="82" t="n"/>
      <c r="E1105" s="81" t="n"/>
      <c r="F1105" s="82" t="n"/>
      <c r="G1105" s="82" t="n"/>
      <c r="H1105" s="82" t="n"/>
      <c r="I1105" s="82" t="n"/>
      <c r="J1105" s="82" t="n"/>
      <c r="K1105" s="82" t="n"/>
      <c r="L1105" s="82" t="n"/>
      <c r="M1105" s="82" t="n"/>
      <c r="N1105" s="82" t="n"/>
      <c r="O1105" s="82" t="n"/>
      <c r="P1105" s="82" t="n"/>
      <c r="Q1105" s="82" t="n"/>
      <c r="R1105" s="82" t="n"/>
      <c r="S1105" s="82" t="n"/>
      <c r="T1105" s="82" t="n"/>
      <c r="U1105" s="82" t="n"/>
      <c r="V1105" s="82" t="n"/>
      <c r="W1105" s="82" t="n"/>
      <c r="X1105" s="82" t="n"/>
      <c r="Y1105" s="82" t="n"/>
      <c r="Z1105" s="82" t="n"/>
    </row>
    <row r="1106" ht="15.75" customHeight="1" s="83">
      <c r="A1106" s="82" t="n"/>
      <c r="B1106" s="44" t="n"/>
      <c r="C1106" s="82" t="n"/>
      <c r="D1106" s="82" t="n"/>
      <c r="E1106" s="81" t="n"/>
      <c r="F1106" s="82" t="n"/>
      <c r="G1106" s="82" t="n"/>
      <c r="H1106" s="82" t="n"/>
      <c r="I1106" s="82" t="n"/>
      <c r="J1106" s="82" t="n"/>
      <c r="K1106" s="82" t="n"/>
      <c r="L1106" s="82" t="n"/>
      <c r="M1106" s="82" t="n"/>
      <c r="N1106" s="82" t="n"/>
      <c r="O1106" s="82" t="n"/>
      <c r="P1106" s="82" t="n"/>
      <c r="Q1106" s="82" t="n"/>
      <c r="R1106" s="82" t="n"/>
      <c r="S1106" s="82" t="n"/>
      <c r="T1106" s="82" t="n"/>
      <c r="U1106" s="82" t="n"/>
      <c r="V1106" s="82" t="n"/>
      <c r="W1106" s="82" t="n"/>
      <c r="X1106" s="82" t="n"/>
      <c r="Y1106" s="82" t="n"/>
      <c r="Z1106" s="82" t="n"/>
    </row>
    <row r="1107" ht="15.75" customHeight="1" s="83">
      <c r="A1107" s="82" t="n"/>
      <c r="B1107" s="44" t="n"/>
      <c r="C1107" s="82" t="n"/>
      <c r="D1107" s="82" t="n"/>
      <c r="E1107" s="81" t="n"/>
      <c r="F1107" s="82" t="n"/>
      <c r="G1107" s="82" t="n"/>
      <c r="H1107" s="82" t="n"/>
      <c r="I1107" s="82" t="n"/>
      <c r="J1107" s="82" t="n"/>
      <c r="K1107" s="82" t="n"/>
      <c r="L1107" s="82" t="n"/>
      <c r="M1107" s="82" t="n"/>
      <c r="N1107" s="82" t="n"/>
      <c r="O1107" s="82" t="n"/>
      <c r="P1107" s="82" t="n"/>
      <c r="Q1107" s="82" t="n"/>
      <c r="R1107" s="82" t="n"/>
      <c r="S1107" s="82" t="n"/>
      <c r="T1107" s="82" t="n"/>
      <c r="U1107" s="82" t="n"/>
      <c r="V1107" s="82" t="n"/>
      <c r="W1107" s="82" t="n"/>
      <c r="X1107" s="82" t="n"/>
      <c r="Y1107" s="82" t="n"/>
      <c r="Z1107" s="82" t="n"/>
    </row>
    <row r="1108" ht="15.75" customHeight="1" s="83">
      <c r="A1108" s="82" t="n"/>
      <c r="B1108" s="44" t="n"/>
      <c r="C1108" s="82" t="n"/>
      <c r="D1108" s="82" t="n"/>
      <c r="E1108" s="81" t="n"/>
      <c r="F1108" s="82" t="n"/>
      <c r="G1108" s="82" t="n"/>
      <c r="H1108" s="82" t="n"/>
      <c r="I1108" s="82" t="n"/>
      <c r="J1108" s="82" t="n"/>
      <c r="K1108" s="82" t="n"/>
      <c r="L1108" s="82" t="n"/>
      <c r="M1108" s="82" t="n"/>
      <c r="N1108" s="82" t="n"/>
      <c r="O1108" s="82" t="n"/>
      <c r="P1108" s="82" t="n"/>
      <c r="Q1108" s="82" t="n"/>
      <c r="R1108" s="82" t="n"/>
      <c r="S1108" s="82" t="n"/>
      <c r="T1108" s="82" t="n"/>
      <c r="U1108" s="82" t="n"/>
      <c r="V1108" s="82" t="n"/>
      <c r="W1108" s="82" t="n"/>
      <c r="X1108" s="82" t="n"/>
      <c r="Y1108" s="82" t="n"/>
      <c r="Z1108" s="82" t="n"/>
    </row>
    <row r="1109" ht="15.75" customHeight="1" s="83">
      <c r="A1109" s="82" t="n"/>
      <c r="B1109" s="44" t="n"/>
      <c r="C1109" s="82" t="n"/>
      <c r="D1109" s="82" t="n"/>
      <c r="E1109" s="81" t="n"/>
      <c r="F1109" s="82" t="n"/>
      <c r="G1109" s="82" t="n"/>
      <c r="H1109" s="82" t="n"/>
      <c r="I1109" s="82" t="n"/>
      <c r="J1109" s="82" t="n"/>
      <c r="K1109" s="82" t="n"/>
      <c r="L1109" s="82" t="n"/>
      <c r="M1109" s="82" t="n"/>
      <c r="N1109" s="82" t="n"/>
      <c r="O1109" s="82" t="n"/>
      <c r="P1109" s="82" t="n"/>
      <c r="Q1109" s="82" t="n"/>
      <c r="R1109" s="82" t="n"/>
      <c r="S1109" s="82" t="n"/>
      <c r="T1109" s="82" t="n"/>
      <c r="U1109" s="82" t="n"/>
      <c r="V1109" s="82" t="n"/>
      <c r="W1109" s="82" t="n"/>
      <c r="X1109" s="82" t="n"/>
      <c r="Y1109" s="82" t="n"/>
      <c r="Z1109" s="82" t="n"/>
    </row>
    <row r="1110" ht="15.75" customHeight="1" s="83">
      <c r="A1110" s="82" t="n"/>
      <c r="B1110" s="44" t="n"/>
      <c r="C1110" s="82" t="n"/>
      <c r="D1110" s="82" t="n"/>
      <c r="E1110" s="81" t="n"/>
      <c r="F1110" s="82" t="n"/>
      <c r="G1110" s="82" t="n"/>
      <c r="H1110" s="82" t="n"/>
      <c r="I1110" s="82" t="n"/>
      <c r="J1110" s="82" t="n"/>
      <c r="K1110" s="82" t="n"/>
      <c r="L1110" s="82" t="n"/>
      <c r="M1110" s="82" t="n"/>
      <c r="N1110" s="82" t="n"/>
      <c r="O1110" s="82" t="n"/>
      <c r="P1110" s="82" t="n"/>
      <c r="Q1110" s="82" t="n"/>
      <c r="R1110" s="82" t="n"/>
      <c r="S1110" s="82" t="n"/>
      <c r="T1110" s="82" t="n"/>
      <c r="U1110" s="82" t="n"/>
      <c r="V1110" s="82" t="n"/>
      <c r="W1110" s="82" t="n"/>
      <c r="X1110" s="82" t="n"/>
      <c r="Y1110" s="82" t="n"/>
      <c r="Z1110" s="82" t="n"/>
    </row>
    <row r="1111" ht="15.75" customHeight="1" s="83">
      <c r="A1111" s="82" t="n"/>
      <c r="B1111" s="44" t="n"/>
      <c r="C1111" s="82" t="n"/>
      <c r="D1111" s="82" t="n"/>
      <c r="E1111" s="81" t="n"/>
      <c r="F1111" s="82" t="n"/>
      <c r="G1111" s="82" t="n"/>
      <c r="H1111" s="82" t="n"/>
      <c r="I1111" s="82" t="n"/>
      <c r="J1111" s="82" t="n"/>
      <c r="K1111" s="82" t="n"/>
      <c r="L1111" s="82" t="n"/>
      <c r="M1111" s="82" t="n"/>
      <c r="N1111" s="82" t="n"/>
      <c r="O1111" s="82" t="n"/>
      <c r="P1111" s="82" t="n"/>
      <c r="Q1111" s="82" t="n"/>
      <c r="R1111" s="82" t="n"/>
      <c r="S1111" s="82" t="n"/>
      <c r="T1111" s="82" t="n"/>
      <c r="U1111" s="82" t="n"/>
      <c r="V1111" s="82" t="n"/>
      <c r="W1111" s="82" t="n"/>
      <c r="X1111" s="82" t="n"/>
      <c r="Y1111" s="82" t="n"/>
      <c r="Z1111" s="82" t="n"/>
    </row>
    <row r="1112" ht="15.75" customHeight="1" s="83">
      <c r="A1112" s="82" t="n"/>
      <c r="B1112" s="44" t="n"/>
      <c r="C1112" s="82" t="n"/>
      <c r="D1112" s="82" t="n"/>
      <c r="E1112" s="81" t="n"/>
      <c r="F1112" s="82" t="n"/>
      <c r="G1112" s="82" t="n"/>
      <c r="H1112" s="82" t="n"/>
      <c r="I1112" s="82" t="n"/>
      <c r="J1112" s="82" t="n"/>
      <c r="K1112" s="82" t="n"/>
      <c r="L1112" s="82" t="n"/>
      <c r="M1112" s="82" t="n"/>
      <c r="N1112" s="82" t="n"/>
      <c r="O1112" s="82" t="n"/>
      <c r="P1112" s="82" t="n"/>
      <c r="Q1112" s="82" t="n"/>
      <c r="R1112" s="82" t="n"/>
      <c r="S1112" s="82" t="n"/>
      <c r="T1112" s="82" t="n"/>
      <c r="U1112" s="82" t="n"/>
      <c r="V1112" s="82" t="n"/>
      <c r="W1112" s="82" t="n"/>
      <c r="X1112" s="82" t="n"/>
      <c r="Y1112" s="82" t="n"/>
      <c r="Z1112" s="82" t="n"/>
    </row>
    <row r="1113" ht="15.75" customHeight="1" s="83">
      <c r="A1113" s="82" t="n"/>
      <c r="B1113" s="44" t="n"/>
      <c r="C1113" s="82" t="n"/>
      <c r="D1113" s="82" t="n"/>
      <c r="E1113" s="81" t="n"/>
      <c r="F1113" s="82" t="n"/>
      <c r="G1113" s="82" t="n"/>
      <c r="H1113" s="82" t="n"/>
      <c r="I1113" s="82" t="n"/>
      <c r="J1113" s="82" t="n"/>
      <c r="K1113" s="82" t="n"/>
      <c r="L1113" s="82" t="n"/>
      <c r="M1113" s="82" t="n"/>
      <c r="N1113" s="82" t="n"/>
      <c r="O1113" s="82" t="n"/>
      <c r="P1113" s="82" t="n"/>
      <c r="Q1113" s="82" t="n"/>
      <c r="R1113" s="82" t="n"/>
      <c r="S1113" s="82" t="n"/>
      <c r="T1113" s="82" t="n"/>
      <c r="U1113" s="82" t="n"/>
      <c r="V1113" s="82" t="n"/>
      <c r="W1113" s="82" t="n"/>
      <c r="X1113" s="82" t="n"/>
      <c r="Y1113" s="82" t="n"/>
      <c r="Z1113" s="82" t="n"/>
    </row>
    <row r="1114" ht="15.75" customHeight="1" s="83">
      <c r="A1114" s="82" t="n"/>
      <c r="B1114" s="44" t="n"/>
      <c r="C1114" s="82" t="n"/>
      <c r="D1114" s="82" t="n"/>
      <c r="E1114" s="81" t="n"/>
      <c r="F1114" s="82" t="n"/>
      <c r="G1114" s="82" t="n"/>
      <c r="H1114" s="82" t="n"/>
      <c r="I1114" s="82" t="n"/>
      <c r="J1114" s="82" t="n"/>
      <c r="K1114" s="82" t="n"/>
      <c r="L1114" s="82" t="n"/>
      <c r="M1114" s="82" t="n"/>
      <c r="N1114" s="82" t="n"/>
      <c r="O1114" s="82" t="n"/>
      <c r="P1114" s="82" t="n"/>
      <c r="Q1114" s="82" t="n"/>
      <c r="R1114" s="82" t="n"/>
      <c r="S1114" s="82" t="n"/>
      <c r="T1114" s="82" t="n"/>
      <c r="U1114" s="82" t="n"/>
      <c r="V1114" s="82" t="n"/>
      <c r="W1114" s="82" t="n"/>
      <c r="X1114" s="82" t="n"/>
      <c r="Y1114" s="82" t="n"/>
      <c r="Z1114" s="82" t="n"/>
    </row>
    <row r="1115" ht="15.75" customHeight="1" s="83">
      <c r="A1115" s="82" t="n"/>
      <c r="B1115" s="44" t="n"/>
      <c r="C1115" s="82" t="n"/>
      <c r="D1115" s="82" t="n"/>
      <c r="E1115" s="81" t="n"/>
      <c r="F1115" s="82" t="n"/>
      <c r="G1115" s="82" t="n"/>
      <c r="H1115" s="82" t="n"/>
      <c r="I1115" s="82" t="n"/>
      <c r="J1115" s="82" t="n"/>
      <c r="K1115" s="82" t="n"/>
      <c r="L1115" s="82" t="n"/>
      <c r="M1115" s="82" t="n"/>
      <c r="N1115" s="82" t="n"/>
      <c r="O1115" s="82" t="n"/>
      <c r="P1115" s="82" t="n"/>
      <c r="Q1115" s="82" t="n"/>
      <c r="R1115" s="82" t="n"/>
      <c r="S1115" s="82" t="n"/>
      <c r="T1115" s="82" t="n"/>
      <c r="U1115" s="82" t="n"/>
      <c r="V1115" s="82" t="n"/>
      <c r="W1115" s="82" t="n"/>
      <c r="X1115" s="82" t="n"/>
      <c r="Y1115" s="82" t="n"/>
      <c r="Z1115" s="82" t="n"/>
    </row>
    <row r="1116" ht="15.75" customHeight="1" s="83">
      <c r="A1116" s="82" t="n"/>
      <c r="B1116" s="44" t="n"/>
      <c r="C1116" s="82" t="n"/>
      <c r="D1116" s="82" t="n"/>
      <c r="E1116" s="81" t="n"/>
      <c r="F1116" s="82" t="n"/>
      <c r="G1116" s="82" t="n"/>
      <c r="H1116" s="82" t="n"/>
      <c r="I1116" s="82" t="n"/>
      <c r="J1116" s="82" t="n"/>
      <c r="K1116" s="82" t="n"/>
      <c r="L1116" s="82" t="n"/>
      <c r="M1116" s="82" t="n"/>
      <c r="N1116" s="82" t="n"/>
      <c r="O1116" s="82" t="n"/>
      <c r="P1116" s="82" t="n"/>
      <c r="Q1116" s="82" t="n"/>
      <c r="R1116" s="82" t="n"/>
      <c r="S1116" s="82" t="n"/>
      <c r="T1116" s="82" t="n"/>
      <c r="U1116" s="82" t="n"/>
      <c r="V1116" s="82" t="n"/>
      <c r="W1116" s="82" t="n"/>
      <c r="X1116" s="82" t="n"/>
      <c r="Y1116" s="82" t="n"/>
      <c r="Z1116" s="82" t="n"/>
    </row>
    <row r="1117" ht="15.75" customHeight="1" s="83">
      <c r="A1117" s="82" t="n"/>
      <c r="B1117" s="44" t="n"/>
      <c r="C1117" s="82" t="n"/>
      <c r="D1117" s="82" t="n"/>
      <c r="E1117" s="81" t="n"/>
      <c r="F1117" s="82" t="n"/>
      <c r="G1117" s="82" t="n"/>
      <c r="H1117" s="82" t="n"/>
      <c r="I1117" s="82" t="n"/>
      <c r="J1117" s="82" t="n"/>
      <c r="K1117" s="82" t="n"/>
      <c r="L1117" s="82" t="n"/>
      <c r="M1117" s="82" t="n"/>
      <c r="N1117" s="82" t="n"/>
      <c r="O1117" s="82" t="n"/>
      <c r="P1117" s="82" t="n"/>
      <c r="Q1117" s="82" t="n"/>
      <c r="R1117" s="82" t="n"/>
      <c r="S1117" s="82" t="n"/>
      <c r="T1117" s="82" t="n"/>
      <c r="U1117" s="82" t="n"/>
      <c r="V1117" s="82" t="n"/>
      <c r="W1117" s="82" t="n"/>
      <c r="X1117" s="82" t="n"/>
      <c r="Y1117" s="82" t="n"/>
      <c r="Z1117" s="82" t="n"/>
    </row>
    <row r="1118" ht="15.75" customHeight="1" s="83">
      <c r="A1118" s="82" t="n"/>
      <c r="B1118" s="44" t="n"/>
      <c r="C1118" s="82" t="n"/>
      <c r="D1118" s="82" t="n"/>
      <c r="E1118" s="81" t="n"/>
      <c r="F1118" s="82" t="n"/>
      <c r="G1118" s="82" t="n"/>
      <c r="H1118" s="82" t="n"/>
      <c r="I1118" s="82" t="n"/>
      <c r="J1118" s="82" t="n"/>
      <c r="K1118" s="82" t="n"/>
      <c r="L1118" s="82" t="n"/>
      <c r="M1118" s="82" t="n"/>
      <c r="N1118" s="82" t="n"/>
      <c r="O1118" s="82" t="n"/>
      <c r="P1118" s="82" t="n"/>
      <c r="Q1118" s="82" t="n"/>
      <c r="R1118" s="82" t="n"/>
      <c r="S1118" s="82" t="n"/>
      <c r="T1118" s="82" t="n"/>
      <c r="U1118" s="82" t="n"/>
      <c r="V1118" s="82" t="n"/>
      <c r="W1118" s="82" t="n"/>
      <c r="X1118" s="82" t="n"/>
      <c r="Y1118" s="82" t="n"/>
      <c r="Z1118" s="82" t="n"/>
    </row>
    <row r="1119" ht="15.75" customHeight="1" s="83">
      <c r="A1119" s="82" t="n"/>
      <c r="B1119" s="44" t="n"/>
      <c r="C1119" s="82" t="n"/>
      <c r="D1119" s="82" t="n"/>
      <c r="E1119" s="81" t="n"/>
      <c r="F1119" s="82" t="n"/>
      <c r="G1119" s="82" t="n"/>
      <c r="H1119" s="82" t="n"/>
      <c r="I1119" s="82" t="n"/>
      <c r="J1119" s="82" t="n"/>
      <c r="K1119" s="82" t="n"/>
      <c r="L1119" s="82" t="n"/>
      <c r="M1119" s="82" t="n"/>
      <c r="N1119" s="82" t="n"/>
      <c r="O1119" s="82" t="n"/>
      <c r="P1119" s="82" t="n"/>
      <c r="Q1119" s="82" t="n"/>
      <c r="R1119" s="82" t="n"/>
      <c r="S1119" s="82" t="n"/>
      <c r="T1119" s="82" t="n"/>
      <c r="U1119" s="82" t="n"/>
      <c r="V1119" s="82" t="n"/>
      <c r="W1119" s="82" t="n"/>
      <c r="X1119" s="82" t="n"/>
      <c r="Y1119" s="82" t="n"/>
      <c r="Z1119" s="82" t="n"/>
    </row>
    <row r="1120" ht="15.75" customHeight="1" s="83">
      <c r="A1120" s="82" t="n"/>
      <c r="B1120" s="44" t="n"/>
      <c r="C1120" s="82" t="n"/>
      <c r="D1120" s="82" t="n"/>
      <c r="E1120" s="81" t="n"/>
      <c r="F1120" s="82" t="n"/>
      <c r="G1120" s="82" t="n"/>
      <c r="H1120" s="82" t="n"/>
      <c r="I1120" s="82" t="n"/>
      <c r="J1120" s="82" t="n"/>
      <c r="K1120" s="82" t="n"/>
      <c r="L1120" s="82" t="n"/>
      <c r="M1120" s="82" t="n"/>
      <c r="N1120" s="82" t="n"/>
      <c r="O1120" s="82" t="n"/>
      <c r="P1120" s="82" t="n"/>
      <c r="Q1120" s="82" t="n"/>
      <c r="R1120" s="82" t="n"/>
      <c r="S1120" s="82" t="n"/>
      <c r="T1120" s="82" t="n"/>
      <c r="U1120" s="82" t="n"/>
      <c r="V1120" s="82" t="n"/>
      <c r="W1120" s="82" t="n"/>
      <c r="X1120" s="82" t="n"/>
      <c r="Y1120" s="82" t="n"/>
      <c r="Z1120" s="82" t="n"/>
    </row>
    <row r="1121" ht="15.75" customHeight="1" s="83">
      <c r="A1121" s="82" t="n"/>
      <c r="B1121" s="44" t="n"/>
      <c r="C1121" s="82" t="n"/>
      <c r="D1121" s="82" t="n"/>
      <c r="E1121" s="81" t="n"/>
      <c r="F1121" s="82" t="n"/>
      <c r="G1121" s="82" t="n"/>
      <c r="H1121" s="82" t="n"/>
      <c r="I1121" s="82" t="n"/>
      <c r="J1121" s="82" t="n"/>
      <c r="K1121" s="82" t="n"/>
      <c r="L1121" s="82" t="n"/>
      <c r="M1121" s="82" t="n"/>
      <c r="N1121" s="82" t="n"/>
      <c r="O1121" s="82" t="n"/>
      <c r="P1121" s="82" t="n"/>
      <c r="Q1121" s="82" t="n"/>
      <c r="R1121" s="82" t="n"/>
      <c r="S1121" s="82" t="n"/>
      <c r="T1121" s="82" t="n"/>
      <c r="U1121" s="82" t="n"/>
      <c r="V1121" s="82" t="n"/>
      <c r="W1121" s="82" t="n"/>
      <c r="X1121" s="82" t="n"/>
      <c r="Y1121" s="82" t="n"/>
      <c r="Z1121" s="82" t="n"/>
    </row>
    <row r="1122" ht="15.75" customHeight="1" s="83">
      <c r="A1122" s="82" t="n"/>
      <c r="B1122" s="44" t="n"/>
      <c r="C1122" s="82" t="n"/>
      <c r="D1122" s="82" t="n"/>
      <c r="E1122" s="81" t="n"/>
      <c r="F1122" s="82" t="n"/>
      <c r="G1122" s="82" t="n"/>
      <c r="H1122" s="82" t="n"/>
      <c r="I1122" s="82" t="n"/>
      <c r="J1122" s="82" t="n"/>
      <c r="K1122" s="82" t="n"/>
      <c r="L1122" s="82" t="n"/>
      <c r="M1122" s="82" t="n"/>
      <c r="N1122" s="82" t="n"/>
      <c r="O1122" s="82" t="n"/>
      <c r="P1122" s="82" t="n"/>
      <c r="Q1122" s="82" t="n"/>
      <c r="R1122" s="82" t="n"/>
      <c r="S1122" s="82" t="n"/>
      <c r="T1122" s="82" t="n"/>
      <c r="U1122" s="82" t="n"/>
      <c r="V1122" s="82" t="n"/>
      <c r="W1122" s="82" t="n"/>
      <c r="X1122" s="82" t="n"/>
      <c r="Y1122" s="82" t="n"/>
      <c r="Z1122" s="82" t="n"/>
    </row>
    <row r="1123" ht="15.75" customHeight="1" s="83">
      <c r="A1123" s="82" t="n"/>
      <c r="B1123" s="44" t="n"/>
      <c r="C1123" s="82" t="n"/>
      <c r="D1123" s="82" t="n"/>
      <c r="E1123" s="81" t="n"/>
      <c r="F1123" s="82" t="n"/>
      <c r="G1123" s="82" t="n"/>
      <c r="H1123" s="82" t="n"/>
      <c r="I1123" s="82" t="n"/>
      <c r="J1123" s="82" t="n"/>
      <c r="K1123" s="82" t="n"/>
      <c r="L1123" s="82" t="n"/>
      <c r="M1123" s="82" t="n"/>
      <c r="N1123" s="82" t="n"/>
      <c r="O1123" s="82" t="n"/>
      <c r="P1123" s="82" t="n"/>
      <c r="Q1123" s="82" t="n"/>
      <c r="R1123" s="82" t="n"/>
      <c r="S1123" s="82" t="n"/>
      <c r="T1123" s="82" t="n"/>
      <c r="U1123" s="82" t="n"/>
      <c r="V1123" s="82" t="n"/>
      <c r="W1123" s="82" t="n"/>
      <c r="X1123" s="82" t="n"/>
      <c r="Y1123" s="82" t="n"/>
      <c r="Z1123" s="82" t="n"/>
    </row>
    <row r="1124" ht="15.75" customHeight="1" s="83">
      <c r="A1124" s="82" t="n"/>
      <c r="B1124" s="44" t="n"/>
      <c r="C1124" s="82" t="n"/>
      <c r="D1124" s="82" t="n"/>
      <c r="E1124" s="81" t="n"/>
      <c r="F1124" s="82" t="n"/>
      <c r="G1124" s="82" t="n"/>
      <c r="H1124" s="82" t="n"/>
      <c r="I1124" s="82" t="n"/>
      <c r="J1124" s="82" t="n"/>
      <c r="K1124" s="82" t="n"/>
      <c r="L1124" s="82" t="n"/>
      <c r="M1124" s="82" t="n"/>
      <c r="N1124" s="82" t="n"/>
      <c r="O1124" s="82" t="n"/>
      <c r="P1124" s="82" t="n"/>
      <c r="Q1124" s="82" t="n"/>
      <c r="R1124" s="82" t="n"/>
      <c r="S1124" s="82" t="n"/>
      <c r="T1124" s="82" t="n"/>
      <c r="U1124" s="82" t="n"/>
      <c r="V1124" s="82" t="n"/>
      <c r="W1124" s="82" t="n"/>
      <c r="X1124" s="82" t="n"/>
      <c r="Y1124" s="82" t="n"/>
      <c r="Z1124" s="82" t="n"/>
    </row>
    <row r="1125" ht="15.75" customHeight="1" s="83">
      <c r="A1125" s="82" t="n"/>
      <c r="B1125" s="44" t="n"/>
      <c r="C1125" s="82" t="n"/>
      <c r="D1125" s="82" t="n"/>
      <c r="E1125" s="81" t="n"/>
      <c r="F1125" s="82" t="n"/>
      <c r="G1125" s="82" t="n"/>
      <c r="H1125" s="82" t="n"/>
      <c r="I1125" s="82" t="n"/>
      <c r="J1125" s="82" t="n"/>
      <c r="K1125" s="82" t="n"/>
      <c r="L1125" s="82" t="n"/>
      <c r="M1125" s="82" t="n"/>
      <c r="N1125" s="82" t="n"/>
      <c r="O1125" s="82" t="n"/>
      <c r="P1125" s="82" t="n"/>
      <c r="Q1125" s="82" t="n"/>
      <c r="R1125" s="82" t="n"/>
      <c r="S1125" s="82" t="n"/>
      <c r="T1125" s="82" t="n"/>
      <c r="U1125" s="82" t="n"/>
      <c r="V1125" s="82" t="n"/>
      <c r="W1125" s="82" t="n"/>
      <c r="X1125" s="82" t="n"/>
      <c r="Y1125" s="82" t="n"/>
      <c r="Z1125" s="82" t="n"/>
    </row>
    <row r="1126" ht="15.75" customHeight="1" s="83">
      <c r="A1126" s="82" t="n"/>
      <c r="B1126" s="44" t="n"/>
      <c r="C1126" s="82" t="n"/>
      <c r="D1126" s="82" t="n"/>
      <c r="E1126" s="81" t="n"/>
      <c r="F1126" s="82" t="n"/>
      <c r="G1126" s="82" t="n"/>
      <c r="H1126" s="82" t="n"/>
      <c r="I1126" s="82" t="n"/>
      <c r="J1126" s="82" t="n"/>
      <c r="K1126" s="82" t="n"/>
      <c r="L1126" s="82" t="n"/>
      <c r="M1126" s="82" t="n"/>
      <c r="N1126" s="82" t="n"/>
      <c r="O1126" s="82" t="n"/>
      <c r="P1126" s="82" t="n"/>
      <c r="Q1126" s="82" t="n"/>
      <c r="R1126" s="82" t="n"/>
      <c r="S1126" s="82" t="n"/>
      <c r="T1126" s="82" t="n"/>
      <c r="U1126" s="82" t="n"/>
      <c r="V1126" s="82" t="n"/>
      <c r="W1126" s="82" t="n"/>
      <c r="X1126" s="82" t="n"/>
      <c r="Y1126" s="82" t="n"/>
      <c r="Z1126" s="82" t="n"/>
    </row>
    <row r="1127" ht="15.75" customHeight="1" s="83">
      <c r="A1127" s="82" t="n"/>
      <c r="B1127" s="44" t="n"/>
      <c r="C1127" s="82" t="n"/>
      <c r="D1127" s="82" t="n"/>
      <c r="E1127" s="81" t="n"/>
      <c r="F1127" s="82" t="n"/>
      <c r="G1127" s="82" t="n"/>
      <c r="H1127" s="82" t="n"/>
      <c r="I1127" s="82" t="n"/>
      <c r="J1127" s="82" t="n"/>
      <c r="K1127" s="82" t="n"/>
      <c r="L1127" s="82" t="n"/>
      <c r="M1127" s="82" t="n"/>
      <c r="N1127" s="82" t="n"/>
      <c r="O1127" s="82" t="n"/>
      <c r="P1127" s="82" t="n"/>
      <c r="Q1127" s="82" t="n"/>
      <c r="R1127" s="82" t="n"/>
      <c r="S1127" s="82" t="n"/>
      <c r="T1127" s="82" t="n"/>
      <c r="U1127" s="82" t="n"/>
      <c r="V1127" s="82" t="n"/>
      <c r="W1127" s="82" t="n"/>
      <c r="X1127" s="82" t="n"/>
      <c r="Y1127" s="82" t="n"/>
      <c r="Z1127" s="82" t="n"/>
    </row>
    <row r="1128" ht="15.75" customHeight="1" s="83">
      <c r="A1128" s="82" t="n"/>
      <c r="B1128" s="44" t="n"/>
      <c r="C1128" s="82" t="n"/>
      <c r="D1128" s="82" t="n"/>
      <c r="E1128" s="81" t="n"/>
      <c r="F1128" s="82" t="n"/>
      <c r="G1128" s="82" t="n"/>
      <c r="H1128" s="82" t="n"/>
      <c r="I1128" s="82" t="n"/>
      <c r="J1128" s="82" t="n"/>
      <c r="K1128" s="82" t="n"/>
      <c r="L1128" s="82" t="n"/>
      <c r="M1128" s="82" t="n"/>
      <c r="N1128" s="82" t="n"/>
      <c r="O1128" s="82" t="n"/>
      <c r="P1128" s="82" t="n"/>
      <c r="Q1128" s="82" t="n"/>
      <c r="R1128" s="82" t="n"/>
      <c r="S1128" s="82" t="n"/>
      <c r="T1128" s="82" t="n"/>
      <c r="U1128" s="82" t="n"/>
      <c r="V1128" s="82" t="n"/>
      <c r="W1128" s="82" t="n"/>
      <c r="X1128" s="82" t="n"/>
      <c r="Y1128" s="82" t="n"/>
      <c r="Z1128" s="82" t="n"/>
    </row>
    <row r="1129" ht="15.75" customHeight="1" s="83">
      <c r="A1129" s="82" t="n"/>
      <c r="B1129" s="44" t="n"/>
      <c r="C1129" s="82" t="n"/>
      <c r="D1129" s="82" t="n"/>
      <c r="E1129" s="81" t="n"/>
      <c r="F1129" s="82" t="n"/>
      <c r="G1129" s="82" t="n"/>
      <c r="H1129" s="82" t="n"/>
      <c r="I1129" s="82" t="n"/>
      <c r="J1129" s="82" t="n"/>
      <c r="K1129" s="82" t="n"/>
      <c r="L1129" s="82" t="n"/>
      <c r="M1129" s="82" t="n"/>
      <c r="N1129" s="82" t="n"/>
      <c r="O1129" s="82" t="n"/>
      <c r="P1129" s="82" t="n"/>
      <c r="Q1129" s="82" t="n"/>
      <c r="R1129" s="82" t="n"/>
      <c r="S1129" s="82" t="n"/>
      <c r="T1129" s="82" t="n"/>
      <c r="U1129" s="82" t="n"/>
      <c r="V1129" s="82" t="n"/>
      <c r="W1129" s="82" t="n"/>
      <c r="X1129" s="82" t="n"/>
      <c r="Y1129" s="82" t="n"/>
      <c r="Z1129" s="82" t="n"/>
    </row>
    <row r="1130" ht="15.75" customHeight="1" s="83">
      <c r="A1130" s="82" t="n"/>
      <c r="B1130" s="44" t="n"/>
      <c r="C1130" s="82" t="n"/>
      <c r="D1130" s="82" t="n"/>
      <c r="E1130" s="81" t="n"/>
      <c r="F1130" s="82" t="n"/>
      <c r="G1130" s="82" t="n"/>
      <c r="H1130" s="82" t="n"/>
      <c r="I1130" s="82" t="n"/>
      <c r="J1130" s="82" t="n"/>
      <c r="K1130" s="82" t="n"/>
      <c r="L1130" s="82" t="n"/>
      <c r="M1130" s="82" t="n"/>
      <c r="N1130" s="82" t="n"/>
      <c r="O1130" s="82" t="n"/>
      <c r="P1130" s="82" t="n"/>
      <c r="Q1130" s="82" t="n"/>
      <c r="R1130" s="82" t="n"/>
      <c r="S1130" s="82" t="n"/>
      <c r="T1130" s="82" t="n"/>
      <c r="U1130" s="82" t="n"/>
      <c r="V1130" s="82" t="n"/>
      <c r="W1130" s="82" t="n"/>
      <c r="X1130" s="82" t="n"/>
      <c r="Y1130" s="82" t="n"/>
      <c r="Z1130" s="82" t="n"/>
    </row>
    <row r="1131" ht="15.75" customHeight="1" s="83">
      <c r="A1131" s="82" t="n"/>
      <c r="B1131" s="44" t="n"/>
      <c r="C1131" s="82" t="n"/>
      <c r="D1131" s="82" t="n"/>
      <c r="E1131" s="81" t="n"/>
      <c r="F1131" s="82" t="n"/>
      <c r="G1131" s="82" t="n"/>
      <c r="H1131" s="82" t="n"/>
      <c r="I1131" s="82" t="n"/>
      <c r="J1131" s="82" t="n"/>
      <c r="K1131" s="82" t="n"/>
      <c r="L1131" s="82" t="n"/>
      <c r="M1131" s="82" t="n"/>
      <c r="N1131" s="82" t="n"/>
      <c r="O1131" s="82" t="n"/>
      <c r="P1131" s="82" t="n"/>
      <c r="Q1131" s="82" t="n"/>
      <c r="R1131" s="82" t="n"/>
      <c r="S1131" s="82" t="n"/>
      <c r="T1131" s="82" t="n"/>
      <c r="U1131" s="82" t="n"/>
      <c r="V1131" s="82" t="n"/>
      <c r="W1131" s="82" t="n"/>
      <c r="X1131" s="82" t="n"/>
      <c r="Y1131" s="82" t="n"/>
      <c r="Z1131" s="82" t="n"/>
    </row>
    <row r="1132" ht="15.75" customHeight="1" s="83">
      <c r="A1132" s="82" t="n"/>
      <c r="B1132" s="44" t="n"/>
      <c r="C1132" s="82" t="n"/>
      <c r="D1132" s="82" t="n"/>
      <c r="E1132" s="81" t="n"/>
      <c r="F1132" s="82" t="n"/>
      <c r="G1132" s="82" t="n"/>
      <c r="H1132" s="82" t="n"/>
      <c r="I1132" s="82" t="n"/>
      <c r="J1132" s="82" t="n"/>
      <c r="K1132" s="82" t="n"/>
      <c r="L1132" s="82" t="n"/>
      <c r="M1132" s="82" t="n"/>
      <c r="N1132" s="82" t="n"/>
      <c r="O1132" s="82" t="n"/>
      <c r="P1132" s="82" t="n"/>
      <c r="Q1132" s="82" t="n"/>
      <c r="R1132" s="82" t="n"/>
      <c r="S1132" s="82" t="n"/>
      <c r="T1132" s="82" t="n"/>
      <c r="U1132" s="82" t="n"/>
      <c r="V1132" s="82" t="n"/>
      <c r="W1132" s="82" t="n"/>
      <c r="X1132" s="82" t="n"/>
      <c r="Y1132" s="82" t="n"/>
      <c r="Z1132" s="82" t="n"/>
    </row>
    <row r="1133" ht="15.75" customHeight="1" s="83">
      <c r="A1133" s="82" t="n"/>
      <c r="B1133" s="44" t="n"/>
      <c r="C1133" s="82" t="n"/>
      <c r="D1133" s="82" t="n"/>
      <c r="E1133" s="81" t="n"/>
      <c r="F1133" s="82" t="n"/>
      <c r="G1133" s="82" t="n"/>
      <c r="H1133" s="82" t="n"/>
      <c r="I1133" s="82" t="n"/>
      <c r="J1133" s="82" t="n"/>
      <c r="K1133" s="82" t="n"/>
      <c r="L1133" s="82" t="n"/>
      <c r="M1133" s="82" t="n"/>
      <c r="N1133" s="82" t="n"/>
      <c r="O1133" s="82" t="n"/>
      <c r="P1133" s="82" t="n"/>
      <c r="Q1133" s="82" t="n"/>
      <c r="R1133" s="82" t="n"/>
      <c r="S1133" s="82" t="n"/>
      <c r="T1133" s="82" t="n"/>
      <c r="U1133" s="82" t="n"/>
      <c r="V1133" s="82" t="n"/>
      <c r="W1133" s="82" t="n"/>
      <c r="X1133" s="82" t="n"/>
      <c r="Y1133" s="82" t="n"/>
      <c r="Z1133" s="82" t="n"/>
    </row>
    <row r="1134" ht="15.75" customHeight="1" s="83">
      <c r="A1134" s="82" t="n"/>
      <c r="B1134" s="44" t="n"/>
      <c r="C1134" s="82" t="n"/>
      <c r="D1134" s="82" t="n"/>
      <c r="E1134" s="81" t="n"/>
      <c r="F1134" s="82" t="n"/>
      <c r="G1134" s="82" t="n"/>
      <c r="H1134" s="82" t="n"/>
      <c r="I1134" s="82" t="n"/>
      <c r="J1134" s="82" t="n"/>
      <c r="K1134" s="82" t="n"/>
      <c r="L1134" s="82" t="n"/>
      <c r="M1134" s="82" t="n"/>
      <c r="N1134" s="82" t="n"/>
      <c r="O1134" s="82" t="n"/>
      <c r="P1134" s="82" t="n"/>
      <c r="Q1134" s="82" t="n"/>
      <c r="R1134" s="82" t="n"/>
      <c r="S1134" s="82" t="n"/>
      <c r="T1134" s="82" t="n"/>
      <c r="U1134" s="82" t="n"/>
      <c r="V1134" s="82" t="n"/>
      <c r="W1134" s="82" t="n"/>
      <c r="X1134" s="82" t="n"/>
      <c r="Y1134" s="82" t="n"/>
      <c r="Z1134" s="82" t="n"/>
    </row>
    <row r="1135" ht="15.75" customHeight="1" s="83">
      <c r="A1135" s="82" t="n"/>
      <c r="B1135" s="44" t="n"/>
      <c r="C1135" s="82" t="n"/>
      <c r="D1135" s="82" t="n"/>
      <c r="E1135" s="81" t="n"/>
      <c r="F1135" s="82" t="n"/>
      <c r="G1135" s="82" t="n"/>
      <c r="H1135" s="82" t="n"/>
      <c r="I1135" s="82" t="n"/>
      <c r="J1135" s="82" t="n"/>
      <c r="K1135" s="82" t="n"/>
      <c r="L1135" s="82" t="n"/>
      <c r="M1135" s="82" t="n"/>
      <c r="N1135" s="82" t="n"/>
      <c r="O1135" s="82" t="n"/>
      <c r="P1135" s="82" t="n"/>
      <c r="Q1135" s="82" t="n"/>
      <c r="R1135" s="82" t="n"/>
      <c r="S1135" s="82" t="n"/>
      <c r="T1135" s="82" t="n"/>
      <c r="U1135" s="82" t="n"/>
      <c r="V1135" s="82" t="n"/>
      <c r="W1135" s="82" t="n"/>
      <c r="X1135" s="82" t="n"/>
      <c r="Y1135" s="82" t="n"/>
      <c r="Z1135" s="82" t="n"/>
    </row>
    <row r="1136" ht="15.75" customHeight="1" s="83">
      <c r="A1136" s="82" t="n"/>
      <c r="B1136" s="44" t="n"/>
      <c r="C1136" s="82" t="n"/>
      <c r="D1136" s="82" t="n"/>
      <c r="E1136" s="81" t="n"/>
      <c r="F1136" s="82" t="n"/>
      <c r="G1136" s="82" t="n"/>
      <c r="H1136" s="82" t="n"/>
      <c r="I1136" s="82" t="n"/>
      <c r="J1136" s="82" t="n"/>
      <c r="K1136" s="82" t="n"/>
      <c r="L1136" s="82" t="n"/>
      <c r="M1136" s="82" t="n"/>
      <c r="N1136" s="82" t="n"/>
      <c r="O1136" s="82" t="n"/>
      <c r="P1136" s="82" t="n"/>
      <c r="Q1136" s="82" t="n"/>
      <c r="R1136" s="82" t="n"/>
      <c r="S1136" s="82" t="n"/>
      <c r="T1136" s="82" t="n"/>
      <c r="U1136" s="82" t="n"/>
      <c r="V1136" s="82" t="n"/>
      <c r="W1136" s="82" t="n"/>
      <c r="X1136" s="82" t="n"/>
      <c r="Y1136" s="82" t="n"/>
      <c r="Z1136" s="82" t="n"/>
    </row>
    <row r="1137" ht="15.75" customHeight="1" s="83">
      <c r="A1137" s="82" t="n"/>
      <c r="B1137" s="44" t="n"/>
      <c r="C1137" s="82" t="n"/>
      <c r="D1137" s="82" t="n"/>
      <c r="E1137" s="81" t="n"/>
      <c r="F1137" s="82" t="n"/>
      <c r="G1137" s="82" t="n"/>
      <c r="H1137" s="82" t="n"/>
      <c r="I1137" s="82" t="n"/>
      <c r="J1137" s="82" t="n"/>
      <c r="K1137" s="82" t="n"/>
      <c r="L1137" s="82" t="n"/>
      <c r="M1137" s="82" t="n"/>
      <c r="N1137" s="82" t="n"/>
      <c r="O1137" s="82" t="n"/>
      <c r="P1137" s="82" t="n"/>
      <c r="Q1137" s="82" t="n"/>
      <c r="R1137" s="82" t="n"/>
      <c r="S1137" s="82" t="n"/>
      <c r="T1137" s="82" t="n"/>
      <c r="U1137" s="82" t="n"/>
      <c r="V1137" s="82" t="n"/>
      <c r="W1137" s="82" t="n"/>
      <c r="X1137" s="82" t="n"/>
      <c r="Y1137" s="82" t="n"/>
      <c r="Z1137" s="82" t="n"/>
    </row>
    <row r="1138" ht="15.75" customHeight="1" s="83">
      <c r="A1138" s="82" t="n"/>
      <c r="B1138" s="44" t="n"/>
      <c r="C1138" s="82" t="n"/>
      <c r="D1138" s="82" t="n"/>
      <c r="E1138" s="81" t="n"/>
      <c r="F1138" s="82" t="n"/>
      <c r="G1138" s="82" t="n"/>
      <c r="H1138" s="82" t="n"/>
      <c r="I1138" s="82" t="n"/>
      <c r="J1138" s="82" t="n"/>
      <c r="K1138" s="82" t="n"/>
      <c r="L1138" s="82" t="n"/>
      <c r="M1138" s="82" t="n"/>
      <c r="N1138" s="82" t="n"/>
      <c r="O1138" s="82" t="n"/>
      <c r="P1138" s="82" t="n"/>
      <c r="Q1138" s="82" t="n"/>
      <c r="R1138" s="82" t="n"/>
      <c r="S1138" s="82" t="n"/>
      <c r="T1138" s="82" t="n"/>
      <c r="U1138" s="82" t="n"/>
      <c r="V1138" s="82" t="n"/>
      <c r="W1138" s="82" t="n"/>
      <c r="X1138" s="82" t="n"/>
      <c r="Y1138" s="82" t="n"/>
      <c r="Z1138" s="82" t="n"/>
    </row>
    <row r="1139" ht="15.75" customHeight="1" s="83">
      <c r="A1139" s="82" t="n"/>
      <c r="B1139" s="44" t="n"/>
      <c r="C1139" s="82" t="n"/>
      <c r="D1139" s="82" t="n"/>
      <c r="E1139" s="81" t="n"/>
      <c r="F1139" s="82" t="n"/>
      <c r="G1139" s="82" t="n"/>
      <c r="H1139" s="82" t="n"/>
      <c r="I1139" s="82" t="n"/>
      <c r="J1139" s="82" t="n"/>
      <c r="K1139" s="82" t="n"/>
      <c r="L1139" s="82" t="n"/>
      <c r="M1139" s="82" t="n"/>
      <c r="N1139" s="82" t="n"/>
      <c r="O1139" s="82" t="n"/>
      <c r="P1139" s="82" t="n"/>
      <c r="Q1139" s="82" t="n"/>
      <c r="R1139" s="82" t="n"/>
      <c r="S1139" s="82" t="n"/>
      <c r="T1139" s="82" t="n"/>
      <c r="U1139" s="82" t="n"/>
      <c r="V1139" s="82" t="n"/>
      <c r="W1139" s="82" t="n"/>
      <c r="X1139" s="82" t="n"/>
      <c r="Y1139" s="82" t="n"/>
      <c r="Z1139" s="82" t="n"/>
    </row>
    <row r="1140" ht="15.75" customHeight="1" s="83">
      <c r="A1140" s="82" t="n"/>
      <c r="B1140" s="44" t="n"/>
      <c r="C1140" s="82" t="n"/>
      <c r="D1140" s="82" t="n"/>
      <c r="E1140" s="81" t="n"/>
      <c r="F1140" s="82" t="n"/>
      <c r="G1140" s="82" t="n"/>
      <c r="H1140" s="82" t="n"/>
      <c r="I1140" s="82" t="n"/>
      <c r="J1140" s="82" t="n"/>
      <c r="K1140" s="82" t="n"/>
      <c r="L1140" s="82" t="n"/>
      <c r="M1140" s="82" t="n"/>
      <c r="N1140" s="82" t="n"/>
      <c r="O1140" s="82" t="n"/>
      <c r="P1140" s="82" t="n"/>
      <c r="Q1140" s="82" t="n"/>
      <c r="R1140" s="82" t="n"/>
      <c r="S1140" s="82" t="n"/>
      <c r="T1140" s="82" t="n"/>
      <c r="U1140" s="82" t="n"/>
      <c r="V1140" s="82" t="n"/>
      <c r="W1140" s="82" t="n"/>
      <c r="X1140" s="82" t="n"/>
      <c r="Y1140" s="82" t="n"/>
      <c r="Z1140" s="82" t="n"/>
    </row>
    <row r="1141" ht="15.75" customHeight="1" s="83">
      <c r="A1141" s="82" t="n"/>
      <c r="B1141" s="44" t="n"/>
      <c r="C1141" s="82" t="n"/>
      <c r="D1141" s="82" t="n"/>
      <c r="E1141" s="81" t="n"/>
      <c r="F1141" s="82" t="n"/>
      <c r="G1141" s="82" t="n"/>
      <c r="H1141" s="82" t="n"/>
      <c r="I1141" s="82" t="n"/>
      <c r="J1141" s="82" t="n"/>
      <c r="K1141" s="82" t="n"/>
      <c r="L1141" s="82" t="n"/>
      <c r="M1141" s="82" t="n"/>
      <c r="N1141" s="82" t="n"/>
      <c r="O1141" s="82" t="n"/>
      <c r="P1141" s="82" t="n"/>
      <c r="Q1141" s="82" t="n"/>
      <c r="R1141" s="82" t="n"/>
      <c r="S1141" s="82" t="n"/>
      <c r="T1141" s="82" t="n"/>
      <c r="U1141" s="82" t="n"/>
      <c r="V1141" s="82" t="n"/>
      <c r="W1141" s="82" t="n"/>
      <c r="X1141" s="82" t="n"/>
      <c r="Y1141" s="82" t="n"/>
      <c r="Z1141" s="82" t="n"/>
    </row>
    <row r="1142" ht="15.75" customHeight="1" s="83">
      <c r="A1142" s="82" t="n"/>
      <c r="B1142" s="44" t="n"/>
      <c r="C1142" s="82" t="n"/>
      <c r="D1142" s="82" t="n"/>
      <c r="E1142" s="81" t="n"/>
      <c r="F1142" s="82" t="n"/>
      <c r="G1142" s="82" t="n"/>
      <c r="H1142" s="82" t="n"/>
      <c r="I1142" s="82" t="n"/>
      <c r="J1142" s="82" t="n"/>
      <c r="K1142" s="82" t="n"/>
      <c r="L1142" s="82" t="n"/>
      <c r="M1142" s="82" t="n"/>
      <c r="N1142" s="82" t="n"/>
      <c r="O1142" s="82" t="n"/>
      <c r="P1142" s="82" t="n"/>
      <c r="Q1142" s="82" t="n"/>
      <c r="R1142" s="82" t="n"/>
      <c r="S1142" s="82" t="n"/>
      <c r="T1142" s="82" t="n"/>
      <c r="U1142" s="82" t="n"/>
      <c r="V1142" s="82" t="n"/>
      <c r="W1142" s="82" t="n"/>
      <c r="X1142" s="82" t="n"/>
      <c r="Y1142" s="82" t="n"/>
      <c r="Z1142" s="82" t="n"/>
    </row>
    <row r="1143" ht="15.75" customHeight="1" s="83">
      <c r="A1143" s="82" t="n"/>
      <c r="B1143" s="44" t="n"/>
      <c r="C1143" s="82" t="n"/>
      <c r="D1143" s="82" t="n"/>
      <c r="E1143" s="81" t="n"/>
      <c r="F1143" s="82" t="n"/>
      <c r="G1143" s="82" t="n"/>
      <c r="H1143" s="82" t="n"/>
      <c r="I1143" s="82" t="n"/>
      <c r="J1143" s="82" t="n"/>
      <c r="K1143" s="82" t="n"/>
      <c r="L1143" s="82" t="n"/>
      <c r="M1143" s="82" t="n"/>
      <c r="N1143" s="82" t="n"/>
      <c r="O1143" s="82" t="n"/>
      <c r="P1143" s="82" t="n"/>
      <c r="Q1143" s="82" t="n"/>
      <c r="R1143" s="82" t="n"/>
      <c r="S1143" s="82" t="n"/>
      <c r="T1143" s="82" t="n"/>
      <c r="U1143" s="82" t="n"/>
      <c r="V1143" s="82" t="n"/>
      <c r="W1143" s="82" t="n"/>
      <c r="X1143" s="82" t="n"/>
      <c r="Y1143" s="82" t="n"/>
      <c r="Z1143" s="82" t="n"/>
    </row>
    <row r="1144" ht="15.75" customHeight="1" s="83">
      <c r="A1144" s="82" t="n"/>
      <c r="B1144" s="44" t="n"/>
      <c r="C1144" s="82" t="n"/>
      <c r="D1144" s="82" t="n"/>
      <c r="E1144" s="81" t="n"/>
      <c r="F1144" s="82" t="n"/>
      <c r="G1144" s="82" t="n"/>
      <c r="H1144" s="82" t="n"/>
      <c r="I1144" s="82" t="n"/>
      <c r="J1144" s="82" t="n"/>
      <c r="K1144" s="82" t="n"/>
      <c r="L1144" s="82" t="n"/>
      <c r="M1144" s="82" t="n"/>
      <c r="N1144" s="82" t="n"/>
      <c r="O1144" s="82" t="n"/>
      <c r="P1144" s="82" t="n"/>
      <c r="Q1144" s="82" t="n"/>
      <c r="R1144" s="82" t="n"/>
      <c r="S1144" s="82" t="n"/>
      <c r="T1144" s="82" t="n"/>
      <c r="U1144" s="82" t="n"/>
      <c r="V1144" s="82" t="n"/>
      <c r="W1144" s="82" t="n"/>
      <c r="X1144" s="82" t="n"/>
      <c r="Y1144" s="82" t="n"/>
      <c r="Z1144" s="82" t="n"/>
    </row>
    <row r="1145" ht="15.75" customHeight="1" s="83">
      <c r="A1145" s="82" t="n"/>
      <c r="B1145" s="44" t="n"/>
      <c r="C1145" s="82" t="n"/>
      <c r="D1145" s="82" t="n"/>
      <c r="E1145" s="81" t="n"/>
      <c r="F1145" s="82" t="n"/>
      <c r="G1145" s="82" t="n"/>
      <c r="H1145" s="82" t="n"/>
      <c r="I1145" s="82" t="n"/>
      <c r="J1145" s="82" t="n"/>
      <c r="K1145" s="82" t="n"/>
      <c r="L1145" s="82" t="n"/>
      <c r="M1145" s="82" t="n"/>
      <c r="N1145" s="82" t="n"/>
      <c r="O1145" s="82" t="n"/>
      <c r="P1145" s="82" t="n"/>
      <c r="Q1145" s="82" t="n"/>
      <c r="R1145" s="82" t="n"/>
      <c r="S1145" s="82" t="n"/>
      <c r="T1145" s="82" t="n"/>
      <c r="U1145" s="82" t="n"/>
      <c r="V1145" s="82" t="n"/>
      <c r="W1145" s="82" t="n"/>
      <c r="X1145" s="82" t="n"/>
      <c r="Y1145" s="82" t="n"/>
      <c r="Z1145" s="82" t="n"/>
    </row>
    <row r="1146" ht="15.75" customHeight="1" s="83">
      <c r="A1146" s="82" t="n"/>
      <c r="B1146" s="44" t="n"/>
      <c r="C1146" s="82" t="n"/>
      <c r="D1146" s="82" t="n"/>
      <c r="E1146" s="81" t="n"/>
      <c r="F1146" s="82" t="n"/>
      <c r="G1146" s="82" t="n"/>
      <c r="H1146" s="82" t="n"/>
      <c r="I1146" s="82" t="n"/>
      <c r="J1146" s="82" t="n"/>
      <c r="K1146" s="82" t="n"/>
      <c r="L1146" s="82" t="n"/>
      <c r="M1146" s="82" t="n"/>
      <c r="N1146" s="82" t="n"/>
      <c r="O1146" s="82" t="n"/>
      <c r="P1146" s="82" t="n"/>
      <c r="Q1146" s="82" t="n"/>
      <c r="R1146" s="82" t="n"/>
      <c r="S1146" s="82" t="n"/>
      <c r="T1146" s="82" t="n"/>
      <c r="U1146" s="82" t="n"/>
      <c r="V1146" s="82" t="n"/>
      <c r="W1146" s="82" t="n"/>
      <c r="X1146" s="82" t="n"/>
      <c r="Y1146" s="82" t="n"/>
      <c r="Z1146" s="82" t="n"/>
    </row>
    <row r="1147" ht="15.75" customHeight="1" s="83">
      <c r="A1147" s="82" t="n"/>
      <c r="B1147" s="44" t="n"/>
      <c r="C1147" s="82" t="n"/>
      <c r="D1147" s="82" t="n"/>
      <c r="E1147" s="81" t="n"/>
      <c r="F1147" s="82" t="n"/>
      <c r="G1147" s="82" t="n"/>
      <c r="H1147" s="82" t="n"/>
      <c r="I1147" s="82" t="n"/>
      <c r="J1147" s="82" t="n"/>
      <c r="K1147" s="82" t="n"/>
      <c r="L1147" s="82" t="n"/>
      <c r="M1147" s="82" t="n"/>
      <c r="N1147" s="82" t="n"/>
      <c r="O1147" s="82" t="n"/>
      <c r="P1147" s="82" t="n"/>
      <c r="Q1147" s="82" t="n"/>
      <c r="R1147" s="82" t="n"/>
      <c r="S1147" s="82" t="n"/>
      <c r="T1147" s="82" t="n"/>
      <c r="U1147" s="82" t="n"/>
      <c r="V1147" s="82" t="n"/>
      <c r="W1147" s="82" t="n"/>
      <c r="X1147" s="82" t="n"/>
      <c r="Y1147" s="82" t="n"/>
      <c r="Z1147" s="82" t="n"/>
    </row>
    <row r="1148" ht="15.75" customHeight="1" s="83">
      <c r="A1148" s="82" t="n"/>
      <c r="B1148" s="44" t="n"/>
      <c r="C1148" s="82" t="n"/>
      <c r="D1148" s="82" t="n"/>
      <c r="E1148" s="81" t="n"/>
      <c r="F1148" s="82" t="n"/>
      <c r="G1148" s="82" t="n"/>
      <c r="H1148" s="82" t="n"/>
      <c r="I1148" s="82" t="n"/>
      <c r="J1148" s="82" t="n"/>
      <c r="K1148" s="82" t="n"/>
      <c r="L1148" s="82" t="n"/>
      <c r="M1148" s="82" t="n"/>
      <c r="N1148" s="82" t="n"/>
      <c r="O1148" s="82" t="n"/>
      <c r="P1148" s="82" t="n"/>
      <c r="Q1148" s="82" t="n"/>
      <c r="R1148" s="82" t="n"/>
      <c r="S1148" s="82" t="n"/>
      <c r="T1148" s="82" t="n"/>
      <c r="U1148" s="82" t="n"/>
      <c r="V1148" s="82" t="n"/>
      <c r="W1148" s="82" t="n"/>
      <c r="X1148" s="82" t="n"/>
      <c r="Y1148" s="82" t="n"/>
      <c r="Z1148" s="82" t="n"/>
    </row>
    <row r="1149" ht="15.75" customHeight="1" s="83">
      <c r="A1149" s="82" t="n"/>
      <c r="B1149" s="44" t="n"/>
      <c r="C1149" s="82" t="n"/>
      <c r="D1149" s="82" t="n"/>
      <c r="E1149" s="81" t="n"/>
      <c r="F1149" s="82" t="n"/>
      <c r="G1149" s="82" t="n"/>
      <c r="H1149" s="82" t="n"/>
      <c r="I1149" s="82" t="n"/>
      <c r="J1149" s="82" t="n"/>
      <c r="K1149" s="82" t="n"/>
      <c r="L1149" s="82" t="n"/>
      <c r="M1149" s="82" t="n"/>
      <c r="N1149" s="82" t="n"/>
      <c r="O1149" s="82" t="n"/>
      <c r="P1149" s="82" t="n"/>
      <c r="Q1149" s="82" t="n"/>
      <c r="R1149" s="82" t="n"/>
      <c r="S1149" s="82" t="n"/>
      <c r="T1149" s="82" t="n"/>
      <c r="U1149" s="82" t="n"/>
      <c r="V1149" s="82" t="n"/>
      <c r="W1149" s="82" t="n"/>
      <c r="X1149" s="82" t="n"/>
      <c r="Y1149" s="82" t="n"/>
      <c r="Z1149" s="82" t="n"/>
    </row>
    <row r="1150" ht="15.75" customHeight="1" s="83">
      <c r="A1150" s="82" t="n"/>
      <c r="B1150" s="44" t="n"/>
      <c r="C1150" s="82" t="n"/>
      <c r="D1150" s="82" t="n"/>
      <c r="E1150" s="81" t="n"/>
      <c r="F1150" s="82" t="n"/>
      <c r="G1150" s="82" t="n"/>
      <c r="H1150" s="82" t="n"/>
      <c r="I1150" s="82" t="n"/>
      <c r="J1150" s="82" t="n"/>
      <c r="K1150" s="82" t="n"/>
      <c r="L1150" s="82" t="n"/>
      <c r="M1150" s="82" t="n"/>
      <c r="N1150" s="82" t="n"/>
      <c r="O1150" s="82" t="n"/>
      <c r="P1150" s="82" t="n"/>
      <c r="Q1150" s="82" t="n"/>
      <c r="R1150" s="82" t="n"/>
      <c r="S1150" s="82" t="n"/>
      <c r="T1150" s="82" t="n"/>
      <c r="U1150" s="82" t="n"/>
      <c r="V1150" s="82" t="n"/>
      <c r="W1150" s="82" t="n"/>
      <c r="X1150" s="82" t="n"/>
      <c r="Y1150" s="82" t="n"/>
      <c r="Z1150" s="82" t="n"/>
    </row>
    <row r="1151" ht="15.75" customHeight="1" s="83">
      <c r="A1151" s="82" t="n"/>
      <c r="B1151" s="44" t="n"/>
      <c r="C1151" s="82" t="n"/>
      <c r="D1151" s="82" t="n"/>
      <c r="E1151" s="81" t="n"/>
      <c r="F1151" s="82" t="n"/>
      <c r="G1151" s="82" t="n"/>
      <c r="H1151" s="82" t="n"/>
      <c r="I1151" s="82" t="n"/>
      <c r="J1151" s="82" t="n"/>
      <c r="K1151" s="82" t="n"/>
      <c r="L1151" s="82" t="n"/>
      <c r="M1151" s="82" t="n"/>
      <c r="N1151" s="82" t="n"/>
      <c r="O1151" s="82" t="n"/>
      <c r="P1151" s="82" t="n"/>
      <c r="Q1151" s="82" t="n"/>
      <c r="R1151" s="82" t="n"/>
      <c r="S1151" s="82" t="n"/>
      <c r="T1151" s="82" t="n"/>
      <c r="U1151" s="82" t="n"/>
      <c r="V1151" s="82" t="n"/>
      <c r="W1151" s="82" t="n"/>
      <c r="X1151" s="82" t="n"/>
      <c r="Y1151" s="82" t="n"/>
      <c r="Z1151" s="82" t="n"/>
    </row>
    <row r="1152" ht="15.75" customHeight="1" s="83">
      <c r="A1152" s="82" t="n"/>
      <c r="B1152" s="44" t="n"/>
      <c r="C1152" s="82" t="n"/>
      <c r="D1152" s="82" t="n"/>
      <c r="E1152" s="81" t="n"/>
      <c r="F1152" s="82" t="n"/>
      <c r="G1152" s="82" t="n"/>
      <c r="H1152" s="82" t="n"/>
      <c r="I1152" s="82" t="n"/>
      <c r="J1152" s="82" t="n"/>
      <c r="K1152" s="82" t="n"/>
      <c r="L1152" s="82" t="n"/>
      <c r="M1152" s="82" t="n"/>
      <c r="N1152" s="82" t="n"/>
      <c r="O1152" s="82" t="n"/>
      <c r="P1152" s="82" t="n"/>
      <c r="Q1152" s="82" t="n"/>
      <c r="R1152" s="82" t="n"/>
      <c r="S1152" s="82" t="n"/>
      <c r="T1152" s="82" t="n"/>
      <c r="U1152" s="82" t="n"/>
      <c r="V1152" s="82" t="n"/>
      <c r="W1152" s="82" t="n"/>
      <c r="X1152" s="82" t="n"/>
      <c r="Y1152" s="82" t="n"/>
      <c r="Z1152" s="82" t="n"/>
    </row>
    <row r="1153" ht="15.75" customHeight="1" s="83">
      <c r="A1153" s="82" t="n"/>
      <c r="B1153" s="44" t="n"/>
      <c r="C1153" s="82" t="n"/>
      <c r="D1153" s="82" t="n"/>
      <c r="E1153" s="81" t="n"/>
      <c r="F1153" s="82" t="n"/>
      <c r="G1153" s="82" t="n"/>
      <c r="H1153" s="82" t="n"/>
      <c r="I1153" s="82" t="n"/>
      <c r="J1153" s="82" t="n"/>
      <c r="K1153" s="82" t="n"/>
      <c r="L1153" s="82" t="n"/>
      <c r="M1153" s="82" t="n"/>
      <c r="N1153" s="82" t="n"/>
      <c r="O1153" s="82" t="n"/>
      <c r="P1153" s="82" t="n"/>
      <c r="Q1153" s="82" t="n"/>
      <c r="R1153" s="82" t="n"/>
      <c r="S1153" s="82" t="n"/>
      <c r="T1153" s="82" t="n"/>
      <c r="U1153" s="82" t="n"/>
      <c r="V1153" s="82" t="n"/>
      <c r="W1153" s="82" t="n"/>
      <c r="X1153" s="82" t="n"/>
      <c r="Y1153" s="82" t="n"/>
      <c r="Z1153" s="82" t="n"/>
    </row>
    <row r="1154" ht="15.75" customHeight="1" s="83">
      <c r="A1154" s="82" t="n"/>
      <c r="B1154" s="44" t="n"/>
      <c r="C1154" s="82" t="n"/>
      <c r="D1154" s="82" t="n"/>
      <c r="E1154" s="81" t="n"/>
      <c r="F1154" s="82" t="n"/>
      <c r="G1154" s="82" t="n"/>
      <c r="H1154" s="82" t="n"/>
      <c r="I1154" s="82" t="n"/>
      <c r="J1154" s="82" t="n"/>
      <c r="K1154" s="82" t="n"/>
      <c r="L1154" s="82" t="n"/>
      <c r="M1154" s="82" t="n"/>
      <c r="N1154" s="82" t="n"/>
      <c r="O1154" s="82" t="n"/>
      <c r="P1154" s="82" t="n"/>
      <c r="Q1154" s="82" t="n"/>
      <c r="R1154" s="82" t="n"/>
      <c r="S1154" s="82" t="n"/>
      <c r="T1154" s="82" t="n"/>
      <c r="U1154" s="82" t="n"/>
      <c r="V1154" s="82" t="n"/>
      <c r="W1154" s="82" t="n"/>
      <c r="X1154" s="82" t="n"/>
      <c r="Y1154" s="82" t="n"/>
      <c r="Z1154" s="82" t="n"/>
    </row>
    <row r="1155" ht="15.75" customHeight="1" s="83">
      <c r="A1155" s="82" t="n"/>
      <c r="B1155" s="44" t="n"/>
      <c r="C1155" s="82" t="n"/>
      <c r="D1155" s="82" t="n"/>
      <c r="E1155" s="81" t="n"/>
      <c r="F1155" s="82" t="n"/>
      <c r="G1155" s="82" t="n"/>
      <c r="H1155" s="82" t="n"/>
      <c r="I1155" s="82" t="n"/>
      <c r="J1155" s="82" t="n"/>
      <c r="K1155" s="82" t="n"/>
      <c r="L1155" s="82" t="n"/>
      <c r="M1155" s="82" t="n"/>
      <c r="N1155" s="82" t="n"/>
      <c r="O1155" s="82" t="n"/>
      <c r="P1155" s="82" t="n"/>
      <c r="Q1155" s="82" t="n"/>
      <c r="R1155" s="82" t="n"/>
      <c r="S1155" s="82" t="n"/>
      <c r="T1155" s="82" t="n"/>
      <c r="U1155" s="82" t="n"/>
      <c r="V1155" s="82" t="n"/>
      <c r="W1155" s="82" t="n"/>
      <c r="X1155" s="82" t="n"/>
      <c r="Y1155" s="82" t="n"/>
      <c r="Z1155" s="82" t="n"/>
    </row>
    <row r="1156" ht="15.75" customHeight="1" s="83">
      <c r="A1156" s="82" t="n"/>
      <c r="B1156" s="44" t="n"/>
      <c r="C1156" s="82" t="n"/>
      <c r="D1156" s="82" t="n"/>
      <c r="E1156" s="81" t="n"/>
      <c r="F1156" s="82" t="n"/>
      <c r="G1156" s="82" t="n"/>
      <c r="H1156" s="82" t="n"/>
      <c r="I1156" s="82" t="n"/>
      <c r="J1156" s="82" t="n"/>
      <c r="K1156" s="82" t="n"/>
      <c r="L1156" s="82" t="n"/>
      <c r="M1156" s="82" t="n"/>
      <c r="N1156" s="82" t="n"/>
      <c r="O1156" s="82" t="n"/>
      <c r="P1156" s="82" t="n"/>
      <c r="Q1156" s="82" t="n"/>
      <c r="R1156" s="82" t="n"/>
      <c r="S1156" s="82" t="n"/>
      <c r="T1156" s="82" t="n"/>
      <c r="U1156" s="82" t="n"/>
      <c r="V1156" s="82" t="n"/>
      <c r="W1156" s="82" t="n"/>
      <c r="X1156" s="82" t="n"/>
      <c r="Y1156" s="82" t="n"/>
      <c r="Z1156" s="82" t="n"/>
    </row>
    <row r="1157" ht="15.75" customHeight="1" s="83">
      <c r="A1157" s="82" t="n"/>
      <c r="B1157" s="44" t="n"/>
      <c r="C1157" s="82" t="n"/>
      <c r="D1157" s="82" t="n"/>
      <c r="E1157" s="81" t="n"/>
      <c r="F1157" s="82" t="n"/>
      <c r="G1157" s="82" t="n"/>
      <c r="H1157" s="82" t="n"/>
      <c r="I1157" s="82" t="n"/>
      <c r="J1157" s="82" t="n"/>
      <c r="K1157" s="82" t="n"/>
      <c r="L1157" s="82" t="n"/>
      <c r="M1157" s="82" t="n"/>
      <c r="N1157" s="82" t="n"/>
      <c r="O1157" s="82" t="n"/>
      <c r="P1157" s="82" t="n"/>
      <c r="Q1157" s="82" t="n"/>
      <c r="R1157" s="82" t="n"/>
      <c r="S1157" s="82" t="n"/>
      <c r="T1157" s="82" t="n"/>
      <c r="U1157" s="82" t="n"/>
      <c r="V1157" s="82" t="n"/>
      <c r="W1157" s="82" t="n"/>
      <c r="X1157" s="82" t="n"/>
      <c r="Y1157" s="82" t="n"/>
      <c r="Z1157" s="82" t="n"/>
    </row>
    <row r="1158" ht="15.75" customHeight="1" s="83">
      <c r="A1158" s="82" t="n"/>
      <c r="B1158" s="44" t="n"/>
      <c r="C1158" s="82" t="n"/>
      <c r="D1158" s="82" t="n"/>
      <c r="E1158" s="81" t="n"/>
      <c r="F1158" s="82" t="n"/>
      <c r="G1158" s="82" t="n"/>
      <c r="H1158" s="82" t="n"/>
      <c r="I1158" s="82" t="n"/>
      <c r="J1158" s="82" t="n"/>
      <c r="K1158" s="82" t="n"/>
      <c r="L1158" s="82" t="n"/>
      <c r="M1158" s="82" t="n"/>
      <c r="N1158" s="82" t="n"/>
      <c r="O1158" s="82" t="n"/>
      <c r="P1158" s="82" t="n"/>
      <c r="Q1158" s="82" t="n"/>
      <c r="R1158" s="82" t="n"/>
      <c r="S1158" s="82" t="n"/>
      <c r="T1158" s="82" t="n"/>
      <c r="U1158" s="82" t="n"/>
      <c r="V1158" s="82" t="n"/>
      <c r="W1158" s="82" t="n"/>
      <c r="X1158" s="82" t="n"/>
      <c r="Y1158" s="82" t="n"/>
      <c r="Z1158" s="82" t="n"/>
    </row>
    <row r="1159" ht="15.75" customHeight="1" s="83">
      <c r="A1159" s="82" t="n"/>
      <c r="B1159" s="44" t="n"/>
      <c r="C1159" s="82" t="n"/>
      <c r="D1159" s="82" t="n"/>
      <c r="E1159" s="81" t="n"/>
      <c r="F1159" s="82" t="n"/>
      <c r="G1159" s="82" t="n"/>
      <c r="H1159" s="82" t="n"/>
      <c r="I1159" s="82" t="n"/>
      <c r="J1159" s="82" t="n"/>
      <c r="K1159" s="82" t="n"/>
      <c r="L1159" s="82" t="n"/>
      <c r="M1159" s="82" t="n"/>
      <c r="N1159" s="82" t="n"/>
      <c r="O1159" s="82" t="n"/>
      <c r="P1159" s="82" t="n"/>
      <c r="Q1159" s="82" t="n"/>
      <c r="R1159" s="82" t="n"/>
      <c r="S1159" s="82" t="n"/>
      <c r="T1159" s="82" t="n"/>
      <c r="U1159" s="82" t="n"/>
      <c r="V1159" s="82" t="n"/>
      <c r="W1159" s="82" t="n"/>
      <c r="X1159" s="82" t="n"/>
      <c r="Y1159" s="82" t="n"/>
      <c r="Z1159" s="82" t="n"/>
    </row>
    <row r="1160" ht="15.75" customHeight="1" s="83">
      <c r="A1160" s="82" t="n"/>
      <c r="B1160" s="44" t="n"/>
      <c r="C1160" s="82" t="n"/>
      <c r="D1160" s="82" t="n"/>
      <c r="E1160" s="81" t="n"/>
      <c r="F1160" s="82" t="n"/>
      <c r="G1160" s="82" t="n"/>
      <c r="H1160" s="82" t="n"/>
      <c r="I1160" s="82" t="n"/>
      <c r="J1160" s="82" t="n"/>
      <c r="K1160" s="82" t="n"/>
      <c r="L1160" s="82" t="n"/>
      <c r="M1160" s="82" t="n"/>
      <c r="N1160" s="82" t="n"/>
      <c r="O1160" s="82" t="n"/>
      <c r="P1160" s="82" t="n"/>
      <c r="Q1160" s="82" t="n"/>
      <c r="R1160" s="82" t="n"/>
      <c r="S1160" s="82" t="n"/>
      <c r="T1160" s="82" t="n"/>
      <c r="U1160" s="82" t="n"/>
      <c r="V1160" s="82" t="n"/>
      <c r="W1160" s="82" t="n"/>
      <c r="X1160" s="82" t="n"/>
      <c r="Y1160" s="82" t="n"/>
      <c r="Z1160" s="82" t="n"/>
    </row>
    <row r="1161" ht="15.75" customHeight="1" s="83">
      <c r="A1161" s="82" t="n"/>
      <c r="B1161" s="44" t="n"/>
      <c r="C1161" s="82" t="n"/>
      <c r="D1161" s="82" t="n"/>
      <c r="E1161" s="81" t="n"/>
      <c r="F1161" s="82" t="n"/>
      <c r="G1161" s="82" t="n"/>
      <c r="H1161" s="82" t="n"/>
      <c r="I1161" s="82" t="n"/>
      <c r="J1161" s="82" t="n"/>
      <c r="K1161" s="82" t="n"/>
      <c r="L1161" s="82" t="n"/>
      <c r="M1161" s="82" t="n"/>
      <c r="N1161" s="82" t="n"/>
      <c r="O1161" s="82" t="n"/>
      <c r="P1161" s="82" t="n"/>
      <c r="Q1161" s="82" t="n"/>
      <c r="R1161" s="82" t="n"/>
      <c r="S1161" s="82" t="n"/>
      <c r="T1161" s="82" t="n"/>
      <c r="U1161" s="82" t="n"/>
      <c r="V1161" s="82" t="n"/>
      <c r="W1161" s="82" t="n"/>
      <c r="X1161" s="82" t="n"/>
      <c r="Y1161" s="82" t="n"/>
      <c r="Z1161" s="82" t="n"/>
    </row>
    <row r="1162" ht="15.75" customHeight="1" s="83">
      <c r="A1162" s="82" t="n"/>
      <c r="B1162" s="44" t="n"/>
      <c r="C1162" s="82" t="n"/>
      <c r="D1162" s="82" t="n"/>
      <c r="E1162" s="81" t="n"/>
      <c r="F1162" s="82" t="n"/>
      <c r="G1162" s="82" t="n"/>
      <c r="H1162" s="82" t="n"/>
      <c r="I1162" s="82" t="n"/>
      <c r="J1162" s="82" t="n"/>
      <c r="K1162" s="82" t="n"/>
      <c r="L1162" s="82" t="n"/>
      <c r="M1162" s="82" t="n"/>
      <c r="N1162" s="82" t="n"/>
      <c r="O1162" s="82" t="n"/>
      <c r="P1162" s="82" t="n"/>
      <c r="Q1162" s="82" t="n"/>
      <c r="R1162" s="82" t="n"/>
      <c r="S1162" s="82" t="n"/>
      <c r="T1162" s="82" t="n"/>
      <c r="U1162" s="82" t="n"/>
      <c r="V1162" s="82" t="n"/>
      <c r="W1162" s="82" t="n"/>
      <c r="X1162" s="82" t="n"/>
      <c r="Y1162" s="82" t="n"/>
      <c r="Z1162" s="82" t="n"/>
    </row>
    <row r="1163" ht="15.75" customHeight="1" s="83">
      <c r="A1163" s="82" t="n"/>
      <c r="B1163" s="44" t="n"/>
      <c r="C1163" s="82" t="n"/>
      <c r="D1163" s="82" t="n"/>
      <c r="E1163" s="81" t="n"/>
      <c r="F1163" s="82" t="n"/>
      <c r="G1163" s="82" t="n"/>
      <c r="H1163" s="82" t="n"/>
      <c r="I1163" s="82" t="n"/>
      <c r="J1163" s="82" t="n"/>
      <c r="K1163" s="82" t="n"/>
      <c r="L1163" s="82" t="n"/>
      <c r="M1163" s="82" t="n"/>
      <c r="N1163" s="82" t="n"/>
      <c r="O1163" s="82" t="n"/>
      <c r="P1163" s="82" t="n"/>
      <c r="Q1163" s="82" t="n"/>
      <c r="R1163" s="82" t="n"/>
      <c r="S1163" s="82" t="n"/>
      <c r="T1163" s="82" t="n"/>
      <c r="U1163" s="82" t="n"/>
      <c r="V1163" s="82" t="n"/>
      <c r="W1163" s="82" t="n"/>
      <c r="X1163" s="82" t="n"/>
      <c r="Y1163" s="82" t="n"/>
      <c r="Z1163" s="82" t="n"/>
    </row>
    <row r="1164" ht="15.75" customHeight="1" s="83">
      <c r="A1164" s="82" t="n"/>
      <c r="B1164" s="44" t="n"/>
      <c r="C1164" s="82" t="n"/>
      <c r="D1164" s="82" t="n"/>
      <c r="E1164" s="81" t="n"/>
      <c r="F1164" s="82" t="n"/>
      <c r="G1164" s="82" t="n"/>
      <c r="H1164" s="82" t="n"/>
      <c r="I1164" s="82" t="n"/>
      <c r="J1164" s="82" t="n"/>
      <c r="K1164" s="82" t="n"/>
      <c r="L1164" s="82" t="n"/>
      <c r="M1164" s="82" t="n"/>
      <c r="N1164" s="82" t="n"/>
      <c r="O1164" s="82" t="n"/>
      <c r="P1164" s="82" t="n"/>
      <c r="Q1164" s="82" t="n"/>
      <c r="R1164" s="82" t="n"/>
      <c r="S1164" s="82" t="n"/>
      <c r="T1164" s="82" t="n"/>
      <c r="U1164" s="82" t="n"/>
      <c r="V1164" s="82" t="n"/>
      <c r="W1164" s="82" t="n"/>
      <c r="X1164" s="82" t="n"/>
      <c r="Y1164" s="82" t="n"/>
      <c r="Z1164" s="82" t="n"/>
    </row>
    <row r="1165" ht="15.75" customHeight="1" s="83">
      <c r="A1165" s="82" t="n"/>
      <c r="B1165" s="44" t="n"/>
      <c r="C1165" s="82" t="n"/>
      <c r="D1165" s="82" t="n"/>
      <c r="E1165" s="81" t="n"/>
      <c r="F1165" s="82" t="n"/>
      <c r="G1165" s="82" t="n"/>
      <c r="H1165" s="82" t="n"/>
      <c r="I1165" s="82" t="n"/>
      <c r="J1165" s="82" t="n"/>
      <c r="K1165" s="82" t="n"/>
      <c r="L1165" s="82" t="n"/>
      <c r="M1165" s="82" t="n"/>
      <c r="N1165" s="82" t="n"/>
      <c r="O1165" s="82" t="n"/>
      <c r="P1165" s="82" t="n"/>
      <c r="Q1165" s="82" t="n"/>
      <c r="R1165" s="82" t="n"/>
      <c r="S1165" s="82" t="n"/>
      <c r="T1165" s="82" t="n"/>
      <c r="U1165" s="82" t="n"/>
      <c r="V1165" s="82" t="n"/>
      <c r="W1165" s="82" t="n"/>
      <c r="X1165" s="82" t="n"/>
      <c r="Y1165" s="82" t="n"/>
      <c r="Z1165" s="82" t="n"/>
    </row>
    <row r="1166" ht="15.75" customHeight="1" s="83">
      <c r="A1166" s="82" t="n"/>
      <c r="B1166" s="44" t="n"/>
      <c r="C1166" s="82" t="n"/>
      <c r="D1166" s="82" t="n"/>
      <c r="E1166" s="81" t="n"/>
      <c r="F1166" s="82" t="n"/>
      <c r="G1166" s="82" t="n"/>
      <c r="H1166" s="82" t="n"/>
      <c r="I1166" s="82" t="n"/>
      <c r="J1166" s="82" t="n"/>
      <c r="K1166" s="82" t="n"/>
      <c r="L1166" s="82" t="n"/>
      <c r="M1166" s="82" t="n"/>
      <c r="N1166" s="82" t="n"/>
      <c r="O1166" s="82" t="n"/>
      <c r="P1166" s="82" t="n"/>
      <c r="Q1166" s="82" t="n"/>
      <c r="R1166" s="82" t="n"/>
      <c r="S1166" s="82" t="n"/>
      <c r="T1166" s="82" t="n"/>
      <c r="U1166" s="82" t="n"/>
      <c r="V1166" s="82" t="n"/>
      <c r="W1166" s="82" t="n"/>
      <c r="X1166" s="82" t="n"/>
      <c r="Y1166" s="82" t="n"/>
      <c r="Z1166" s="82" t="n"/>
    </row>
    <row r="1167" ht="15.75" customHeight="1" s="83">
      <c r="A1167" s="82" t="n"/>
      <c r="B1167" s="44" t="n"/>
      <c r="C1167" s="82" t="n"/>
      <c r="D1167" s="82" t="n"/>
      <c r="E1167" s="81" t="n"/>
      <c r="F1167" s="82" t="n"/>
      <c r="G1167" s="82" t="n"/>
      <c r="H1167" s="82" t="n"/>
      <c r="I1167" s="82" t="n"/>
      <c r="J1167" s="82" t="n"/>
      <c r="K1167" s="82" t="n"/>
      <c r="L1167" s="82" t="n"/>
      <c r="M1167" s="82" t="n"/>
      <c r="N1167" s="82" t="n"/>
      <c r="O1167" s="82" t="n"/>
      <c r="P1167" s="82" t="n"/>
      <c r="Q1167" s="82" t="n"/>
      <c r="R1167" s="82" t="n"/>
      <c r="S1167" s="82" t="n"/>
      <c r="T1167" s="82" t="n"/>
      <c r="U1167" s="82" t="n"/>
      <c r="V1167" s="82" t="n"/>
      <c r="W1167" s="82" t="n"/>
      <c r="X1167" s="82" t="n"/>
      <c r="Y1167" s="82" t="n"/>
      <c r="Z1167" s="82" t="n"/>
    </row>
    <row r="1168" ht="15.75" customHeight="1" s="83">
      <c r="A1168" s="82" t="n"/>
      <c r="B1168" s="44" t="n"/>
      <c r="C1168" s="82" t="n"/>
      <c r="D1168" s="82" t="n"/>
      <c r="E1168" s="81" t="n"/>
      <c r="F1168" s="82" t="n"/>
      <c r="G1168" s="82" t="n"/>
      <c r="H1168" s="82" t="n"/>
      <c r="I1168" s="82" t="n"/>
      <c r="J1168" s="82" t="n"/>
      <c r="K1168" s="82" t="n"/>
      <c r="L1168" s="82" t="n"/>
      <c r="M1168" s="82" t="n"/>
      <c r="N1168" s="82" t="n"/>
      <c r="O1168" s="82" t="n"/>
      <c r="P1168" s="82" t="n"/>
      <c r="Q1168" s="82" t="n"/>
      <c r="R1168" s="82" t="n"/>
      <c r="S1168" s="82" t="n"/>
      <c r="T1168" s="82" t="n"/>
      <c r="U1168" s="82" t="n"/>
      <c r="V1168" s="82" t="n"/>
      <c r="W1168" s="82" t="n"/>
      <c r="X1168" s="82" t="n"/>
      <c r="Y1168" s="82" t="n"/>
      <c r="Z1168" s="82" t="n"/>
    </row>
    <row r="1169" ht="15.75" customHeight="1" s="83">
      <c r="A1169" s="82" t="n"/>
      <c r="B1169" s="44" t="n"/>
      <c r="C1169" s="82" t="n"/>
      <c r="D1169" s="82" t="n"/>
      <c r="E1169" s="81" t="n"/>
      <c r="F1169" s="82" t="n"/>
      <c r="G1169" s="82" t="n"/>
      <c r="H1169" s="82" t="n"/>
      <c r="I1169" s="82" t="n"/>
      <c r="J1169" s="82" t="n"/>
      <c r="K1169" s="82" t="n"/>
      <c r="L1169" s="82" t="n"/>
      <c r="M1169" s="82" t="n"/>
      <c r="N1169" s="82" t="n"/>
      <c r="O1169" s="82" t="n"/>
      <c r="P1169" s="82" t="n"/>
      <c r="Q1169" s="82" t="n"/>
      <c r="R1169" s="82" t="n"/>
      <c r="S1169" s="82" t="n"/>
      <c r="T1169" s="82" t="n"/>
      <c r="U1169" s="82" t="n"/>
      <c r="V1169" s="82" t="n"/>
      <c r="W1169" s="82" t="n"/>
      <c r="X1169" s="82" t="n"/>
      <c r="Y1169" s="82" t="n"/>
      <c r="Z1169" s="82" t="n"/>
    </row>
    <row r="1170" ht="15.75" customHeight="1" s="83">
      <c r="A1170" s="82" t="n"/>
      <c r="B1170" s="44" t="n"/>
      <c r="C1170" s="82" t="n"/>
      <c r="D1170" s="82" t="n"/>
      <c r="E1170" s="81" t="n"/>
      <c r="F1170" s="82" t="n"/>
      <c r="G1170" s="82" t="n"/>
      <c r="H1170" s="82" t="n"/>
      <c r="I1170" s="82" t="n"/>
      <c r="J1170" s="82" t="n"/>
      <c r="K1170" s="82" t="n"/>
      <c r="L1170" s="82" t="n"/>
      <c r="M1170" s="82" t="n"/>
      <c r="N1170" s="82" t="n"/>
      <c r="O1170" s="82" t="n"/>
      <c r="P1170" s="82" t="n"/>
      <c r="Q1170" s="82" t="n"/>
      <c r="R1170" s="82" t="n"/>
      <c r="S1170" s="82" t="n"/>
      <c r="T1170" s="82" t="n"/>
      <c r="U1170" s="82" t="n"/>
      <c r="V1170" s="82" t="n"/>
      <c r="W1170" s="82" t="n"/>
      <c r="X1170" s="82" t="n"/>
      <c r="Y1170" s="82" t="n"/>
      <c r="Z1170" s="82" t="n"/>
    </row>
    <row r="1171" ht="15.75" customHeight="1" s="83">
      <c r="A1171" s="82" t="n"/>
      <c r="B1171" s="44" t="n"/>
      <c r="C1171" s="82" t="n"/>
      <c r="D1171" s="82" t="n"/>
      <c r="E1171" s="81" t="n"/>
      <c r="F1171" s="82" t="n"/>
      <c r="G1171" s="82" t="n"/>
      <c r="H1171" s="82" t="n"/>
      <c r="I1171" s="82" t="n"/>
      <c r="J1171" s="82" t="n"/>
      <c r="K1171" s="82" t="n"/>
      <c r="L1171" s="82" t="n"/>
      <c r="M1171" s="82" t="n"/>
      <c r="N1171" s="82" t="n"/>
      <c r="O1171" s="82" t="n"/>
      <c r="P1171" s="82" t="n"/>
      <c r="Q1171" s="82" t="n"/>
      <c r="R1171" s="82" t="n"/>
      <c r="S1171" s="82" t="n"/>
      <c r="T1171" s="82" t="n"/>
      <c r="U1171" s="82" t="n"/>
      <c r="V1171" s="82" t="n"/>
      <c r="W1171" s="82" t="n"/>
      <c r="X1171" s="82" t="n"/>
      <c r="Y1171" s="82" t="n"/>
      <c r="Z1171" s="82" t="n"/>
    </row>
    <row r="1172" ht="15.75" customHeight="1" s="83">
      <c r="A1172" s="82" t="n"/>
      <c r="B1172" s="44" t="n"/>
      <c r="C1172" s="82" t="n"/>
      <c r="D1172" s="82" t="n"/>
      <c r="E1172" s="81" t="n"/>
      <c r="F1172" s="82" t="n"/>
      <c r="G1172" s="82" t="n"/>
      <c r="H1172" s="82" t="n"/>
      <c r="I1172" s="82" t="n"/>
      <c r="J1172" s="82" t="n"/>
      <c r="K1172" s="82" t="n"/>
      <c r="L1172" s="82" t="n"/>
      <c r="M1172" s="82" t="n"/>
      <c r="N1172" s="82" t="n"/>
      <c r="O1172" s="82" t="n"/>
      <c r="P1172" s="82" t="n"/>
      <c r="Q1172" s="82" t="n"/>
      <c r="R1172" s="82" t="n"/>
      <c r="S1172" s="82" t="n"/>
      <c r="T1172" s="82" t="n"/>
      <c r="U1172" s="82" t="n"/>
      <c r="V1172" s="82" t="n"/>
      <c r="W1172" s="82" t="n"/>
      <c r="X1172" s="82" t="n"/>
      <c r="Y1172" s="82" t="n"/>
      <c r="Z1172" s="82" t="n"/>
    </row>
    <row r="1173" ht="15.75" customHeight="1" s="83">
      <c r="A1173" s="82" t="n"/>
      <c r="B1173" s="44" t="n"/>
      <c r="C1173" s="82" t="n"/>
      <c r="D1173" s="82" t="n"/>
      <c r="E1173" s="81" t="n"/>
      <c r="F1173" s="82" t="n"/>
      <c r="G1173" s="82" t="n"/>
      <c r="H1173" s="82" t="n"/>
      <c r="I1173" s="82" t="n"/>
      <c r="J1173" s="82" t="n"/>
      <c r="K1173" s="82" t="n"/>
      <c r="L1173" s="82" t="n"/>
      <c r="M1173" s="82" t="n"/>
      <c r="N1173" s="82" t="n"/>
      <c r="O1173" s="82" t="n"/>
      <c r="P1173" s="82" t="n"/>
      <c r="Q1173" s="82" t="n"/>
      <c r="R1173" s="82" t="n"/>
      <c r="S1173" s="82" t="n"/>
      <c r="T1173" s="82" t="n"/>
      <c r="U1173" s="82" t="n"/>
      <c r="V1173" s="82" t="n"/>
      <c r="W1173" s="82" t="n"/>
      <c r="X1173" s="82" t="n"/>
      <c r="Y1173" s="82" t="n"/>
      <c r="Z1173" s="82" t="n"/>
    </row>
    <row r="1174" ht="15.75" customHeight="1" s="83">
      <c r="A1174" s="82" t="n"/>
      <c r="B1174" s="44" t="n"/>
      <c r="C1174" s="82" t="n"/>
      <c r="D1174" s="82" t="n"/>
      <c r="E1174" s="81" t="n"/>
      <c r="F1174" s="82" t="n"/>
      <c r="G1174" s="82" t="n"/>
      <c r="H1174" s="82" t="n"/>
      <c r="I1174" s="82" t="n"/>
      <c r="J1174" s="82" t="n"/>
      <c r="K1174" s="82" t="n"/>
      <c r="L1174" s="82" t="n"/>
      <c r="M1174" s="82" t="n"/>
      <c r="N1174" s="82" t="n"/>
      <c r="O1174" s="82" t="n"/>
      <c r="P1174" s="82" t="n"/>
      <c r="Q1174" s="82" t="n"/>
      <c r="R1174" s="82" t="n"/>
      <c r="S1174" s="82" t="n"/>
      <c r="T1174" s="82" t="n"/>
      <c r="U1174" s="82" t="n"/>
      <c r="V1174" s="82" t="n"/>
      <c r="W1174" s="82" t="n"/>
      <c r="X1174" s="82" t="n"/>
      <c r="Y1174" s="82" t="n"/>
      <c r="Z1174" s="82" t="n"/>
    </row>
    <row r="1175" ht="15.75" customHeight="1" s="83">
      <c r="A1175" s="82" t="n"/>
      <c r="B1175" s="44" t="n"/>
      <c r="C1175" s="82" t="n"/>
      <c r="D1175" s="82" t="n"/>
      <c r="E1175" s="81" t="n"/>
      <c r="F1175" s="82" t="n"/>
      <c r="G1175" s="82" t="n"/>
      <c r="H1175" s="82" t="n"/>
      <c r="I1175" s="82" t="n"/>
      <c r="J1175" s="82" t="n"/>
      <c r="K1175" s="82" t="n"/>
      <c r="L1175" s="82" t="n"/>
      <c r="M1175" s="82" t="n"/>
      <c r="N1175" s="82" t="n"/>
      <c r="O1175" s="82" t="n"/>
      <c r="P1175" s="82" t="n"/>
      <c r="Q1175" s="82" t="n"/>
      <c r="R1175" s="82" t="n"/>
      <c r="S1175" s="82" t="n"/>
      <c r="T1175" s="82" t="n"/>
      <c r="U1175" s="82" t="n"/>
      <c r="V1175" s="82" t="n"/>
      <c r="W1175" s="82" t="n"/>
      <c r="X1175" s="82" t="n"/>
      <c r="Y1175" s="82" t="n"/>
      <c r="Z1175" s="82" t="n"/>
    </row>
    <row r="1176" ht="15.75" customHeight="1" s="83">
      <c r="A1176" s="82" t="n"/>
      <c r="B1176" s="44" t="n"/>
      <c r="C1176" s="82" t="n"/>
      <c r="D1176" s="82" t="n"/>
      <c r="E1176" s="81" t="n"/>
      <c r="F1176" s="82" t="n"/>
      <c r="G1176" s="82" t="n"/>
      <c r="H1176" s="82" t="n"/>
      <c r="I1176" s="82" t="n"/>
      <c r="J1176" s="82" t="n"/>
      <c r="K1176" s="82" t="n"/>
      <c r="L1176" s="82" t="n"/>
      <c r="M1176" s="82" t="n"/>
      <c r="N1176" s="82" t="n"/>
      <c r="O1176" s="82" t="n"/>
      <c r="P1176" s="82" t="n"/>
      <c r="Q1176" s="82" t="n"/>
      <c r="R1176" s="82" t="n"/>
      <c r="S1176" s="82" t="n"/>
      <c r="T1176" s="82" t="n"/>
      <c r="U1176" s="82" t="n"/>
      <c r="V1176" s="82" t="n"/>
      <c r="W1176" s="82" t="n"/>
      <c r="X1176" s="82" t="n"/>
      <c r="Y1176" s="82" t="n"/>
      <c r="Z1176" s="82" t="n"/>
    </row>
    <row r="1177" ht="15.75" customHeight="1" s="83">
      <c r="A1177" s="82" t="n"/>
      <c r="B1177" s="44" t="n"/>
      <c r="C1177" s="82" t="n"/>
      <c r="D1177" s="82" t="n"/>
      <c r="E1177" s="81" t="n"/>
      <c r="F1177" s="82" t="n"/>
      <c r="G1177" s="82" t="n"/>
      <c r="H1177" s="82" t="n"/>
      <c r="I1177" s="82" t="n"/>
      <c r="J1177" s="82" t="n"/>
      <c r="K1177" s="82" t="n"/>
      <c r="L1177" s="82" t="n"/>
      <c r="M1177" s="82" t="n"/>
      <c r="N1177" s="82" t="n"/>
      <c r="O1177" s="82" t="n"/>
      <c r="P1177" s="82" t="n"/>
      <c r="Q1177" s="82" t="n"/>
      <c r="R1177" s="82" t="n"/>
      <c r="S1177" s="82" t="n"/>
      <c r="T1177" s="82" t="n"/>
      <c r="U1177" s="82" t="n"/>
      <c r="V1177" s="82" t="n"/>
      <c r="W1177" s="82" t="n"/>
      <c r="X1177" s="82" t="n"/>
      <c r="Y1177" s="82" t="n"/>
      <c r="Z1177" s="82" t="n"/>
    </row>
    <row r="1178" ht="15.75" customHeight="1" s="83">
      <c r="A1178" s="82" t="n"/>
      <c r="B1178" s="44" t="n"/>
      <c r="C1178" s="82" t="n"/>
      <c r="D1178" s="82" t="n"/>
      <c r="E1178" s="81" t="n"/>
      <c r="F1178" s="82" t="n"/>
      <c r="G1178" s="82" t="n"/>
      <c r="H1178" s="82" t="n"/>
      <c r="I1178" s="82" t="n"/>
      <c r="J1178" s="82" t="n"/>
      <c r="K1178" s="82" t="n"/>
      <c r="L1178" s="82" t="n"/>
      <c r="M1178" s="82" t="n"/>
      <c r="N1178" s="82" t="n"/>
      <c r="O1178" s="82" t="n"/>
      <c r="P1178" s="82" t="n"/>
      <c r="Q1178" s="82" t="n"/>
      <c r="R1178" s="82" t="n"/>
      <c r="S1178" s="82" t="n"/>
      <c r="T1178" s="82" t="n"/>
      <c r="U1178" s="82" t="n"/>
      <c r="V1178" s="82" t="n"/>
      <c r="W1178" s="82" t="n"/>
      <c r="X1178" s="82" t="n"/>
      <c r="Y1178" s="82" t="n"/>
      <c r="Z1178" s="82" t="n"/>
    </row>
    <row r="1179" ht="15.75" customHeight="1" s="83">
      <c r="A1179" s="82" t="n"/>
      <c r="B1179" s="44" t="n"/>
      <c r="C1179" s="82" t="n"/>
      <c r="D1179" s="82" t="n"/>
      <c r="E1179" s="81" t="n"/>
      <c r="F1179" s="82" t="n"/>
      <c r="G1179" s="82" t="n"/>
      <c r="H1179" s="82" t="n"/>
      <c r="I1179" s="82" t="n"/>
      <c r="J1179" s="82" t="n"/>
      <c r="K1179" s="82" t="n"/>
      <c r="L1179" s="82" t="n"/>
      <c r="M1179" s="82" t="n"/>
      <c r="N1179" s="82" t="n"/>
      <c r="O1179" s="82" t="n"/>
      <c r="P1179" s="82" t="n"/>
      <c r="Q1179" s="82" t="n"/>
      <c r="R1179" s="82" t="n"/>
      <c r="S1179" s="82" t="n"/>
      <c r="T1179" s="82" t="n"/>
      <c r="U1179" s="82" t="n"/>
      <c r="V1179" s="82" t="n"/>
      <c r="W1179" s="82" t="n"/>
      <c r="X1179" s="82" t="n"/>
      <c r="Y1179" s="82" t="n"/>
      <c r="Z1179" s="82" t="n"/>
    </row>
    <row r="1180" ht="15.75" customHeight="1" s="83">
      <c r="A1180" s="82" t="n"/>
      <c r="B1180" s="44" t="n"/>
      <c r="C1180" s="82" t="n"/>
      <c r="D1180" s="82" t="n"/>
      <c r="E1180" s="81" t="n"/>
      <c r="F1180" s="82" t="n"/>
      <c r="G1180" s="82" t="n"/>
      <c r="H1180" s="82" t="n"/>
      <c r="I1180" s="82" t="n"/>
      <c r="J1180" s="82" t="n"/>
      <c r="K1180" s="82" t="n"/>
      <c r="L1180" s="82" t="n"/>
      <c r="M1180" s="82" t="n"/>
      <c r="N1180" s="82" t="n"/>
      <c r="O1180" s="82" t="n"/>
      <c r="P1180" s="82" t="n"/>
      <c r="Q1180" s="82" t="n"/>
      <c r="R1180" s="82" t="n"/>
      <c r="S1180" s="82" t="n"/>
      <c r="T1180" s="82" t="n"/>
      <c r="U1180" s="82" t="n"/>
      <c r="V1180" s="82" t="n"/>
      <c r="W1180" s="82" t="n"/>
      <c r="X1180" s="82" t="n"/>
      <c r="Y1180" s="82" t="n"/>
      <c r="Z1180" s="82" t="n"/>
    </row>
    <row r="1181" ht="15.75" customHeight="1" s="83">
      <c r="A1181" s="82" t="n"/>
      <c r="B1181" s="44" t="n"/>
      <c r="C1181" s="82" t="n"/>
      <c r="D1181" s="82" t="n"/>
      <c r="E1181" s="81" t="n"/>
      <c r="F1181" s="82" t="n"/>
      <c r="G1181" s="82" t="n"/>
      <c r="H1181" s="82" t="n"/>
      <c r="I1181" s="82" t="n"/>
      <c r="J1181" s="82" t="n"/>
      <c r="K1181" s="82" t="n"/>
      <c r="L1181" s="82" t="n"/>
      <c r="M1181" s="82" t="n"/>
      <c r="N1181" s="82" t="n"/>
      <c r="O1181" s="82" t="n"/>
      <c r="P1181" s="82" t="n"/>
      <c r="Q1181" s="82" t="n"/>
      <c r="R1181" s="82" t="n"/>
      <c r="S1181" s="82" t="n"/>
      <c r="T1181" s="82" t="n"/>
      <c r="U1181" s="82" t="n"/>
      <c r="V1181" s="82" t="n"/>
      <c r="W1181" s="82" t="n"/>
      <c r="X1181" s="82" t="n"/>
      <c r="Y1181" s="82" t="n"/>
      <c r="Z1181" s="82" t="n"/>
    </row>
    <row r="1182" ht="15.75" customHeight="1" s="83">
      <c r="A1182" s="82" t="n"/>
      <c r="B1182" s="44" t="n"/>
      <c r="C1182" s="82" t="n"/>
      <c r="D1182" s="82" t="n"/>
      <c r="E1182" s="81" t="n"/>
      <c r="F1182" s="82" t="n"/>
      <c r="G1182" s="82" t="n"/>
      <c r="H1182" s="82" t="n"/>
      <c r="I1182" s="82" t="n"/>
      <c r="J1182" s="82" t="n"/>
      <c r="K1182" s="82" t="n"/>
      <c r="L1182" s="82" t="n"/>
      <c r="M1182" s="82" t="n"/>
      <c r="N1182" s="82" t="n"/>
      <c r="O1182" s="82" t="n"/>
      <c r="P1182" s="82" t="n"/>
      <c r="Q1182" s="82" t="n"/>
      <c r="R1182" s="82" t="n"/>
      <c r="S1182" s="82" t="n"/>
      <c r="T1182" s="82" t="n"/>
      <c r="U1182" s="82" t="n"/>
      <c r="V1182" s="82" t="n"/>
      <c r="W1182" s="82" t="n"/>
      <c r="X1182" s="82" t="n"/>
      <c r="Y1182" s="82" t="n"/>
      <c r="Z1182" s="82" t="n"/>
    </row>
    <row r="1183" ht="15.75" customHeight="1" s="83">
      <c r="A1183" s="82" t="n"/>
      <c r="B1183" s="44" t="n"/>
      <c r="C1183" s="82" t="n"/>
      <c r="D1183" s="82" t="n"/>
      <c r="E1183" s="81" t="n"/>
      <c r="F1183" s="82" t="n"/>
      <c r="G1183" s="82" t="n"/>
      <c r="H1183" s="82" t="n"/>
      <c r="I1183" s="82" t="n"/>
      <c r="J1183" s="82" t="n"/>
      <c r="K1183" s="82" t="n"/>
      <c r="L1183" s="82" t="n"/>
      <c r="M1183" s="82" t="n"/>
      <c r="N1183" s="82" t="n"/>
      <c r="O1183" s="82" t="n"/>
      <c r="P1183" s="82" t="n"/>
      <c r="Q1183" s="82" t="n"/>
      <c r="R1183" s="82" t="n"/>
      <c r="S1183" s="82" t="n"/>
      <c r="T1183" s="82" t="n"/>
      <c r="U1183" s="82" t="n"/>
      <c r="V1183" s="82" t="n"/>
      <c r="W1183" s="82" t="n"/>
      <c r="X1183" s="82" t="n"/>
      <c r="Y1183" s="82" t="n"/>
      <c r="Z1183" s="82" t="n"/>
    </row>
    <row r="1184" ht="15.75" customHeight="1" s="83">
      <c r="A1184" s="82" t="n"/>
      <c r="B1184" s="44" t="n"/>
      <c r="C1184" s="82" t="n"/>
      <c r="D1184" s="82" t="n"/>
      <c r="E1184" s="81" t="n"/>
      <c r="F1184" s="82" t="n"/>
      <c r="G1184" s="82" t="n"/>
      <c r="H1184" s="82" t="n"/>
      <c r="I1184" s="82" t="n"/>
      <c r="J1184" s="82" t="n"/>
      <c r="K1184" s="82" t="n"/>
      <c r="L1184" s="82" t="n"/>
      <c r="M1184" s="82" t="n"/>
      <c r="N1184" s="82" t="n"/>
      <c r="O1184" s="82" t="n"/>
      <c r="P1184" s="82" t="n"/>
      <c r="Q1184" s="82" t="n"/>
      <c r="R1184" s="82" t="n"/>
      <c r="S1184" s="82" t="n"/>
      <c r="T1184" s="82" t="n"/>
      <c r="U1184" s="82" t="n"/>
      <c r="V1184" s="82" t="n"/>
      <c r="W1184" s="82" t="n"/>
      <c r="X1184" s="82" t="n"/>
      <c r="Y1184" s="82" t="n"/>
      <c r="Z1184" s="82" t="n"/>
    </row>
    <row r="1185" ht="15.75" customHeight="1" s="83">
      <c r="A1185" s="82" t="n"/>
      <c r="B1185" s="44" t="n"/>
      <c r="C1185" s="82" t="n"/>
      <c r="D1185" s="82" t="n"/>
      <c r="E1185" s="81" t="n"/>
      <c r="F1185" s="82" t="n"/>
      <c r="G1185" s="82" t="n"/>
      <c r="H1185" s="82" t="n"/>
      <c r="I1185" s="82" t="n"/>
      <c r="J1185" s="82" t="n"/>
      <c r="K1185" s="82" t="n"/>
      <c r="L1185" s="82" t="n"/>
      <c r="M1185" s="82" t="n"/>
      <c r="N1185" s="82" t="n"/>
      <c r="O1185" s="82" t="n"/>
      <c r="P1185" s="82" t="n"/>
      <c r="Q1185" s="82" t="n"/>
      <c r="R1185" s="82" t="n"/>
      <c r="S1185" s="82" t="n"/>
      <c r="T1185" s="82" t="n"/>
      <c r="U1185" s="82" t="n"/>
      <c r="V1185" s="82" t="n"/>
      <c r="W1185" s="82" t="n"/>
      <c r="X1185" s="82" t="n"/>
      <c r="Y1185" s="82" t="n"/>
      <c r="Z1185" s="82" t="n"/>
    </row>
    <row r="1186" ht="15.75" customHeight="1" s="83">
      <c r="A1186" s="82" t="n"/>
      <c r="B1186" s="44" t="n"/>
      <c r="C1186" s="82" t="n"/>
      <c r="D1186" s="82" t="n"/>
      <c r="E1186" s="81" t="n"/>
      <c r="F1186" s="82" t="n"/>
      <c r="G1186" s="82" t="n"/>
      <c r="H1186" s="82" t="n"/>
      <c r="I1186" s="82" t="n"/>
      <c r="J1186" s="82" t="n"/>
      <c r="K1186" s="82" t="n"/>
      <c r="L1186" s="82" t="n"/>
      <c r="M1186" s="82" t="n"/>
      <c r="N1186" s="82" t="n"/>
      <c r="O1186" s="82" t="n"/>
      <c r="P1186" s="82" t="n"/>
      <c r="Q1186" s="82" t="n"/>
      <c r="R1186" s="82" t="n"/>
      <c r="S1186" s="82" t="n"/>
      <c r="T1186" s="82" t="n"/>
      <c r="U1186" s="82" t="n"/>
      <c r="V1186" s="82" t="n"/>
      <c r="W1186" s="82" t="n"/>
      <c r="X1186" s="82" t="n"/>
      <c r="Y1186" s="82" t="n"/>
      <c r="Z1186" s="82" t="n"/>
    </row>
    <row r="1187" ht="15.75" customHeight="1" s="83">
      <c r="A1187" s="82" t="n"/>
      <c r="B1187" s="44" t="n"/>
      <c r="C1187" s="82" t="n"/>
      <c r="D1187" s="82" t="n"/>
      <c r="E1187" s="81" t="n"/>
      <c r="F1187" s="82" t="n"/>
      <c r="G1187" s="82" t="n"/>
      <c r="H1187" s="82" t="n"/>
      <c r="I1187" s="82" t="n"/>
      <c r="J1187" s="82" t="n"/>
      <c r="K1187" s="82" t="n"/>
      <c r="L1187" s="82" t="n"/>
      <c r="M1187" s="82" t="n"/>
      <c r="N1187" s="82" t="n"/>
      <c r="O1187" s="82" t="n"/>
      <c r="P1187" s="82" t="n"/>
      <c r="Q1187" s="82" t="n"/>
      <c r="R1187" s="82" t="n"/>
      <c r="S1187" s="82" t="n"/>
      <c r="T1187" s="82" t="n"/>
      <c r="U1187" s="82" t="n"/>
      <c r="V1187" s="82" t="n"/>
      <c r="W1187" s="82" t="n"/>
      <c r="X1187" s="82" t="n"/>
      <c r="Y1187" s="82" t="n"/>
      <c r="Z1187" s="82" t="n"/>
    </row>
    <row r="1188" ht="15.75" customHeight="1" s="83">
      <c r="A1188" s="82" t="n"/>
      <c r="B1188" s="44" t="n"/>
      <c r="C1188" s="82" t="n"/>
      <c r="D1188" s="82" t="n"/>
      <c r="E1188" s="81" t="n"/>
      <c r="F1188" s="82" t="n"/>
      <c r="G1188" s="82" t="n"/>
      <c r="H1188" s="82" t="n"/>
      <c r="I1188" s="82" t="n"/>
      <c r="J1188" s="82" t="n"/>
      <c r="K1188" s="82" t="n"/>
      <c r="L1188" s="82" t="n"/>
      <c r="M1188" s="82" t="n"/>
      <c r="N1188" s="82" t="n"/>
      <c r="O1188" s="82" t="n"/>
      <c r="P1188" s="82" t="n"/>
      <c r="Q1188" s="82" t="n"/>
      <c r="R1188" s="82" t="n"/>
      <c r="S1188" s="82" t="n"/>
      <c r="T1188" s="82" t="n"/>
      <c r="U1188" s="82" t="n"/>
      <c r="V1188" s="82" t="n"/>
      <c r="W1188" s="82" t="n"/>
      <c r="X1188" s="82" t="n"/>
      <c r="Y1188" s="82" t="n"/>
      <c r="Z1188" s="82" t="n"/>
    </row>
    <row r="1189" ht="15.75" customHeight="1" s="83">
      <c r="A1189" s="82" t="n"/>
      <c r="B1189" s="44" t="n"/>
      <c r="C1189" s="82" t="n"/>
      <c r="D1189" s="82" t="n"/>
      <c r="E1189" s="81" t="n"/>
      <c r="F1189" s="82" t="n"/>
      <c r="G1189" s="82" t="n"/>
      <c r="H1189" s="82" t="n"/>
      <c r="I1189" s="82" t="n"/>
      <c r="J1189" s="82" t="n"/>
      <c r="K1189" s="82" t="n"/>
      <c r="L1189" s="82" t="n"/>
      <c r="M1189" s="82" t="n"/>
      <c r="N1189" s="82" t="n"/>
      <c r="O1189" s="82" t="n"/>
      <c r="P1189" s="82" t="n"/>
      <c r="Q1189" s="82" t="n"/>
      <c r="R1189" s="82" t="n"/>
      <c r="S1189" s="82" t="n"/>
      <c r="T1189" s="82" t="n"/>
      <c r="U1189" s="82" t="n"/>
      <c r="V1189" s="82" t="n"/>
      <c r="W1189" s="82" t="n"/>
      <c r="X1189" s="82" t="n"/>
      <c r="Y1189" s="82" t="n"/>
      <c r="Z1189" s="82" t="n"/>
    </row>
    <row r="1190" ht="15.75" customHeight="1" s="83">
      <c r="A1190" s="82" t="n"/>
      <c r="B1190" s="44" t="n"/>
      <c r="C1190" s="82" t="n"/>
      <c r="D1190" s="82" t="n"/>
      <c r="E1190" s="81" t="n"/>
      <c r="F1190" s="82" t="n"/>
      <c r="G1190" s="82" t="n"/>
      <c r="H1190" s="82" t="n"/>
      <c r="I1190" s="82" t="n"/>
      <c r="J1190" s="82" t="n"/>
      <c r="K1190" s="82" t="n"/>
      <c r="L1190" s="82" t="n"/>
      <c r="M1190" s="82" t="n"/>
      <c r="N1190" s="82" t="n"/>
      <c r="O1190" s="82" t="n"/>
      <c r="P1190" s="82" t="n"/>
      <c r="Q1190" s="82" t="n"/>
      <c r="R1190" s="82" t="n"/>
      <c r="S1190" s="82" t="n"/>
      <c r="T1190" s="82" t="n"/>
      <c r="U1190" s="82" t="n"/>
      <c r="V1190" s="82" t="n"/>
      <c r="W1190" s="82" t="n"/>
      <c r="X1190" s="82" t="n"/>
      <c r="Y1190" s="82" t="n"/>
      <c r="Z1190" s="82" t="n"/>
    </row>
    <row r="1191" ht="15.75" customHeight="1" s="83">
      <c r="A1191" s="82" t="n"/>
      <c r="B1191" s="44" t="n"/>
      <c r="C1191" s="82" t="n"/>
      <c r="D1191" s="82" t="n"/>
      <c r="E1191" s="81" t="n"/>
      <c r="F1191" s="82" t="n"/>
      <c r="G1191" s="82" t="n"/>
      <c r="H1191" s="82" t="n"/>
      <c r="I1191" s="82" t="n"/>
      <c r="J1191" s="82" t="n"/>
      <c r="K1191" s="82" t="n"/>
      <c r="L1191" s="82" t="n"/>
      <c r="M1191" s="82" t="n"/>
      <c r="N1191" s="82" t="n"/>
      <c r="O1191" s="82" t="n"/>
      <c r="P1191" s="82" t="n"/>
      <c r="Q1191" s="82" t="n"/>
      <c r="R1191" s="82" t="n"/>
      <c r="S1191" s="82" t="n"/>
      <c r="T1191" s="82" t="n"/>
      <c r="U1191" s="82" t="n"/>
      <c r="V1191" s="82" t="n"/>
      <c r="W1191" s="82" t="n"/>
      <c r="X1191" s="82" t="n"/>
      <c r="Y1191" s="82" t="n"/>
      <c r="Z1191" s="82" t="n"/>
    </row>
    <row r="1192" ht="15.75" customHeight="1" s="83">
      <c r="A1192" s="82" t="n"/>
      <c r="B1192" s="44" t="n"/>
      <c r="C1192" s="82" t="n"/>
      <c r="D1192" s="82" t="n"/>
      <c r="E1192" s="81" t="n"/>
      <c r="F1192" s="82" t="n"/>
      <c r="G1192" s="82" t="n"/>
      <c r="H1192" s="82" t="n"/>
      <c r="I1192" s="82" t="n"/>
      <c r="J1192" s="82" t="n"/>
      <c r="K1192" s="82" t="n"/>
      <c r="L1192" s="82" t="n"/>
      <c r="M1192" s="82" t="n"/>
      <c r="N1192" s="82" t="n"/>
      <c r="O1192" s="82" t="n"/>
      <c r="P1192" s="82" t="n"/>
      <c r="Q1192" s="82" t="n"/>
      <c r="R1192" s="82" t="n"/>
      <c r="S1192" s="82" t="n"/>
      <c r="T1192" s="82" t="n"/>
      <c r="U1192" s="82" t="n"/>
      <c r="V1192" s="82" t="n"/>
      <c r="W1192" s="82" t="n"/>
      <c r="X1192" s="82" t="n"/>
      <c r="Y1192" s="82" t="n"/>
      <c r="Z1192" s="82" t="n"/>
    </row>
    <row r="1193" ht="15.75" customHeight="1" s="83">
      <c r="A1193" s="82" t="n"/>
      <c r="B1193" s="44" t="n"/>
      <c r="C1193" s="82" t="n"/>
      <c r="D1193" s="82" t="n"/>
      <c r="E1193" s="81" t="n"/>
      <c r="F1193" s="82" t="n"/>
      <c r="G1193" s="82" t="n"/>
      <c r="H1193" s="82" t="n"/>
      <c r="I1193" s="82" t="n"/>
      <c r="J1193" s="82" t="n"/>
      <c r="K1193" s="82" t="n"/>
      <c r="L1193" s="82" t="n"/>
      <c r="M1193" s="82" t="n"/>
      <c r="N1193" s="82" t="n"/>
      <c r="O1193" s="82" t="n"/>
      <c r="P1193" s="82" t="n"/>
      <c r="Q1193" s="82" t="n"/>
      <c r="R1193" s="82" t="n"/>
      <c r="S1193" s="82" t="n"/>
      <c r="T1193" s="82" t="n"/>
      <c r="U1193" s="82" t="n"/>
      <c r="V1193" s="82" t="n"/>
      <c r="W1193" s="82" t="n"/>
      <c r="X1193" s="82" t="n"/>
      <c r="Y1193" s="82" t="n"/>
      <c r="Z1193" s="82" t="n"/>
    </row>
    <row r="1194" ht="15.75" customHeight="1" s="83">
      <c r="A1194" s="82" t="n"/>
      <c r="B1194" s="44" t="n"/>
      <c r="C1194" s="82" t="n"/>
      <c r="D1194" s="82" t="n"/>
      <c r="E1194" s="81" t="n"/>
      <c r="F1194" s="82" t="n"/>
      <c r="G1194" s="82" t="n"/>
      <c r="H1194" s="82" t="n"/>
      <c r="I1194" s="82" t="n"/>
      <c r="J1194" s="82" t="n"/>
      <c r="K1194" s="82" t="n"/>
      <c r="L1194" s="82" t="n"/>
      <c r="M1194" s="82" t="n"/>
      <c r="N1194" s="82" t="n"/>
      <c r="O1194" s="82" t="n"/>
      <c r="P1194" s="82" t="n"/>
      <c r="Q1194" s="82" t="n"/>
      <c r="R1194" s="82" t="n"/>
      <c r="S1194" s="82" t="n"/>
      <c r="T1194" s="82" t="n"/>
      <c r="U1194" s="82" t="n"/>
      <c r="V1194" s="82" t="n"/>
      <c r="W1194" s="82" t="n"/>
      <c r="X1194" s="82" t="n"/>
      <c r="Y1194" s="82" t="n"/>
      <c r="Z1194" s="82" t="n"/>
    </row>
    <row r="1195" ht="15.75" customHeight="1" s="83">
      <c r="A1195" s="82" t="n"/>
      <c r="B1195" s="44" t="n"/>
      <c r="C1195" s="82" t="n"/>
      <c r="D1195" s="82" t="n"/>
      <c r="E1195" s="81" t="n"/>
      <c r="F1195" s="82" t="n"/>
      <c r="G1195" s="82" t="n"/>
      <c r="H1195" s="82" t="n"/>
      <c r="I1195" s="82" t="n"/>
      <c r="J1195" s="82" t="n"/>
      <c r="K1195" s="82" t="n"/>
      <c r="L1195" s="82" t="n"/>
      <c r="M1195" s="82" t="n"/>
      <c r="N1195" s="82" t="n"/>
      <c r="O1195" s="82" t="n"/>
      <c r="P1195" s="82" t="n"/>
      <c r="Q1195" s="82" t="n"/>
      <c r="R1195" s="82" t="n"/>
      <c r="S1195" s="82" t="n"/>
      <c r="T1195" s="82" t="n"/>
      <c r="U1195" s="82" t="n"/>
      <c r="V1195" s="82" t="n"/>
      <c r="W1195" s="82" t="n"/>
      <c r="X1195" s="82" t="n"/>
      <c r="Y1195" s="82" t="n"/>
      <c r="Z1195" s="82" t="n"/>
    </row>
    <row r="1196" ht="15.75" customHeight="1" s="83">
      <c r="A1196" s="82" t="n"/>
      <c r="B1196" s="44" t="n"/>
      <c r="C1196" s="82" t="n"/>
      <c r="D1196" s="82" t="n"/>
      <c r="E1196" s="81" t="n"/>
      <c r="F1196" s="82" t="n"/>
      <c r="G1196" s="82" t="n"/>
      <c r="H1196" s="82" t="n"/>
      <c r="I1196" s="82" t="n"/>
      <c r="J1196" s="82" t="n"/>
      <c r="K1196" s="82" t="n"/>
      <c r="L1196" s="82" t="n"/>
      <c r="M1196" s="82" t="n"/>
      <c r="N1196" s="82" t="n"/>
      <c r="O1196" s="82" t="n"/>
      <c r="P1196" s="82" t="n"/>
      <c r="Q1196" s="82" t="n"/>
      <c r="R1196" s="82" t="n"/>
      <c r="S1196" s="82" t="n"/>
      <c r="T1196" s="82" t="n"/>
      <c r="U1196" s="82" t="n"/>
      <c r="V1196" s="82" t="n"/>
      <c r="W1196" s="82" t="n"/>
      <c r="X1196" s="82" t="n"/>
      <c r="Y1196" s="82" t="n"/>
      <c r="Z1196" s="82" t="n"/>
    </row>
    <row r="1197" ht="15.75" customHeight="1" s="83">
      <c r="A1197" s="82" t="n"/>
      <c r="B1197" s="44" t="n"/>
      <c r="C1197" s="82" t="n"/>
      <c r="D1197" s="82" t="n"/>
      <c r="E1197" s="81" t="n"/>
      <c r="F1197" s="82" t="n"/>
      <c r="G1197" s="82" t="n"/>
      <c r="H1197" s="82" t="n"/>
      <c r="I1197" s="82" t="n"/>
      <c r="J1197" s="82" t="n"/>
      <c r="K1197" s="82" t="n"/>
      <c r="L1197" s="82" t="n"/>
      <c r="M1197" s="82" t="n"/>
      <c r="N1197" s="82" t="n"/>
      <c r="O1197" s="82" t="n"/>
      <c r="P1197" s="82" t="n"/>
      <c r="Q1197" s="82" t="n"/>
      <c r="R1197" s="82" t="n"/>
      <c r="S1197" s="82" t="n"/>
      <c r="T1197" s="82" t="n"/>
      <c r="U1197" s="82" t="n"/>
      <c r="V1197" s="82" t="n"/>
      <c r="W1197" s="82" t="n"/>
      <c r="X1197" s="82" t="n"/>
      <c r="Y1197" s="82" t="n"/>
      <c r="Z1197" s="82" t="n"/>
    </row>
    <row r="1198" ht="15.75" customHeight="1" s="83">
      <c r="A1198" s="82" t="n"/>
      <c r="B1198" s="44" t="n"/>
      <c r="C1198" s="82" t="n"/>
      <c r="D1198" s="82" t="n"/>
      <c r="E1198" s="81" t="n"/>
      <c r="F1198" s="82" t="n"/>
      <c r="G1198" s="82" t="n"/>
      <c r="H1198" s="82" t="n"/>
      <c r="I1198" s="82" t="n"/>
      <c r="J1198" s="82" t="n"/>
      <c r="K1198" s="82" t="n"/>
      <c r="L1198" s="82" t="n"/>
      <c r="M1198" s="82" t="n"/>
      <c r="N1198" s="82" t="n"/>
      <c r="O1198" s="82" t="n"/>
      <c r="P1198" s="82" t="n"/>
      <c r="Q1198" s="82" t="n"/>
      <c r="R1198" s="82" t="n"/>
      <c r="S1198" s="82" t="n"/>
      <c r="T1198" s="82" t="n"/>
      <c r="U1198" s="82" t="n"/>
      <c r="V1198" s="82" t="n"/>
      <c r="W1198" s="82" t="n"/>
      <c r="X1198" s="82" t="n"/>
      <c r="Y1198" s="82" t="n"/>
      <c r="Z1198" s="82" t="n"/>
    </row>
    <row r="1199" ht="15.75" customHeight="1" s="83">
      <c r="A1199" s="82" t="n"/>
      <c r="B1199" s="44" t="n"/>
      <c r="C1199" s="82" t="n"/>
      <c r="D1199" s="82" t="n"/>
      <c r="E1199" s="81" t="n"/>
      <c r="F1199" s="82" t="n"/>
      <c r="G1199" s="82" t="n"/>
      <c r="H1199" s="82" t="n"/>
      <c r="I1199" s="82" t="n"/>
      <c r="J1199" s="82" t="n"/>
      <c r="K1199" s="82" t="n"/>
      <c r="L1199" s="82" t="n"/>
      <c r="M1199" s="82" t="n"/>
      <c r="N1199" s="82" t="n"/>
      <c r="O1199" s="82" t="n"/>
      <c r="P1199" s="82" t="n"/>
      <c r="Q1199" s="82" t="n"/>
      <c r="R1199" s="82" t="n"/>
      <c r="S1199" s="82" t="n"/>
      <c r="T1199" s="82" t="n"/>
      <c r="U1199" s="82" t="n"/>
      <c r="V1199" s="82" t="n"/>
      <c r="W1199" s="82" t="n"/>
      <c r="X1199" s="82" t="n"/>
      <c r="Y1199" s="82" t="n"/>
      <c r="Z1199" s="82" t="n"/>
    </row>
    <row r="1200" ht="15.75" customHeight="1" s="83">
      <c r="A1200" s="82" t="n"/>
      <c r="B1200" s="44" t="n"/>
      <c r="C1200" s="82" t="n"/>
      <c r="D1200" s="82" t="n"/>
      <c r="E1200" s="81" t="n"/>
      <c r="F1200" s="82" t="n"/>
      <c r="G1200" s="82" t="n"/>
      <c r="H1200" s="82" t="n"/>
      <c r="I1200" s="82" t="n"/>
      <c r="J1200" s="82" t="n"/>
      <c r="K1200" s="82" t="n"/>
      <c r="L1200" s="82" t="n"/>
      <c r="M1200" s="82" t="n"/>
      <c r="N1200" s="82" t="n"/>
      <c r="O1200" s="82" t="n"/>
      <c r="P1200" s="82" t="n"/>
      <c r="Q1200" s="82" t="n"/>
      <c r="R1200" s="82" t="n"/>
      <c r="S1200" s="82" t="n"/>
      <c r="T1200" s="82" t="n"/>
      <c r="U1200" s="82" t="n"/>
      <c r="V1200" s="82" t="n"/>
      <c r="W1200" s="82" t="n"/>
      <c r="X1200" s="82" t="n"/>
      <c r="Y1200" s="82" t="n"/>
      <c r="Z1200" s="82" t="n"/>
    </row>
    <row r="1201" ht="15.75" customHeight="1" s="83">
      <c r="A1201" s="82" t="n"/>
      <c r="B1201" s="44" t="n"/>
      <c r="C1201" s="82" t="n"/>
      <c r="D1201" s="82" t="n"/>
      <c r="E1201" s="81" t="n"/>
      <c r="F1201" s="82" t="n"/>
      <c r="G1201" s="82" t="n"/>
      <c r="H1201" s="82" t="n"/>
      <c r="I1201" s="82" t="n"/>
      <c r="J1201" s="82" t="n"/>
      <c r="K1201" s="82" t="n"/>
      <c r="L1201" s="82" t="n"/>
      <c r="M1201" s="82" t="n"/>
      <c r="N1201" s="82" t="n"/>
      <c r="O1201" s="82" t="n"/>
      <c r="P1201" s="82" t="n"/>
      <c r="Q1201" s="82" t="n"/>
      <c r="R1201" s="82" t="n"/>
      <c r="S1201" s="82" t="n"/>
      <c r="T1201" s="82" t="n"/>
      <c r="U1201" s="82" t="n"/>
      <c r="V1201" s="82" t="n"/>
      <c r="W1201" s="82" t="n"/>
      <c r="X1201" s="82" t="n"/>
      <c r="Y1201" s="82" t="n"/>
      <c r="Z1201" s="82" t="n"/>
    </row>
    <row r="1202" ht="15.75" customHeight="1" s="83">
      <c r="A1202" s="82" t="n"/>
      <c r="B1202" s="44" t="n"/>
      <c r="C1202" s="82" t="n"/>
      <c r="D1202" s="82" t="n"/>
      <c r="E1202" s="81" t="n"/>
      <c r="F1202" s="82" t="n"/>
      <c r="G1202" s="82" t="n"/>
      <c r="H1202" s="82" t="n"/>
      <c r="I1202" s="82" t="n"/>
      <c r="J1202" s="82" t="n"/>
      <c r="K1202" s="82" t="n"/>
      <c r="L1202" s="82" t="n"/>
      <c r="M1202" s="82" t="n"/>
      <c r="N1202" s="82" t="n"/>
      <c r="O1202" s="82" t="n"/>
      <c r="P1202" s="82" t="n"/>
      <c r="Q1202" s="82" t="n"/>
      <c r="R1202" s="82" t="n"/>
      <c r="S1202" s="82" t="n"/>
      <c r="T1202" s="82" t="n"/>
      <c r="U1202" s="82" t="n"/>
      <c r="V1202" s="82" t="n"/>
      <c r="W1202" s="82" t="n"/>
      <c r="X1202" s="82" t="n"/>
      <c r="Y1202" s="82" t="n"/>
      <c r="Z1202" s="82" t="n"/>
    </row>
    <row r="1203" ht="15.75" customHeight="1" s="83">
      <c r="A1203" s="82" t="n"/>
      <c r="B1203" s="44" t="n"/>
      <c r="C1203" s="82" t="n"/>
      <c r="D1203" s="82" t="n"/>
      <c r="E1203" s="81" t="n"/>
      <c r="F1203" s="82" t="n"/>
      <c r="G1203" s="82" t="n"/>
      <c r="H1203" s="82" t="n"/>
      <c r="I1203" s="82" t="n"/>
      <c r="J1203" s="82" t="n"/>
      <c r="K1203" s="82" t="n"/>
      <c r="L1203" s="82" t="n"/>
      <c r="M1203" s="82" t="n"/>
      <c r="N1203" s="82" t="n"/>
      <c r="O1203" s="82" t="n"/>
      <c r="P1203" s="82" t="n"/>
      <c r="Q1203" s="82" t="n"/>
      <c r="R1203" s="82" t="n"/>
      <c r="S1203" s="82" t="n"/>
      <c r="T1203" s="82" t="n"/>
      <c r="U1203" s="82" t="n"/>
      <c r="V1203" s="82" t="n"/>
      <c r="W1203" s="82" t="n"/>
      <c r="X1203" s="82" t="n"/>
      <c r="Y1203" s="82" t="n"/>
      <c r="Z1203" s="82" t="n"/>
    </row>
    <row r="1204" ht="15.75" customHeight="1" s="83">
      <c r="A1204" s="82" t="n"/>
      <c r="B1204" s="44" t="n"/>
      <c r="C1204" s="82" t="n"/>
      <c r="D1204" s="82" t="n"/>
      <c r="E1204" s="81" t="n"/>
      <c r="F1204" s="82" t="n"/>
      <c r="G1204" s="82" t="n"/>
      <c r="H1204" s="82" t="n"/>
      <c r="I1204" s="82" t="n"/>
      <c r="J1204" s="82" t="n"/>
      <c r="K1204" s="82" t="n"/>
      <c r="L1204" s="82" t="n"/>
      <c r="M1204" s="82" t="n"/>
      <c r="N1204" s="82" t="n"/>
      <c r="O1204" s="82" t="n"/>
      <c r="P1204" s="82" t="n"/>
      <c r="Q1204" s="82" t="n"/>
      <c r="R1204" s="82" t="n"/>
      <c r="S1204" s="82" t="n"/>
      <c r="T1204" s="82" t="n"/>
      <c r="U1204" s="82" t="n"/>
      <c r="V1204" s="82" t="n"/>
      <c r="W1204" s="82" t="n"/>
      <c r="X1204" s="82" t="n"/>
      <c r="Y1204" s="82" t="n"/>
      <c r="Z1204" s="82" t="n"/>
    </row>
    <row r="1205" ht="15.75" customHeight="1" s="83">
      <c r="A1205" s="82" t="n"/>
      <c r="B1205" s="44" t="n"/>
      <c r="C1205" s="82" t="n"/>
      <c r="D1205" s="82" t="n"/>
      <c r="E1205" s="81" t="n"/>
      <c r="F1205" s="82" t="n"/>
      <c r="G1205" s="82" t="n"/>
      <c r="H1205" s="82" t="n"/>
      <c r="I1205" s="82" t="n"/>
      <c r="J1205" s="82" t="n"/>
      <c r="K1205" s="82" t="n"/>
      <c r="L1205" s="82" t="n"/>
      <c r="M1205" s="82" t="n"/>
      <c r="N1205" s="82" t="n"/>
      <c r="O1205" s="82" t="n"/>
      <c r="P1205" s="82" t="n"/>
      <c r="Q1205" s="82" t="n"/>
      <c r="R1205" s="82" t="n"/>
      <c r="S1205" s="82" t="n"/>
      <c r="T1205" s="82" t="n"/>
      <c r="U1205" s="82" t="n"/>
      <c r="V1205" s="82" t="n"/>
      <c r="W1205" s="82" t="n"/>
      <c r="X1205" s="82" t="n"/>
      <c r="Y1205" s="82" t="n"/>
      <c r="Z1205" s="82" t="n"/>
    </row>
    <row r="1206" ht="15.75" customHeight="1" s="83">
      <c r="A1206" s="82" t="n"/>
      <c r="B1206" s="44" t="n"/>
      <c r="C1206" s="82" t="n"/>
      <c r="D1206" s="82" t="n"/>
      <c r="E1206" s="81" t="n"/>
      <c r="F1206" s="82" t="n"/>
      <c r="G1206" s="82" t="n"/>
      <c r="H1206" s="82" t="n"/>
      <c r="I1206" s="82" t="n"/>
      <c r="J1206" s="82" t="n"/>
      <c r="K1206" s="82" t="n"/>
      <c r="L1206" s="82" t="n"/>
      <c r="M1206" s="82" t="n"/>
      <c r="N1206" s="82" t="n"/>
      <c r="O1206" s="82" t="n"/>
      <c r="P1206" s="82" t="n"/>
      <c r="Q1206" s="82" t="n"/>
      <c r="R1206" s="82" t="n"/>
      <c r="S1206" s="82" t="n"/>
      <c r="T1206" s="82" t="n"/>
      <c r="U1206" s="82" t="n"/>
      <c r="V1206" s="82" t="n"/>
      <c r="W1206" s="82" t="n"/>
      <c r="X1206" s="82" t="n"/>
      <c r="Y1206" s="82" t="n"/>
      <c r="Z1206" s="82" t="n"/>
    </row>
    <row r="1207" ht="15.75" customHeight="1" s="83">
      <c r="A1207" s="82" t="n"/>
      <c r="B1207" s="44" t="n"/>
      <c r="C1207" s="82" t="n"/>
      <c r="D1207" s="82" t="n"/>
      <c r="E1207" s="81" t="n"/>
      <c r="F1207" s="82" t="n"/>
      <c r="G1207" s="82" t="n"/>
      <c r="H1207" s="82" t="n"/>
      <c r="I1207" s="82" t="n"/>
      <c r="J1207" s="82" t="n"/>
      <c r="K1207" s="82" t="n"/>
      <c r="L1207" s="82" t="n"/>
      <c r="M1207" s="82" t="n"/>
      <c r="N1207" s="82" t="n"/>
      <c r="O1207" s="82" t="n"/>
      <c r="P1207" s="82" t="n"/>
      <c r="Q1207" s="82" t="n"/>
      <c r="R1207" s="82" t="n"/>
      <c r="S1207" s="82" t="n"/>
      <c r="T1207" s="82" t="n"/>
      <c r="U1207" s="82" t="n"/>
      <c r="V1207" s="82" t="n"/>
      <c r="W1207" s="82" t="n"/>
      <c r="X1207" s="82" t="n"/>
      <c r="Y1207" s="82" t="n"/>
      <c r="Z1207" s="82" t="n"/>
    </row>
    <row r="1208" ht="15.75" customHeight="1" s="83">
      <c r="A1208" s="82" t="n"/>
      <c r="B1208" s="44" t="n"/>
      <c r="C1208" s="82" t="n"/>
      <c r="D1208" s="82" t="n"/>
      <c r="E1208" s="81" t="n"/>
      <c r="F1208" s="82" t="n"/>
      <c r="G1208" s="82" t="n"/>
      <c r="H1208" s="82" t="n"/>
      <c r="I1208" s="82" t="n"/>
      <c r="J1208" s="82" t="n"/>
      <c r="K1208" s="82" t="n"/>
      <c r="L1208" s="82" t="n"/>
      <c r="M1208" s="82" t="n"/>
      <c r="N1208" s="82" t="n"/>
      <c r="O1208" s="82" t="n"/>
      <c r="P1208" s="82" t="n"/>
      <c r="Q1208" s="82" t="n"/>
      <c r="R1208" s="82" t="n"/>
      <c r="S1208" s="82" t="n"/>
      <c r="T1208" s="82" t="n"/>
      <c r="U1208" s="82" t="n"/>
      <c r="V1208" s="82" t="n"/>
      <c r="W1208" s="82" t="n"/>
      <c r="X1208" s="82" t="n"/>
      <c r="Y1208" s="82" t="n"/>
      <c r="Z1208" s="82" t="n"/>
    </row>
    <row r="1209" ht="15.75" customHeight="1" s="83">
      <c r="A1209" s="82" t="n"/>
      <c r="B1209" s="44" t="n"/>
      <c r="C1209" s="82" t="n"/>
      <c r="D1209" s="82" t="n"/>
      <c r="E1209" s="81" t="n"/>
      <c r="F1209" s="82" t="n"/>
      <c r="G1209" s="82" t="n"/>
      <c r="H1209" s="82" t="n"/>
      <c r="I1209" s="82" t="n"/>
      <c r="J1209" s="82" t="n"/>
      <c r="K1209" s="82" t="n"/>
      <c r="L1209" s="82" t="n"/>
      <c r="M1209" s="82" t="n"/>
      <c r="N1209" s="82" t="n"/>
      <c r="O1209" s="82" t="n"/>
      <c r="P1209" s="82" t="n"/>
      <c r="Q1209" s="82" t="n"/>
      <c r="R1209" s="82" t="n"/>
      <c r="S1209" s="82" t="n"/>
      <c r="T1209" s="82" t="n"/>
      <c r="U1209" s="82" t="n"/>
      <c r="V1209" s="82" t="n"/>
      <c r="W1209" s="82" t="n"/>
      <c r="X1209" s="82" t="n"/>
      <c r="Y1209" s="82" t="n"/>
      <c r="Z1209" s="82" t="n"/>
    </row>
    <row r="1210" ht="15.75" customHeight="1" s="83">
      <c r="A1210" s="82" t="n"/>
      <c r="B1210" s="44" t="n"/>
      <c r="C1210" s="82" t="n"/>
      <c r="D1210" s="82" t="n"/>
      <c r="E1210" s="81" t="n"/>
      <c r="F1210" s="82" t="n"/>
      <c r="G1210" s="82" t="n"/>
      <c r="H1210" s="82" t="n"/>
      <c r="I1210" s="82" t="n"/>
      <c r="J1210" s="82" t="n"/>
      <c r="K1210" s="82" t="n"/>
      <c r="L1210" s="82" t="n"/>
      <c r="M1210" s="82" t="n"/>
      <c r="N1210" s="82" t="n"/>
      <c r="O1210" s="82" t="n"/>
      <c r="P1210" s="82" t="n"/>
      <c r="Q1210" s="82" t="n"/>
      <c r="R1210" s="82" t="n"/>
      <c r="S1210" s="82" t="n"/>
      <c r="T1210" s="82" t="n"/>
      <c r="U1210" s="82" t="n"/>
      <c r="V1210" s="82" t="n"/>
      <c r="W1210" s="82" t="n"/>
      <c r="X1210" s="82" t="n"/>
      <c r="Y1210" s="82" t="n"/>
      <c r="Z1210" s="82" t="n"/>
    </row>
    <row r="1211" ht="15.75" customHeight="1" s="83">
      <c r="A1211" s="82" t="n"/>
      <c r="B1211" s="44" t="n"/>
      <c r="C1211" s="82" t="n"/>
      <c r="D1211" s="82" t="n"/>
      <c r="E1211" s="81" t="n"/>
      <c r="F1211" s="82" t="n"/>
      <c r="G1211" s="82" t="n"/>
      <c r="H1211" s="82" t="n"/>
      <c r="I1211" s="82" t="n"/>
      <c r="J1211" s="82" t="n"/>
      <c r="K1211" s="82" t="n"/>
      <c r="L1211" s="82" t="n"/>
      <c r="M1211" s="82" t="n"/>
      <c r="N1211" s="82" t="n"/>
      <c r="O1211" s="82" t="n"/>
      <c r="P1211" s="82" t="n"/>
      <c r="Q1211" s="82" t="n"/>
      <c r="R1211" s="82" t="n"/>
      <c r="S1211" s="82" t="n"/>
      <c r="T1211" s="82" t="n"/>
      <c r="U1211" s="82" t="n"/>
      <c r="V1211" s="82" t="n"/>
      <c r="W1211" s="82" t="n"/>
      <c r="X1211" s="82" t="n"/>
      <c r="Y1211" s="82" t="n"/>
      <c r="Z1211" s="82" t="n"/>
    </row>
    <row r="1212" ht="15.75" customHeight="1" s="83">
      <c r="A1212" s="82" t="n"/>
      <c r="B1212" s="44" t="n"/>
      <c r="C1212" s="82" t="n"/>
      <c r="D1212" s="82" t="n"/>
      <c r="E1212" s="81" t="n"/>
      <c r="F1212" s="82" t="n"/>
      <c r="G1212" s="82" t="n"/>
      <c r="H1212" s="82" t="n"/>
      <c r="I1212" s="82" t="n"/>
      <c r="J1212" s="82" t="n"/>
      <c r="K1212" s="82" t="n"/>
      <c r="L1212" s="82" t="n"/>
      <c r="M1212" s="82" t="n"/>
      <c r="N1212" s="82" t="n"/>
      <c r="O1212" s="82" t="n"/>
      <c r="P1212" s="82" t="n"/>
      <c r="Q1212" s="82" t="n"/>
      <c r="R1212" s="82" t="n"/>
      <c r="S1212" s="82" t="n"/>
      <c r="T1212" s="82" t="n"/>
      <c r="U1212" s="82" t="n"/>
      <c r="V1212" s="82" t="n"/>
      <c r="W1212" s="82" t="n"/>
      <c r="X1212" s="82" t="n"/>
      <c r="Y1212" s="82" t="n"/>
      <c r="Z1212" s="82" t="n"/>
    </row>
    <row r="1213" ht="15.75" customHeight="1" s="83">
      <c r="A1213" s="82" t="n"/>
      <c r="B1213" s="44" t="n"/>
      <c r="C1213" s="82" t="n"/>
      <c r="D1213" s="82" t="n"/>
      <c r="E1213" s="81" t="n"/>
      <c r="F1213" s="82" t="n"/>
      <c r="G1213" s="82" t="n"/>
      <c r="H1213" s="82" t="n"/>
      <c r="I1213" s="82" t="n"/>
      <c r="J1213" s="82" t="n"/>
      <c r="K1213" s="82" t="n"/>
      <c r="L1213" s="82" t="n"/>
      <c r="M1213" s="82" t="n"/>
      <c r="N1213" s="82" t="n"/>
      <c r="O1213" s="82" t="n"/>
      <c r="P1213" s="82" t="n"/>
      <c r="Q1213" s="82" t="n"/>
      <c r="R1213" s="82" t="n"/>
      <c r="S1213" s="82" t="n"/>
      <c r="T1213" s="82" t="n"/>
      <c r="U1213" s="82" t="n"/>
      <c r="V1213" s="82" t="n"/>
      <c r="W1213" s="82" t="n"/>
      <c r="X1213" s="82" t="n"/>
      <c r="Y1213" s="82" t="n"/>
      <c r="Z1213" s="82" t="n"/>
    </row>
    <row r="1214" ht="15.75" customHeight="1" s="83">
      <c r="A1214" s="82" t="n"/>
      <c r="B1214" s="44" t="n"/>
      <c r="C1214" s="82" t="n"/>
      <c r="D1214" s="82" t="n"/>
      <c r="E1214" s="81" t="n"/>
      <c r="F1214" s="82" t="n"/>
      <c r="G1214" s="82" t="n"/>
      <c r="H1214" s="82" t="n"/>
      <c r="I1214" s="82" t="n"/>
      <c r="J1214" s="82" t="n"/>
      <c r="K1214" s="82" t="n"/>
      <c r="L1214" s="82" t="n"/>
      <c r="M1214" s="82" t="n"/>
      <c r="N1214" s="82" t="n"/>
      <c r="O1214" s="82" t="n"/>
      <c r="P1214" s="82" t="n"/>
      <c r="Q1214" s="82" t="n"/>
      <c r="R1214" s="82" t="n"/>
      <c r="S1214" s="82" t="n"/>
      <c r="T1214" s="82" t="n"/>
      <c r="U1214" s="82" t="n"/>
      <c r="V1214" s="82" t="n"/>
      <c r="W1214" s="82" t="n"/>
      <c r="X1214" s="82" t="n"/>
      <c r="Y1214" s="82" t="n"/>
      <c r="Z1214" s="82" t="n"/>
    </row>
    <row r="1215" ht="15.75" customHeight="1" s="83">
      <c r="A1215" s="82" t="n"/>
      <c r="B1215" s="44" t="n"/>
      <c r="C1215" s="82" t="n"/>
      <c r="D1215" s="82" t="n"/>
      <c r="E1215" s="81" t="n"/>
      <c r="F1215" s="82" t="n"/>
      <c r="G1215" s="82" t="n"/>
      <c r="H1215" s="82" t="n"/>
      <c r="I1215" s="82" t="n"/>
      <c r="J1215" s="82" t="n"/>
      <c r="K1215" s="82" t="n"/>
      <c r="L1215" s="82" t="n"/>
      <c r="M1215" s="82" t="n"/>
      <c r="N1215" s="82" t="n"/>
      <c r="O1215" s="82" t="n"/>
      <c r="P1215" s="82" t="n"/>
      <c r="Q1215" s="82" t="n"/>
      <c r="R1215" s="82" t="n"/>
      <c r="S1215" s="82" t="n"/>
      <c r="T1215" s="82" t="n"/>
      <c r="U1215" s="82" t="n"/>
      <c r="V1215" s="82" t="n"/>
      <c r="W1215" s="82" t="n"/>
      <c r="X1215" s="82" t="n"/>
      <c r="Y1215" s="82" t="n"/>
      <c r="Z1215" s="82" t="n"/>
    </row>
    <row r="1216" ht="15.75" customHeight="1" s="83">
      <c r="A1216" s="82" t="n"/>
      <c r="B1216" s="44" t="n"/>
      <c r="C1216" s="82" t="n"/>
      <c r="D1216" s="82" t="n"/>
      <c r="E1216" s="81" t="n"/>
      <c r="F1216" s="82" t="n"/>
      <c r="G1216" s="82" t="n"/>
      <c r="H1216" s="82" t="n"/>
      <c r="I1216" s="82" t="n"/>
      <c r="J1216" s="82" t="n"/>
      <c r="K1216" s="82" t="n"/>
      <c r="L1216" s="82" t="n"/>
      <c r="M1216" s="82" t="n"/>
      <c r="N1216" s="82" t="n"/>
      <c r="O1216" s="82" t="n"/>
      <c r="P1216" s="82" t="n"/>
      <c r="Q1216" s="82" t="n"/>
      <c r="R1216" s="82" t="n"/>
      <c r="S1216" s="82" t="n"/>
      <c r="T1216" s="82" t="n"/>
      <c r="U1216" s="82" t="n"/>
      <c r="V1216" s="82" t="n"/>
      <c r="W1216" s="82" t="n"/>
      <c r="X1216" s="82" t="n"/>
      <c r="Y1216" s="82" t="n"/>
      <c r="Z1216" s="82" t="n"/>
    </row>
    <row r="1217" ht="15.75" customHeight="1" s="83">
      <c r="A1217" s="82" t="n"/>
      <c r="B1217" s="44" t="n"/>
      <c r="C1217" s="82" t="n"/>
      <c r="D1217" s="82" t="n"/>
      <c r="E1217" s="81" t="n"/>
      <c r="F1217" s="82" t="n"/>
      <c r="G1217" s="82" t="n"/>
      <c r="H1217" s="82" t="n"/>
      <c r="I1217" s="82" t="n"/>
      <c r="J1217" s="82" t="n"/>
      <c r="K1217" s="82" t="n"/>
      <c r="L1217" s="82" t="n"/>
      <c r="M1217" s="82" t="n"/>
      <c r="N1217" s="82" t="n"/>
      <c r="O1217" s="82" t="n"/>
      <c r="P1217" s="82" t="n"/>
      <c r="Q1217" s="82" t="n"/>
      <c r="R1217" s="82" t="n"/>
      <c r="S1217" s="82" t="n"/>
      <c r="T1217" s="82" t="n"/>
      <c r="U1217" s="82" t="n"/>
      <c r="V1217" s="82" t="n"/>
      <c r="W1217" s="82" t="n"/>
      <c r="X1217" s="82" t="n"/>
      <c r="Y1217" s="82" t="n"/>
      <c r="Z1217" s="82" t="n"/>
    </row>
    <row r="1218" ht="15.75" customHeight="1" s="83">
      <c r="A1218" s="82" t="n"/>
      <c r="B1218" s="44" t="n"/>
      <c r="C1218" s="82" t="n"/>
      <c r="D1218" s="82" t="n"/>
      <c r="E1218" s="81" t="n"/>
      <c r="F1218" s="82" t="n"/>
      <c r="G1218" s="82" t="n"/>
      <c r="H1218" s="82" t="n"/>
      <c r="I1218" s="82" t="n"/>
      <c r="J1218" s="82" t="n"/>
      <c r="K1218" s="82" t="n"/>
      <c r="L1218" s="82" t="n"/>
      <c r="M1218" s="82" t="n"/>
      <c r="N1218" s="82" t="n"/>
      <c r="O1218" s="82" t="n"/>
      <c r="P1218" s="82" t="n"/>
      <c r="Q1218" s="82" t="n"/>
      <c r="R1218" s="82" t="n"/>
      <c r="S1218" s="82" t="n"/>
      <c r="T1218" s="82" t="n"/>
      <c r="U1218" s="82" t="n"/>
      <c r="V1218" s="82" t="n"/>
      <c r="W1218" s="82" t="n"/>
      <c r="X1218" s="82" t="n"/>
      <c r="Y1218" s="82" t="n"/>
      <c r="Z1218" s="82" t="n"/>
    </row>
    <row r="1219" ht="15.75" customHeight="1" s="83">
      <c r="A1219" s="82" t="n"/>
      <c r="B1219" s="44" t="n"/>
      <c r="C1219" s="82" t="n"/>
      <c r="D1219" s="82" t="n"/>
      <c r="E1219" s="81" t="n"/>
      <c r="F1219" s="82" t="n"/>
      <c r="G1219" s="82" t="n"/>
      <c r="H1219" s="82" t="n"/>
      <c r="I1219" s="82" t="n"/>
      <c r="J1219" s="82" t="n"/>
      <c r="K1219" s="82" t="n"/>
      <c r="L1219" s="82" t="n"/>
      <c r="M1219" s="82" t="n"/>
      <c r="N1219" s="82" t="n"/>
      <c r="O1219" s="82" t="n"/>
      <c r="P1219" s="82" t="n"/>
      <c r="Q1219" s="82" t="n"/>
      <c r="R1219" s="82" t="n"/>
      <c r="S1219" s="82" t="n"/>
      <c r="T1219" s="82" t="n"/>
      <c r="U1219" s="82" t="n"/>
      <c r="V1219" s="82" t="n"/>
      <c r="W1219" s="82" t="n"/>
      <c r="X1219" s="82" t="n"/>
      <c r="Y1219" s="82" t="n"/>
      <c r="Z1219" s="82" t="n"/>
    </row>
    <row r="1220" ht="15.75" customHeight="1" s="83">
      <c r="A1220" s="82" t="n"/>
      <c r="B1220" s="44" t="n"/>
      <c r="C1220" s="82" t="n"/>
      <c r="D1220" s="82" t="n"/>
      <c r="E1220" s="81" t="n"/>
      <c r="F1220" s="82" t="n"/>
      <c r="G1220" s="82" t="n"/>
      <c r="H1220" s="82" t="n"/>
      <c r="I1220" s="82" t="n"/>
      <c r="J1220" s="82" t="n"/>
      <c r="K1220" s="82" t="n"/>
      <c r="L1220" s="82" t="n"/>
      <c r="M1220" s="82" t="n"/>
      <c r="N1220" s="82" t="n"/>
      <c r="O1220" s="82" t="n"/>
      <c r="P1220" s="82" t="n"/>
      <c r="Q1220" s="82" t="n"/>
      <c r="R1220" s="82" t="n"/>
      <c r="S1220" s="82" t="n"/>
      <c r="T1220" s="82" t="n"/>
      <c r="U1220" s="82" t="n"/>
      <c r="V1220" s="82" t="n"/>
      <c r="W1220" s="82" t="n"/>
      <c r="X1220" s="82" t="n"/>
      <c r="Y1220" s="82" t="n"/>
      <c r="Z1220" s="82" t="n"/>
    </row>
    <row r="1221" ht="15.75" customHeight="1" s="83">
      <c r="A1221" s="82" t="n"/>
      <c r="B1221" s="44" t="n"/>
      <c r="C1221" s="82" t="n"/>
      <c r="D1221" s="82" t="n"/>
      <c r="E1221" s="81" t="n"/>
      <c r="F1221" s="82" t="n"/>
      <c r="G1221" s="82" t="n"/>
      <c r="H1221" s="82" t="n"/>
      <c r="I1221" s="82" t="n"/>
      <c r="J1221" s="82" t="n"/>
      <c r="K1221" s="82" t="n"/>
      <c r="L1221" s="82" t="n"/>
      <c r="M1221" s="82" t="n"/>
      <c r="N1221" s="82" t="n"/>
      <c r="O1221" s="82" t="n"/>
      <c r="P1221" s="82" t="n"/>
      <c r="Q1221" s="82" t="n"/>
      <c r="R1221" s="82" t="n"/>
      <c r="S1221" s="82" t="n"/>
      <c r="T1221" s="82" t="n"/>
      <c r="U1221" s="82" t="n"/>
      <c r="V1221" s="82" t="n"/>
      <c r="W1221" s="82" t="n"/>
      <c r="X1221" s="82" t="n"/>
      <c r="Y1221" s="82" t="n"/>
      <c r="Z1221" s="82" t="n"/>
    </row>
    <row r="1222" ht="15.75" customHeight="1" s="83">
      <c r="A1222" s="82" t="n"/>
      <c r="B1222" s="44" t="n"/>
      <c r="C1222" s="82" t="n"/>
      <c r="D1222" s="82" t="n"/>
      <c r="E1222" s="81" t="n"/>
      <c r="F1222" s="82" t="n"/>
      <c r="G1222" s="82" t="n"/>
      <c r="H1222" s="82" t="n"/>
      <c r="I1222" s="82" t="n"/>
      <c r="J1222" s="82" t="n"/>
      <c r="K1222" s="82" t="n"/>
      <c r="L1222" s="82" t="n"/>
      <c r="M1222" s="82" t="n"/>
      <c r="N1222" s="82" t="n"/>
      <c r="O1222" s="82" t="n"/>
      <c r="P1222" s="82" t="n"/>
      <c r="Q1222" s="82" t="n"/>
      <c r="R1222" s="82" t="n"/>
      <c r="S1222" s="82" t="n"/>
      <c r="T1222" s="82" t="n"/>
      <c r="U1222" s="82" t="n"/>
      <c r="V1222" s="82" t="n"/>
      <c r="W1222" s="82" t="n"/>
      <c r="X1222" s="82" t="n"/>
      <c r="Y1222" s="82" t="n"/>
      <c r="Z1222" s="82" t="n"/>
    </row>
    <row r="1223" ht="15.75" customHeight="1" s="83">
      <c r="A1223" s="82" t="n"/>
      <c r="B1223" s="44" t="n"/>
      <c r="C1223" s="82" t="n"/>
      <c r="D1223" s="82" t="n"/>
      <c r="E1223" s="81" t="n"/>
      <c r="F1223" s="82" t="n"/>
      <c r="G1223" s="82" t="n"/>
      <c r="H1223" s="82" t="n"/>
      <c r="I1223" s="82" t="n"/>
      <c r="J1223" s="82" t="n"/>
      <c r="K1223" s="82" t="n"/>
      <c r="L1223" s="82" t="n"/>
      <c r="M1223" s="82" t="n"/>
      <c r="N1223" s="82" t="n"/>
      <c r="O1223" s="82" t="n"/>
      <c r="P1223" s="82" t="n"/>
      <c r="Q1223" s="82" t="n"/>
      <c r="R1223" s="82" t="n"/>
      <c r="S1223" s="82" t="n"/>
      <c r="T1223" s="82" t="n"/>
      <c r="U1223" s="82" t="n"/>
      <c r="V1223" s="82" t="n"/>
      <c r="W1223" s="82" t="n"/>
      <c r="X1223" s="82" t="n"/>
      <c r="Y1223" s="82" t="n"/>
      <c r="Z1223" s="82" t="n"/>
    </row>
    <row r="1224" ht="15.75" customHeight="1" s="83">
      <c r="A1224" s="82" t="n"/>
      <c r="B1224" s="44" t="n"/>
      <c r="C1224" s="82" t="n"/>
      <c r="D1224" s="82" t="n"/>
      <c r="E1224" s="81" t="n"/>
      <c r="F1224" s="82" t="n"/>
      <c r="G1224" s="82" t="n"/>
      <c r="H1224" s="82" t="n"/>
      <c r="I1224" s="82" t="n"/>
      <c r="J1224" s="82" t="n"/>
      <c r="K1224" s="82" t="n"/>
      <c r="L1224" s="82" t="n"/>
      <c r="M1224" s="82" t="n"/>
      <c r="N1224" s="82" t="n"/>
      <c r="O1224" s="82" t="n"/>
      <c r="P1224" s="82" t="n"/>
      <c r="Q1224" s="82" t="n"/>
      <c r="R1224" s="82" t="n"/>
      <c r="S1224" s="82" t="n"/>
      <c r="T1224" s="82" t="n"/>
      <c r="U1224" s="82" t="n"/>
      <c r="V1224" s="82" t="n"/>
      <c r="W1224" s="82" t="n"/>
      <c r="X1224" s="82" t="n"/>
      <c r="Y1224" s="82" t="n"/>
      <c r="Z1224" s="82" t="n"/>
    </row>
    <row r="1225" ht="15.75" customHeight="1" s="83">
      <c r="A1225" s="82" t="n"/>
      <c r="B1225" s="44" t="n"/>
      <c r="C1225" s="82" t="n"/>
      <c r="D1225" s="82" t="n"/>
      <c r="E1225" s="81" t="n"/>
      <c r="F1225" s="82" t="n"/>
      <c r="G1225" s="82" t="n"/>
      <c r="H1225" s="82" t="n"/>
      <c r="I1225" s="82" t="n"/>
      <c r="J1225" s="82" t="n"/>
      <c r="K1225" s="82" t="n"/>
      <c r="L1225" s="82" t="n"/>
      <c r="M1225" s="82" t="n"/>
      <c r="N1225" s="82" t="n"/>
      <c r="O1225" s="82" t="n"/>
      <c r="P1225" s="82" t="n"/>
      <c r="Q1225" s="82" t="n"/>
      <c r="R1225" s="82" t="n"/>
      <c r="S1225" s="82" t="n"/>
      <c r="T1225" s="82" t="n"/>
      <c r="U1225" s="82" t="n"/>
      <c r="V1225" s="82" t="n"/>
      <c r="W1225" s="82" t="n"/>
      <c r="X1225" s="82" t="n"/>
      <c r="Y1225" s="82" t="n"/>
      <c r="Z1225" s="82" t="n"/>
    </row>
    <row r="1226" ht="15.75" customHeight="1" s="83">
      <c r="A1226" s="82" t="n"/>
      <c r="B1226" s="44" t="n"/>
      <c r="C1226" s="82" t="n"/>
      <c r="D1226" s="82" t="n"/>
      <c r="E1226" s="81" t="n"/>
      <c r="F1226" s="82" t="n"/>
      <c r="G1226" s="82" t="n"/>
      <c r="H1226" s="82" t="n"/>
      <c r="I1226" s="82" t="n"/>
      <c r="J1226" s="82" t="n"/>
      <c r="K1226" s="82" t="n"/>
      <c r="L1226" s="82" t="n"/>
      <c r="M1226" s="82" t="n"/>
      <c r="N1226" s="82" t="n"/>
      <c r="O1226" s="82" t="n"/>
      <c r="P1226" s="82" t="n"/>
      <c r="Q1226" s="82" t="n"/>
      <c r="R1226" s="82" t="n"/>
      <c r="S1226" s="82" t="n"/>
      <c r="T1226" s="82" t="n"/>
      <c r="U1226" s="82" t="n"/>
      <c r="V1226" s="82" t="n"/>
      <c r="W1226" s="82" t="n"/>
      <c r="X1226" s="82" t="n"/>
      <c r="Y1226" s="82" t="n"/>
      <c r="Z1226" s="82" t="n"/>
    </row>
    <row r="1227" ht="15.75" customHeight="1" s="83">
      <c r="A1227" s="82" t="n"/>
      <c r="B1227" s="44" t="n"/>
      <c r="C1227" s="82" t="n"/>
      <c r="D1227" s="82" t="n"/>
      <c r="E1227" s="81" t="n"/>
      <c r="F1227" s="82" t="n"/>
      <c r="G1227" s="82" t="n"/>
      <c r="H1227" s="82" t="n"/>
      <c r="I1227" s="82" t="n"/>
      <c r="J1227" s="82" t="n"/>
      <c r="K1227" s="82" t="n"/>
      <c r="L1227" s="82" t="n"/>
      <c r="M1227" s="82" t="n"/>
      <c r="N1227" s="82" t="n"/>
      <c r="O1227" s="82" t="n"/>
      <c r="P1227" s="82" t="n"/>
      <c r="Q1227" s="82" t="n"/>
      <c r="R1227" s="82" t="n"/>
      <c r="S1227" s="82" t="n"/>
      <c r="T1227" s="82" t="n"/>
      <c r="U1227" s="82" t="n"/>
      <c r="V1227" s="82" t="n"/>
      <c r="W1227" s="82" t="n"/>
      <c r="X1227" s="82" t="n"/>
      <c r="Y1227" s="82" t="n"/>
      <c r="Z1227" s="82" t="n"/>
    </row>
    <row r="1228" ht="15.75" customHeight="1" s="83">
      <c r="A1228" s="82" t="n"/>
      <c r="B1228" s="44" t="n"/>
      <c r="C1228" s="82" t="n"/>
      <c r="D1228" s="82" t="n"/>
      <c r="E1228" s="81" t="n"/>
      <c r="F1228" s="82" t="n"/>
      <c r="G1228" s="82" t="n"/>
      <c r="H1228" s="82" t="n"/>
      <c r="I1228" s="82" t="n"/>
      <c r="J1228" s="82" t="n"/>
      <c r="K1228" s="82" t="n"/>
      <c r="L1228" s="82" t="n"/>
      <c r="M1228" s="82" t="n"/>
      <c r="N1228" s="82" t="n"/>
      <c r="O1228" s="82" t="n"/>
      <c r="P1228" s="82" t="n"/>
      <c r="Q1228" s="82" t="n"/>
      <c r="R1228" s="82" t="n"/>
      <c r="S1228" s="82" t="n"/>
      <c r="T1228" s="82" t="n"/>
      <c r="U1228" s="82" t="n"/>
      <c r="V1228" s="82" t="n"/>
      <c r="W1228" s="82" t="n"/>
      <c r="X1228" s="82" t="n"/>
      <c r="Y1228" s="82" t="n"/>
      <c r="Z1228" s="82" t="n"/>
    </row>
    <row r="1229" ht="15.75" customHeight="1" s="83">
      <c r="A1229" s="82" t="n"/>
      <c r="B1229" s="44" t="n"/>
      <c r="C1229" s="82" t="n"/>
      <c r="D1229" s="82" t="n"/>
      <c r="E1229" s="81" t="n"/>
      <c r="F1229" s="82" t="n"/>
      <c r="G1229" s="82" t="n"/>
      <c r="H1229" s="82" t="n"/>
      <c r="I1229" s="82" t="n"/>
      <c r="J1229" s="82" t="n"/>
      <c r="K1229" s="82" t="n"/>
      <c r="L1229" s="82" t="n"/>
      <c r="M1229" s="82" t="n"/>
      <c r="N1229" s="82" t="n"/>
      <c r="O1229" s="82" t="n"/>
      <c r="P1229" s="82" t="n"/>
      <c r="Q1229" s="82" t="n"/>
      <c r="R1229" s="82" t="n"/>
      <c r="S1229" s="82" t="n"/>
      <c r="T1229" s="82" t="n"/>
      <c r="U1229" s="82" t="n"/>
      <c r="V1229" s="82" t="n"/>
      <c r="W1229" s="82" t="n"/>
      <c r="X1229" s="82" t="n"/>
      <c r="Y1229" s="82" t="n"/>
      <c r="Z1229" s="82" t="n"/>
    </row>
    <row r="1230" ht="15.75" customHeight="1" s="83">
      <c r="A1230" s="82" t="n"/>
      <c r="B1230" s="44" t="n"/>
      <c r="C1230" s="82" t="n"/>
      <c r="D1230" s="82" t="n"/>
      <c r="E1230" s="81" t="n"/>
      <c r="F1230" s="82" t="n"/>
      <c r="G1230" s="82" t="n"/>
      <c r="H1230" s="82" t="n"/>
      <c r="I1230" s="82" t="n"/>
      <c r="J1230" s="82" t="n"/>
      <c r="K1230" s="82" t="n"/>
      <c r="L1230" s="82" t="n"/>
      <c r="M1230" s="82" t="n"/>
      <c r="N1230" s="82" t="n"/>
      <c r="O1230" s="82" t="n"/>
      <c r="P1230" s="82" t="n"/>
      <c r="Q1230" s="82" t="n"/>
      <c r="R1230" s="82" t="n"/>
      <c r="S1230" s="82" t="n"/>
      <c r="T1230" s="82" t="n"/>
      <c r="U1230" s="82" t="n"/>
      <c r="V1230" s="82" t="n"/>
      <c r="W1230" s="82" t="n"/>
      <c r="X1230" s="82" t="n"/>
      <c r="Y1230" s="82" t="n"/>
      <c r="Z1230" s="82" t="n"/>
    </row>
    <row r="1231" ht="15.75" customHeight="1" s="83">
      <c r="A1231" s="82" t="n"/>
      <c r="B1231" s="44" t="n"/>
      <c r="C1231" s="82" t="n"/>
      <c r="D1231" s="82" t="n"/>
      <c r="E1231" s="81" t="n"/>
      <c r="F1231" s="82" t="n"/>
      <c r="G1231" s="82" t="n"/>
      <c r="H1231" s="82" t="n"/>
      <c r="I1231" s="82" t="n"/>
      <c r="J1231" s="82" t="n"/>
      <c r="K1231" s="82" t="n"/>
      <c r="L1231" s="82" t="n"/>
      <c r="M1231" s="82" t="n"/>
      <c r="N1231" s="82" t="n"/>
      <c r="O1231" s="82" t="n"/>
      <c r="P1231" s="82" t="n"/>
      <c r="Q1231" s="82" t="n"/>
      <c r="R1231" s="82" t="n"/>
      <c r="S1231" s="82" t="n"/>
      <c r="T1231" s="82" t="n"/>
      <c r="U1231" s="82" t="n"/>
      <c r="V1231" s="82" t="n"/>
      <c r="W1231" s="82" t="n"/>
      <c r="X1231" s="82" t="n"/>
      <c r="Y1231" s="82" t="n"/>
      <c r="Z1231" s="82" t="n"/>
    </row>
    <row r="1232" ht="15.75" customHeight="1" s="83">
      <c r="A1232" s="82" t="n"/>
      <c r="B1232" s="44" t="n"/>
      <c r="C1232" s="82" t="n"/>
      <c r="D1232" s="82" t="n"/>
      <c r="E1232" s="81" t="n"/>
      <c r="F1232" s="82" t="n"/>
      <c r="G1232" s="82" t="n"/>
      <c r="H1232" s="82" t="n"/>
      <c r="I1232" s="82" t="n"/>
      <c r="J1232" s="82" t="n"/>
      <c r="K1232" s="82" t="n"/>
      <c r="L1232" s="82" t="n"/>
      <c r="M1232" s="82" t="n"/>
      <c r="N1232" s="82" t="n"/>
      <c r="O1232" s="82" t="n"/>
      <c r="P1232" s="82" t="n"/>
      <c r="Q1232" s="82" t="n"/>
      <c r="R1232" s="82" t="n"/>
      <c r="S1232" s="82" t="n"/>
      <c r="T1232" s="82" t="n"/>
      <c r="U1232" s="82" t="n"/>
      <c r="V1232" s="82" t="n"/>
      <c r="W1232" s="82" t="n"/>
      <c r="X1232" s="82" t="n"/>
      <c r="Y1232" s="82" t="n"/>
      <c r="Z1232" s="82" t="n"/>
    </row>
    <row r="1233" ht="15.75" customHeight="1" s="83">
      <c r="A1233" s="82" t="n"/>
      <c r="B1233" s="44" t="n"/>
      <c r="C1233" s="82" t="n"/>
      <c r="D1233" s="82" t="n"/>
      <c r="E1233" s="81" t="n"/>
      <c r="F1233" s="82" t="n"/>
      <c r="G1233" s="82" t="n"/>
      <c r="H1233" s="82" t="n"/>
      <c r="I1233" s="82" t="n"/>
      <c r="J1233" s="82" t="n"/>
      <c r="K1233" s="82" t="n"/>
      <c r="L1233" s="82" t="n"/>
      <c r="M1233" s="82" t="n"/>
      <c r="N1233" s="82" t="n"/>
      <c r="O1233" s="82" t="n"/>
      <c r="P1233" s="82" t="n"/>
      <c r="Q1233" s="82" t="n"/>
      <c r="R1233" s="82" t="n"/>
      <c r="S1233" s="82" t="n"/>
      <c r="T1233" s="82" t="n"/>
      <c r="U1233" s="82" t="n"/>
      <c r="V1233" s="82" t="n"/>
      <c r="W1233" s="82" t="n"/>
      <c r="X1233" s="82" t="n"/>
      <c r="Y1233" s="82" t="n"/>
      <c r="Z1233" s="82" t="n"/>
    </row>
    <row r="1234" ht="15.75" customHeight="1" s="83">
      <c r="A1234" s="82" t="n"/>
      <c r="B1234" s="44" t="n"/>
      <c r="C1234" s="82" t="n"/>
      <c r="D1234" s="82" t="n"/>
      <c r="E1234" s="81" t="n"/>
      <c r="F1234" s="82" t="n"/>
      <c r="G1234" s="82" t="n"/>
      <c r="H1234" s="82" t="n"/>
      <c r="I1234" s="82" t="n"/>
      <c r="J1234" s="82" t="n"/>
      <c r="K1234" s="82" t="n"/>
      <c r="L1234" s="82" t="n"/>
      <c r="M1234" s="82" t="n"/>
      <c r="N1234" s="82" t="n"/>
      <c r="O1234" s="82" t="n"/>
      <c r="P1234" s="82" t="n"/>
      <c r="Q1234" s="82" t="n"/>
      <c r="R1234" s="82" t="n"/>
      <c r="S1234" s="82" t="n"/>
      <c r="T1234" s="82" t="n"/>
      <c r="U1234" s="82" t="n"/>
      <c r="V1234" s="82" t="n"/>
      <c r="W1234" s="82" t="n"/>
      <c r="X1234" s="82" t="n"/>
      <c r="Y1234" s="82" t="n"/>
      <c r="Z1234" s="82" t="n"/>
    </row>
    <row r="1235" ht="15.75" customHeight="1" s="83">
      <c r="A1235" s="82" t="n"/>
      <c r="B1235" s="44" t="n"/>
      <c r="C1235" s="82" t="n"/>
      <c r="D1235" s="82" t="n"/>
      <c r="E1235" s="81" t="n"/>
      <c r="F1235" s="82" t="n"/>
      <c r="G1235" s="82" t="n"/>
      <c r="H1235" s="82" t="n"/>
      <c r="I1235" s="82" t="n"/>
      <c r="J1235" s="82" t="n"/>
      <c r="K1235" s="82" t="n"/>
      <c r="L1235" s="82" t="n"/>
      <c r="M1235" s="82" t="n"/>
      <c r="N1235" s="82" t="n"/>
      <c r="O1235" s="82" t="n"/>
      <c r="P1235" s="82" t="n"/>
      <c r="Q1235" s="82" t="n"/>
      <c r="R1235" s="82" t="n"/>
      <c r="S1235" s="82" t="n"/>
      <c r="T1235" s="82" t="n"/>
      <c r="U1235" s="82" t="n"/>
      <c r="V1235" s="82" t="n"/>
      <c r="W1235" s="82" t="n"/>
      <c r="X1235" s="82" t="n"/>
      <c r="Y1235" s="82" t="n"/>
      <c r="Z1235" s="82" t="n"/>
    </row>
    <row r="1236" ht="15.75" customHeight="1" s="83">
      <c r="A1236" s="82" t="n"/>
      <c r="B1236" s="44" t="n"/>
      <c r="C1236" s="82" t="n"/>
      <c r="D1236" s="82" t="n"/>
      <c r="E1236" s="81" t="n"/>
      <c r="F1236" s="82" t="n"/>
      <c r="G1236" s="82" t="n"/>
      <c r="H1236" s="82" t="n"/>
      <c r="I1236" s="82" t="n"/>
      <c r="J1236" s="82" t="n"/>
      <c r="K1236" s="82" t="n"/>
      <c r="L1236" s="82" t="n"/>
      <c r="M1236" s="82" t="n"/>
      <c r="N1236" s="82" t="n"/>
      <c r="O1236" s="82" t="n"/>
      <c r="P1236" s="82" t="n"/>
      <c r="Q1236" s="82" t="n"/>
      <c r="R1236" s="82" t="n"/>
      <c r="S1236" s="82" t="n"/>
      <c r="T1236" s="82" t="n"/>
      <c r="U1236" s="82" t="n"/>
      <c r="V1236" s="82" t="n"/>
      <c r="W1236" s="82" t="n"/>
      <c r="X1236" s="82" t="n"/>
      <c r="Y1236" s="82" t="n"/>
      <c r="Z1236" s="82" t="n"/>
    </row>
    <row r="1237" ht="15.75" customHeight="1" s="83">
      <c r="A1237" s="82" t="n"/>
      <c r="B1237" s="44" t="n"/>
      <c r="C1237" s="82" t="n"/>
      <c r="D1237" s="82" t="n"/>
      <c r="E1237" s="81" t="n"/>
      <c r="F1237" s="82" t="n"/>
      <c r="G1237" s="82" t="n"/>
      <c r="H1237" s="82" t="n"/>
      <c r="I1237" s="82" t="n"/>
      <c r="J1237" s="82" t="n"/>
      <c r="K1237" s="82" t="n"/>
      <c r="L1237" s="82" t="n"/>
      <c r="M1237" s="82" t="n"/>
      <c r="N1237" s="82" t="n"/>
      <c r="O1237" s="82" t="n"/>
      <c r="P1237" s="82" t="n"/>
      <c r="Q1237" s="82" t="n"/>
      <c r="R1237" s="82" t="n"/>
      <c r="S1237" s="82" t="n"/>
      <c r="T1237" s="82" t="n"/>
      <c r="U1237" s="82" t="n"/>
      <c r="V1237" s="82" t="n"/>
      <c r="W1237" s="82" t="n"/>
      <c r="X1237" s="82" t="n"/>
      <c r="Y1237" s="82" t="n"/>
      <c r="Z1237" s="82" t="n"/>
    </row>
    <row r="1238" ht="15.75" customHeight="1" s="83">
      <c r="A1238" s="82" t="n"/>
      <c r="B1238" s="44" t="n"/>
      <c r="C1238" s="82" t="n"/>
      <c r="D1238" s="82" t="n"/>
      <c r="E1238" s="81" t="n"/>
      <c r="F1238" s="82" t="n"/>
      <c r="G1238" s="82" t="n"/>
      <c r="H1238" s="82" t="n"/>
      <c r="I1238" s="82" t="n"/>
      <c r="J1238" s="82" t="n"/>
      <c r="K1238" s="82" t="n"/>
      <c r="L1238" s="82" t="n"/>
      <c r="M1238" s="82" t="n"/>
      <c r="N1238" s="82" t="n"/>
      <c r="O1238" s="82" t="n"/>
      <c r="P1238" s="82" t="n"/>
      <c r="Q1238" s="82" t="n"/>
      <c r="R1238" s="82" t="n"/>
      <c r="S1238" s="82" t="n"/>
      <c r="T1238" s="82" t="n"/>
      <c r="U1238" s="82" t="n"/>
      <c r="V1238" s="82" t="n"/>
      <c r="W1238" s="82" t="n"/>
      <c r="X1238" s="82" t="n"/>
      <c r="Y1238" s="82" t="n"/>
      <c r="Z1238" s="82" t="n"/>
    </row>
    <row r="1239" ht="15.75" customHeight="1" s="83">
      <c r="A1239" s="82" t="n"/>
      <c r="B1239" s="44" t="n"/>
      <c r="C1239" s="82" t="n"/>
      <c r="D1239" s="82" t="n"/>
      <c r="E1239" s="81" t="n"/>
      <c r="F1239" s="82" t="n"/>
      <c r="G1239" s="82" t="n"/>
      <c r="H1239" s="82" t="n"/>
      <c r="I1239" s="82" t="n"/>
      <c r="J1239" s="82" t="n"/>
      <c r="K1239" s="82" t="n"/>
      <c r="L1239" s="82" t="n"/>
      <c r="M1239" s="82" t="n"/>
      <c r="N1239" s="82" t="n"/>
      <c r="O1239" s="82" t="n"/>
      <c r="P1239" s="82" t="n"/>
      <c r="Q1239" s="82" t="n"/>
      <c r="R1239" s="82" t="n"/>
      <c r="S1239" s="82" t="n"/>
      <c r="T1239" s="82" t="n"/>
      <c r="U1239" s="82" t="n"/>
      <c r="V1239" s="82" t="n"/>
      <c r="W1239" s="82" t="n"/>
      <c r="X1239" s="82" t="n"/>
      <c r="Y1239" s="82" t="n"/>
      <c r="Z1239" s="82" t="n"/>
    </row>
    <row r="1240" ht="15.75" customHeight="1" s="83">
      <c r="A1240" s="82" t="n"/>
      <c r="B1240" s="44" t="n"/>
      <c r="C1240" s="82" t="n"/>
      <c r="D1240" s="82" t="n"/>
      <c r="E1240" s="81" t="n"/>
      <c r="F1240" s="82" t="n"/>
      <c r="G1240" s="82" t="n"/>
      <c r="H1240" s="82" t="n"/>
      <c r="I1240" s="82" t="n"/>
      <c r="J1240" s="82" t="n"/>
      <c r="K1240" s="82" t="n"/>
      <c r="L1240" s="82" t="n"/>
      <c r="M1240" s="82" t="n"/>
      <c r="N1240" s="82" t="n"/>
      <c r="O1240" s="82" t="n"/>
      <c r="P1240" s="82" t="n"/>
      <c r="Q1240" s="82" t="n"/>
      <c r="R1240" s="82" t="n"/>
      <c r="S1240" s="82" t="n"/>
      <c r="T1240" s="82" t="n"/>
      <c r="U1240" s="82" t="n"/>
      <c r="V1240" s="82" t="n"/>
      <c r="W1240" s="82" t="n"/>
      <c r="X1240" s="82" t="n"/>
      <c r="Y1240" s="82" t="n"/>
      <c r="Z1240" s="82" t="n"/>
    </row>
    <row r="1241" ht="15.75" customHeight="1" s="83">
      <c r="A1241" s="82" t="n"/>
      <c r="B1241" s="44" t="n"/>
      <c r="C1241" s="82" t="n"/>
      <c r="D1241" s="82" t="n"/>
      <c r="E1241" s="81" t="n"/>
      <c r="F1241" s="82" t="n"/>
      <c r="G1241" s="82" t="n"/>
      <c r="H1241" s="82" t="n"/>
      <c r="I1241" s="82" t="n"/>
      <c r="J1241" s="82" t="n"/>
      <c r="K1241" s="82" t="n"/>
      <c r="L1241" s="82" t="n"/>
      <c r="M1241" s="82" t="n"/>
      <c r="N1241" s="82" t="n"/>
      <c r="O1241" s="82" t="n"/>
      <c r="P1241" s="82" t="n"/>
      <c r="Q1241" s="82" t="n"/>
      <c r="R1241" s="82" t="n"/>
      <c r="S1241" s="82" t="n"/>
      <c r="T1241" s="82" t="n"/>
      <c r="U1241" s="82" t="n"/>
      <c r="V1241" s="82" t="n"/>
      <c r="W1241" s="82" t="n"/>
      <c r="X1241" s="82" t="n"/>
      <c r="Y1241" s="82" t="n"/>
      <c r="Z1241" s="82" t="n"/>
    </row>
    <row r="1242" ht="15.75" customHeight="1" s="83">
      <c r="A1242" s="82" t="n"/>
      <c r="B1242" s="44" t="n"/>
      <c r="C1242" s="82" t="n"/>
      <c r="D1242" s="82" t="n"/>
      <c r="E1242" s="81" t="n"/>
      <c r="F1242" s="82" t="n"/>
      <c r="G1242" s="82" t="n"/>
      <c r="H1242" s="82" t="n"/>
      <c r="I1242" s="82" t="n"/>
      <c r="J1242" s="82" t="n"/>
      <c r="K1242" s="82" t="n"/>
      <c r="L1242" s="82" t="n"/>
      <c r="M1242" s="82" t="n"/>
      <c r="N1242" s="82" t="n"/>
      <c r="O1242" s="82" t="n"/>
      <c r="P1242" s="82" t="n"/>
      <c r="Q1242" s="82" t="n"/>
      <c r="R1242" s="82" t="n"/>
      <c r="S1242" s="82" t="n"/>
      <c r="T1242" s="82" t="n"/>
      <c r="U1242" s="82" t="n"/>
      <c r="V1242" s="82" t="n"/>
      <c r="W1242" s="82" t="n"/>
      <c r="X1242" s="82" t="n"/>
      <c r="Y1242" s="82" t="n"/>
      <c r="Z1242" s="82" t="n"/>
    </row>
    <row r="1243" ht="15.75" customHeight="1" s="83">
      <c r="A1243" s="82" t="n"/>
      <c r="B1243" s="44" t="n"/>
      <c r="C1243" s="82" t="n"/>
      <c r="D1243" s="82" t="n"/>
      <c r="E1243" s="81" t="n"/>
      <c r="F1243" s="82" t="n"/>
      <c r="G1243" s="82" t="n"/>
      <c r="H1243" s="82" t="n"/>
      <c r="I1243" s="82" t="n"/>
      <c r="J1243" s="82" t="n"/>
      <c r="K1243" s="82" t="n"/>
      <c r="L1243" s="82" t="n"/>
      <c r="M1243" s="82" t="n"/>
      <c r="N1243" s="82" t="n"/>
      <c r="O1243" s="82" t="n"/>
      <c r="P1243" s="82" t="n"/>
      <c r="Q1243" s="82" t="n"/>
      <c r="R1243" s="82" t="n"/>
      <c r="S1243" s="82" t="n"/>
      <c r="T1243" s="82" t="n"/>
      <c r="U1243" s="82" t="n"/>
      <c r="V1243" s="82" t="n"/>
      <c r="W1243" s="82" t="n"/>
      <c r="X1243" s="82" t="n"/>
      <c r="Y1243" s="82" t="n"/>
      <c r="Z1243" s="82" t="n"/>
    </row>
    <row r="1244" ht="15.75" customHeight="1" s="83">
      <c r="A1244" s="82" t="n"/>
      <c r="B1244" s="44" t="n"/>
      <c r="C1244" s="82" t="n"/>
      <c r="D1244" s="82" t="n"/>
      <c r="E1244" s="81" t="n"/>
      <c r="F1244" s="82" t="n"/>
      <c r="G1244" s="82" t="n"/>
      <c r="H1244" s="82" t="n"/>
      <c r="I1244" s="82" t="n"/>
      <c r="J1244" s="82" t="n"/>
      <c r="K1244" s="82" t="n"/>
      <c r="L1244" s="82" t="n"/>
      <c r="M1244" s="82" t="n"/>
      <c r="N1244" s="82" t="n"/>
      <c r="O1244" s="82" t="n"/>
      <c r="P1244" s="82" t="n"/>
      <c r="Q1244" s="82" t="n"/>
      <c r="R1244" s="82" t="n"/>
      <c r="S1244" s="82" t="n"/>
      <c r="T1244" s="82" t="n"/>
      <c r="U1244" s="82" t="n"/>
      <c r="V1244" s="82" t="n"/>
      <c r="W1244" s="82" t="n"/>
      <c r="X1244" s="82" t="n"/>
      <c r="Y1244" s="82" t="n"/>
      <c r="Z1244" s="82" t="n"/>
    </row>
    <row r="1245" ht="15.75" customHeight="1" s="83">
      <c r="A1245" s="82" t="n"/>
      <c r="B1245" s="44" t="n"/>
      <c r="C1245" s="82" t="n"/>
      <c r="D1245" s="82" t="n"/>
      <c r="E1245" s="81" t="n"/>
      <c r="F1245" s="82" t="n"/>
      <c r="G1245" s="82" t="n"/>
      <c r="H1245" s="82" t="n"/>
      <c r="I1245" s="82" t="n"/>
      <c r="J1245" s="82" t="n"/>
      <c r="K1245" s="82" t="n"/>
      <c r="L1245" s="82" t="n"/>
      <c r="M1245" s="82" t="n"/>
      <c r="N1245" s="82" t="n"/>
      <c r="O1245" s="82" t="n"/>
      <c r="P1245" s="82" t="n"/>
      <c r="Q1245" s="82" t="n"/>
      <c r="R1245" s="82" t="n"/>
      <c r="S1245" s="82" t="n"/>
      <c r="T1245" s="82" t="n"/>
      <c r="U1245" s="82" t="n"/>
      <c r="V1245" s="82" t="n"/>
      <c r="W1245" s="82" t="n"/>
      <c r="X1245" s="82" t="n"/>
      <c r="Y1245" s="82" t="n"/>
      <c r="Z1245" s="82" t="n"/>
    </row>
    <row r="1246" ht="15.75" customHeight="1" s="83">
      <c r="A1246" s="82" t="n"/>
      <c r="B1246" s="44" t="n"/>
      <c r="C1246" s="82" t="n"/>
      <c r="D1246" s="82" t="n"/>
      <c r="E1246" s="81" t="n"/>
      <c r="F1246" s="82" t="n"/>
      <c r="G1246" s="82" t="n"/>
      <c r="H1246" s="82" t="n"/>
      <c r="I1246" s="82" t="n"/>
      <c r="J1246" s="82" t="n"/>
      <c r="K1246" s="82" t="n"/>
      <c r="L1246" s="82" t="n"/>
      <c r="M1246" s="82" t="n"/>
      <c r="N1246" s="82" t="n"/>
      <c r="O1246" s="82" t="n"/>
      <c r="P1246" s="82" t="n"/>
      <c r="Q1246" s="82" t="n"/>
      <c r="R1246" s="82" t="n"/>
      <c r="S1246" s="82" t="n"/>
      <c r="T1246" s="82" t="n"/>
      <c r="U1246" s="82" t="n"/>
      <c r="V1246" s="82" t="n"/>
      <c r="W1246" s="82" t="n"/>
      <c r="X1246" s="82" t="n"/>
      <c r="Y1246" s="82" t="n"/>
      <c r="Z1246" s="82" t="n"/>
    </row>
    <row r="1247" ht="15.75" customHeight="1" s="83">
      <c r="A1247" s="82" t="n"/>
      <c r="B1247" s="44" t="n"/>
      <c r="C1247" s="82" t="n"/>
      <c r="D1247" s="82" t="n"/>
      <c r="E1247" s="81" t="n"/>
      <c r="F1247" s="82" t="n"/>
      <c r="G1247" s="82" t="n"/>
      <c r="H1247" s="82" t="n"/>
      <c r="I1247" s="82" t="n"/>
      <c r="J1247" s="82" t="n"/>
      <c r="K1247" s="82" t="n"/>
      <c r="L1247" s="82" t="n"/>
      <c r="M1247" s="82" t="n"/>
      <c r="N1247" s="82" t="n"/>
      <c r="O1247" s="82" t="n"/>
      <c r="P1247" s="82" t="n"/>
      <c r="Q1247" s="82" t="n"/>
      <c r="R1247" s="82" t="n"/>
      <c r="S1247" s="82" t="n"/>
      <c r="T1247" s="82" t="n"/>
      <c r="U1247" s="82" t="n"/>
      <c r="V1247" s="82" t="n"/>
      <c r="W1247" s="82" t="n"/>
      <c r="X1247" s="82" t="n"/>
      <c r="Y1247" s="82" t="n"/>
      <c r="Z1247" s="82" t="n"/>
    </row>
    <row r="1248" ht="15.75" customHeight="1" s="83">
      <c r="A1248" s="82" t="n"/>
      <c r="B1248" s="44" t="n"/>
      <c r="C1248" s="82" t="n"/>
      <c r="D1248" s="82" t="n"/>
      <c r="E1248" s="81" t="n"/>
      <c r="F1248" s="82" t="n"/>
      <c r="G1248" s="82" t="n"/>
      <c r="H1248" s="82" t="n"/>
      <c r="I1248" s="82" t="n"/>
      <c r="J1248" s="82" t="n"/>
      <c r="K1248" s="82" t="n"/>
      <c r="L1248" s="82" t="n"/>
      <c r="M1248" s="82" t="n"/>
      <c r="N1248" s="82" t="n"/>
      <c r="O1248" s="82" t="n"/>
      <c r="P1248" s="82" t="n"/>
      <c r="Q1248" s="82" t="n"/>
      <c r="R1248" s="82" t="n"/>
      <c r="S1248" s="82" t="n"/>
      <c r="T1248" s="82" t="n"/>
      <c r="U1248" s="82" t="n"/>
      <c r="V1248" s="82" t="n"/>
      <c r="W1248" s="82" t="n"/>
      <c r="X1248" s="82" t="n"/>
      <c r="Y1248" s="82" t="n"/>
      <c r="Z1248" s="82" t="n"/>
    </row>
    <row r="1249" ht="15.75" customHeight="1" s="83">
      <c r="A1249" s="82" t="n"/>
      <c r="B1249" s="44" t="n"/>
      <c r="C1249" s="82" t="n"/>
      <c r="D1249" s="82" t="n"/>
      <c r="E1249" s="81" t="n"/>
      <c r="F1249" s="82" t="n"/>
      <c r="G1249" s="82" t="n"/>
      <c r="H1249" s="82" t="n"/>
      <c r="I1249" s="82" t="n"/>
      <c r="J1249" s="82" t="n"/>
      <c r="K1249" s="82" t="n"/>
      <c r="L1249" s="82" t="n"/>
      <c r="M1249" s="82" t="n"/>
      <c r="N1249" s="82" t="n"/>
      <c r="O1249" s="82" t="n"/>
      <c r="P1249" s="82" t="n"/>
      <c r="Q1249" s="82" t="n"/>
      <c r="R1249" s="82" t="n"/>
      <c r="S1249" s="82" t="n"/>
      <c r="T1249" s="82" t="n"/>
      <c r="U1249" s="82" t="n"/>
      <c r="V1249" s="82" t="n"/>
      <c r="W1249" s="82" t="n"/>
      <c r="X1249" s="82" t="n"/>
      <c r="Y1249" s="82" t="n"/>
      <c r="Z1249" s="82" t="n"/>
    </row>
    <row r="1250" ht="15.75" customHeight="1" s="83">
      <c r="A1250" s="82" t="n"/>
      <c r="B1250" s="44" t="n"/>
      <c r="C1250" s="82" t="n"/>
      <c r="D1250" s="82" t="n"/>
      <c r="E1250" s="81" t="n"/>
      <c r="F1250" s="82" t="n"/>
      <c r="G1250" s="82" t="n"/>
      <c r="H1250" s="82" t="n"/>
      <c r="I1250" s="82" t="n"/>
      <c r="J1250" s="82" t="n"/>
      <c r="K1250" s="82" t="n"/>
      <c r="L1250" s="82" t="n"/>
      <c r="M1250" s="82" t="n"/>
      <c r="N1250" s="82" t="n"/>
      <c r="O1250" s="82" t="n"/>
      <c r="P1250" s="82" t="n"/>
      <c r="Q1250" s="82" t="n"/>
      <c r="R1250" s="82" t="n"/>
      <c r="S1250" s="82" t="n"/>
      <c r="T1250" s="82" t="n"/>
      <c r="U1250" s="82" t="n"/>
      <c r="V1250" s="82" t="n"/>
      <c r="W1250" s="82" t="n"/>
      <c r="X1250" s="82" t="n"/>
      <c r="Y1250" s="82" t="n"/>
      <c r="Z1250" s="82" t="n"/>
    </row>
    <row r="1251" ht="15.75" customHeight="1" s="83">
      <c r="A1251" s="82" t="n"/>
      <c r="B1251" s="44" t="n"/>
      <c r="C1251" s="82" t="n"/>
      <c r="D1251" s="82" t="n"/>
      <c r="E1251" s="81" t="n"/>
      <c r="F1251" s="82" t="n"/>
      <c r="G1251" s="82" t="n"/>
      <c r="H1251" s="82" t="n"/>
      <c r="I1251" s="82" t="n"/>
      <c r="J1251" s="82" t="n"/>
      <c r="K1251" s="82" t="n"/>
      <c r="L1251" s="82" t="n"/>
      <c r="M1251" s="82" t="n"/>
      <c r="N1251" s="82" t="n"/>
      <c r="O1251" s="82" t="n"/>
      <c r="P1251" s="82" t="n"/>
      <c r="Q1251" s="82" t="n"/>
      <c r="R1251" s="82" t="n"/>
      <c r="S1251" s="82" t="n"/>
      <c r="T1251" s="82" t="n"/>
      <c r="U1251" s="82" t="n"/>
      <c r="V1251" s="82" t="n"/>
      <c r="W1251" s="82" t="n"/>
      <c r="X1251" s="82" t="n"/>
      <c r="Y1251" s="82" t="n"/>
      <c r="Z1251" s="82" t="n"/>
    </row>
    <row r="1252" ht="15.75" customHeight="1" s="83">
      <c r="A1252" s="82" t="n"/>
      <c r="B1252" s="44" t="n"/>
      <c r="C1252" s="82" t="n"/>
      <c r="D1252" s="82" t="n"/>
      <c r="E1252" s="81" t="n"/>
      <c r="F1252" s="82" t="n"/>
      <c r="G1252" s="82" t="n"/>
      <c r="H1252" s="82" t="n"/>
      <c r="I1252" s="82" t="n"/>
      <c r="J1252" s="82" t="n"/>
      <c r="K1252" s="82" t="n"/>
      <c r="L1252" s="82" t="n"/>
      <c r="M1252" s="82" t="n"/>
      <c r="N1252" s="82" t="n"/>
      <c r="O1252" s="82" t="n"/>
      <c r="P1252" s="82" t="n"/>
      <c r="Q1252" s="82" t="n"/>
      <c r="R1252" s="82" t="n"/>
      <c r="S1252" s="82" t="n"/>
      <c r="T1252" s="82" t="n"/>
      <c r="U1252" s="82" t="n"/>
      <c r="V1252" s="82" t="n"/>
      <c r="W1252" s="82" t="n"/>
      <c r="X1252" s="82" t="n"/>
      <c r="Y1252" s="82" t="n"/>
      <c r="Z1252" s="82" t="n"/>
    </row>
    <row r="1253" ht="15.75" customHeight="1" s="83">
      <c r="A1253" s="82" t="n"/>
      <c r="B1253" s="44" t="n"/>
      <c r="C1253" s="82" t="n"/>
      <c r="D1253" s="82" t="n"/>
      <c r="E1253" s="81" t="n"/>
      <c r="F1253" s="82" t="n"/>
      <c r="G1253" s="82" t="n"/>
      <c r="H1253" s="82" t="n"/>
      <c r="I1253" s="82" t="n"/>
      <c r="J1253" s="82" t="n"/>
      <c r="K1253" s="82" t="n"/>
      <c r="L1253" s="82" t="n"/>
      <c r="M1253" s="82" t="n"/>
      <c r="N1253" s="82" t="n"/>
      <c r="O1253" s="82" t="n"/>
      <c r="P1253" s="82" t="n"/>
      <c r="Q1253" s="82" t="n"/>
      <c r="R1253" s="82" t="n"/>
      <c r="S1253" s="82" t="n"/>
      <c r="T1253" s="82" t="n"/>
      <c r="U1253" s="82" t="n"/>
      <c r="V1253" s="82" t="n"/>
      <c r="W1253" s="82" t="n"/>
      <c r="X1253" s="82" t="n"/>
      <c r="Y1253" s="82" t="n"/>
      <c r="Z1253" s="82" t="n"/>
    </row>
    <row r="1254" ht="15.75" customHeight="1" s="83">
      <c r="A1254" s="82" t="n"/>
      <c r="B1254" s="44" t="n"/>
      <c r="C1254" s="82" t="n"/>
      <c r="D1254" s="82" t="n"/>
      <c r="E1254" s="81" t="n"/>
      <c r="F1254" s="82" t="n"/>
      <c r="G1254" s="82" t="n"/>
      <c r="H1254" s="82" t="n"/>
      <c r="I1254" s="82" t="n"/>
      <c r="J1254" s="82" t="n"/>
      <c r="K1254" s="82" t="n"/>
      <c r="L1254" s="82" t="n"/>
      <c r="M1254" s="82" t="n"/>
      <c r="N1254" s="82" t="n"/>
      <c r="O1254" s="82" t="n"/>
      <c r="P1254" s="82" t="n"/>
      <c r="Q1254" s="82" t="n"/>
      <c r="R1254" s="82" t="n"/>
      <c r="S1254" s="82" t="n"/>
      <c r="T1254" s="82" t="n"/>
      <c r="U1254" s="82" t="n"/>
      <c r="V1254" s="82" t="n"/>
      <c r="W1254" s="82" t="n"/>
      <c r="X1254" s="82" t="n"/>
      <c r="Y1254" s="82" t="n"/>
      <c r="Z1254" s="82" t="n"/>
    </row>
    <row r="1255" ht="15.75" customHeight="1" s="83">
      <c r="A1255" s="82" t="n"/>
      <c r="B1255" s="44" t="n"/>
      <c r="C1255" s="82" t="n"/>
      <c r="D1255" s="82" t="n"/>
      <c r="E1255" s="81" t="n"/>
      <c r="F1255" s="82" t="n"/>
      <c r="G1255" s="82" t="n"/>
      <c r="H1255" s="82" t="n"/>
      <c r="I1255" s="82" t="n"/>
      <c r="J1255" s="82" t="n"/>
      <c r="K1255" s="82" t="n"/>
      <c r="L1255" s="82" t="n"/>
      <c r="M1255" s="82" t="n"/>
      <c r="N1255" s="82" t="n"/>
      <c r="O1255" s="82" t="n"/>
      <c r="P1255" s="82" t="n"/>
      <c r="Q1255" s="82" t="n"/>
      <c r="R1255" s="82" t="n"/>
      <c r="S1255" s="82" t="n"/>
      <c r="T1255" s="82" t="n"/>
      <c r="U1255" s="82" t="n"/>
      <c r="V1255" s="82" t="n"/>
      <c r="W1255" s="82" t="n"/>
      <c r="X1255" s="82" t="n"/>
      <c r="Y1255" s="82" t="n"/>
      <c r="Z1255" s="82" t="n"/>
    </row>
    <row r="1256" ht="15.75" customHeight="1" s="83">
      <c r="A1256" s="82" t="n"/>
      <c r="B1256" s="44" t="n"/>
      <c r="C1256" s="82" t="n"/>
      <c r="D1256" s="82" t="n"/>
      <c r="E1256" s="81" t="n"/>
      <c r="F1256" s="82" t="n"/>
      <c r="G1256" s="82" t="n"/>
      <c r="H1256" s="82" t="n"/>
      <c r="I1256" s="82" t="n"/>
      <c r="J1256" s="82" t="n"/>
      <c r="K1256" s="82" t="n"/>
      <c r="L1256" s="82" t="n"/>
      <c r="M1256" s="82" t="n"/>
      <c r="N1256" s="82" t="n"/>
      <c r="O1256" s="82" t="n"/>
      <c r="P1256" s="82" t="n"/>
      <c r="Q1256" s="82" t="n"/>
      <c r="R1256" s="82" t="n"/>
      <c r="S1256" s="82" t="n"/>
      <c r="T1256" s="82" t="n"/>
      <c r="U1256" s="82" t="n"/>
      <c r="V1256" s="82" t="n"/>
      <c r="W1256" s="82" t="n"/>
      <c r="X1256" s="82" t="n"/>
      <c r="Y1256" s="82" t="n"/>
      <c r="Z1256" s="82" t="n"/>
    </row>
    <row r="1257" ht="15.75" customHeight="1" s="83">
      <c r="A1257" s="82" t="n"/>
      <c r="B1257" s="44" t="n"/>
      <c r="C1257" s="82" t="n"/>
      <c r="D1257" s="82" t="n"/>
      <c r="E1257" s="81" t="n"/>
      <c r="F1257" s="82" t="n"/>
      <c r="G1257" s="82" t="n"/>
      <c r="H1257" s="82" t="n"/>
      <c r="I1257" s="82" t="n"/>
      <c r="J1257" s="82" t="n"/>
      <c r="K1257" s="82" t="n"/>
      <c r="L1257" s="82" t="n"/>
      <c r="M1257" s="82" t="n"/>
      <c r="N1257" s="82" t="n"/>
      <c r="O1257" s="82" t="n"/>
      <c r="P1257" s="82" t="n"/>
      <c r="Q1257" s="82" t="n"/>
      <c r="R1257" s="82" t="n"/>
      <c r="S1257" s="82" t="n"/>
      <c r="T1257" s="82" t="n"/>
      <c r="U1257" s="82" t="n"/>
      <c r="V1257" s="82" t="n"/>
      <c r="W1257" s="82" t="n"/>
      <c r="X1257" s="82" t="n"/>
      <c r="Y1257" s="82" t="n"/>
      <c r="Z1257" s="82" t="n"/>
    </row>
    <row r="1258" ht="15.75" customHeight="1" s="83">
      <c r="A1258" s="82" t="n"/>
      <c r="B1258" s="44" t="n"/>
      <c r="C1258" s="82" t="n"/>
      <c r="D1258" s="82" t="n"/>
      <c r="E1258" s="81" t="n"/>
      <c r="F1258" s="82" t="n"/>
      <c r="G1258" s="82" t="n"/>
      <c r="H1258" s="82" t="n"/>
      <c r="I1258" s="82" t="n"/>
      <c r="J1258" s="82" t="n"/>
      <c r="K1258" s="82" t="n"/>
      <c r="L1258" s="82" t="n"/>
      <c r="M1258" s="82" t="n"/>
      <c r="N1258" s="82" t="n"/>
      <c r="O1258" s="82" t="n"/>
      <c r="P1258" s="82" t="n"/>
      <c r="Q1258" s="82" t="n"/>
      <c r="R1258" s="82" t="n"/>
      <c r="S1258" s="82" t="n"/>
      <c r="T1258" s="82" t="n"/>
      <c r="U1258" s="82" t="n"/>
      <c r="V1258" s="82" t="n"/>
      <c r="W1258" s="82" t="n"/>
      <c r="X1258" s="82" t="n"/>
      <c r="Y1258" s="82" t="n"/>
      <c r="Z1258" s="82" t="n"/>
    </row>
    <row r="1259" ht="15.75" customHeight="1" s="83">
      <c r="A1259" s="82" t="n"/>
      <c r="B1259" s="44" t="n"/>
      <c r="C1259" s="82" t="n"/>
      <c r="D1259" s="82" t="n"/>
      <c r="E1259" s="81" t="n"/>
      <c r="F1259" s="82" t="n"/>
      <c r="G1259" s="82" t="n"/>
      <c r="H1259" s="82" t="n"/>
      <c r="I1259" s="82" t="n"/>
      <c r="J1259" s="82" t="n"/>
      <c r="K1259" s="82" t="n"/>
      <c r="L1259" s="82" t="n"/>
      <c r="M1259" s="82" t="n"/>
      <c r="N1259" s="82" t="n"/>
      <c r="O1259" s="82" t="n"/>
      <c r="P1259" s="82" t="n"/>
      <c r="Q1259" s="82" t="n"/>
      <c r="R1259" s="82" t="n"/>
      <c r="S1259" s="82" t="n"/>
      <c r="T1259" s="82" t="n"/>
      <c r="U1259" s="82" t="n"/>
      <c r="V1259" s="82" t="n"/>
      <c r="W1259" s="82" t="n"/>
      <c r="X1259" s="82" t="n"/>
      <c r="Y1259" s="82" t="n"/>
      <c r="Z1259" s="82" t="n"/>
    </row>
    <row r="1260" ht="15.75" customHeight="1" s="83">
      <c r="A1260" s="82" t="n"/>
      <c r="B1260" s="44" t="n"/>
      <c r="C1260" s="82" t="n"/>
      <c r="D1260" s="82" t="n"/>
      <c r="E1260" s="81" t="n"/>
      <c r="F1260" s="82" t="n"/>
      <c r="G1260" s="82" t="n"/>
      <c r="H1260" s="82" t="n"/>
      <c r="I1260" s="82" t="n"/>
      <c r="J1260" s="82" t="n"/>
      <c r="K1260" s="82" t="n"/>
      <c r="L1260" s="82" t="n"/>
      <c r="M1260" s="82" t="n"/>
      <c r="N1260" s="82" t="n"/>
      <c r="O1260" s="82" t="n"/>
      <c r="P1260" s="82" t="n"/>
      <c r="Q1260" s="82" t="n"/>
      <c r="R1260" s="82" t="n"/>
      <c r="S1260" s="82" t="n"/>
      <c r="T1260" s="82" t="n"/>
      <c r="U1260" s="82" t="n"/>
      <c r="V1260" s="82" t="n"/>
      <c r="W1260" s="82" t="n"/>
      <c r="X1260" s="82" t="n"/>
      <c r="Y1260" s="82" t="n"/>
      <c r="Z1260" s="82" t="n"/>
    </row>
    <row r="1261" ht="15.75" customHeight="1" s="83">
      <c r="A1261" s="82" t="n"/>
      <c r="B1261" s="44" t="n"/>
      <c r="C1261" s="82" t="n"/>
      <c r="D1261" s="82" t="n"/>
      <c r="E1261" s="81" t="n"/>
      <c r="F1261" s="82" t="n"/>
      <c r="G1261" s="82" t="n"/>
      <c r="H1261" s="82" t="n"/>
      <c r="I1261" s="82" t="n"/>
      <c r="J1261" s="82" t="n"/>
      <c r="K1261" s="82" t="n"/>
      <c r="L1261" s="82" t="n"/>
      <c r="M1261" s="82" t="n"/>
      <c r="N1261" s="82" t="n"/>
      <c r="O1261" s="82" t="n"/>
      <c r="P1261" s="82" t="n"/>
      <c r="Q1261" s="82" t="n"/>
      <c r="R1261" s="82" t="n"/>
      <c r="S1261" s="82" t="n"/>
      <c r="T1261" s="82" t="n"/>
      <c r="U1261" s="82" t="n"/>
      <c r="V1261" s="82" t="n"/>
      <c r="W1261" s="82" t="n"/>
      <c r="X1261" s="82" t="n"/>
      <c r="Y1261" s="82" t="n"/>
      <c r="Z1261" s="82" t="n"/>
    </row>
    <row r="1262" ht="15.75" customHeight="1" s="83">
      <c r="A1262" s="82" t="n"/>
      <c r="B1262" s="44" t="n"/>
      <c r="C1262" s="82" t="n"/>
      <c r="D1262" s="82" t="n"/>
      <c r="E1262" s="81" t="n"/>
      <c r="F1262" s="82" t="n"/>
      <c r="G1262" s="82" t="n"/>
      <c r="H1262" s="82" t="n"/>
      <c r="I1262" s="82" t="n"/>
      <c r="J1262" s="82" t="n"/>
      <c r="K1262" s="82" t="n"/>
      <c r="L1262" s="82" t="n"/>
      <c r="M1262" s="82" t="n"/>
      <c r="N1262" s="82" t="n"/>
      <c r="O1262" s="82" t="n"/>
      <c r="P1262" s="82" t="n"/>
      <c r="Q1262" s="82" t="n"/>
      <c r="R1262" s="82" t="n"/>
      <c r="S1262" s="82" t="n"/>
      <c r="T1262" s="82" t="n"/>
      <c r="U1262" s="82" t="n"/>
      <c r="V1262" s="82" t="n"/>
      <c r="W1262" s="82" t="n"/>
      <c r="X1262" s="82" t="n"/>
      <c r="Y1262" s="82" t="n"/>
      <c r="Z1262" s="82" t="n"/>
    </row>
    <row r="1263" ht="15.75" customHeight="1" s="83">
      <c r="A1263" s="82" t="n"/>
      <c r="B1263" s="44" t="n"/>
      <c r="C1263" s="82" t="n"/>
      <c r="D1263" s="82" t="n"/>
      <c r="E1263" s="81" t="n"/>
      <c r="F1263" s="82" t="n"/>
      <c r="G1263" s="82" t="n"/>
      <c r="H1263" s="82" t="n"/>
      <c r="I1263" s="82" t="n"/>
      <c r="J1263" s="82" t="n"/>
      <c r="K1263" s="82" t="n"/>
      <c r="L1263" s="82" t="n"/>
      <c r="M1263" s="82" t="n"/>
      <c r="N1263" s="82" t="n"/>
      <c r="O1263" s="82" t="n"/>
      <c r="P1263" s="82" t="n"/>
      <c r="Q1263" s="82" t="n"/>
      <c r="R1263" s="82" t="n"/>
      <c r="S1263" s="82" t="n"/>
      <c r="T1263" s="82" t="n"/>
      <c r="U1263" s="82" t="n"/>
      <c r="V1263" s="82" t="n"/>
      <c r="W1263" s="82" t="n"/>
      <c r="X1263" s="82" t="n"/>
      <c r="Y1263" s="82" t="n"/>
      <c r="Z1263" s="82" t="n"/>
    </row>
    <row r="1264" ht="15.75" customHeight="1" s="83">
      <c r="A1264" s="82" t="n"/>
      <c r="B1264" s="44" t="n"/>
      <c r="C1264" s="82" t="n"/>
      <c r="D1264" s="82" t="n"/>
      <c r="E1264" s="81" t="n"/>
      <c r="F1264" s="82" t="n"/>
      <c r="G1264" s="82" t="n"/>
      <c r="H1264" s="82" t="n"/>
      <c r="I1264" s="82" t="n"/>
      <c r="J1264" s="82" t="n"/>
      <c r="K1264" s="82" t="n"/>
      <c r="L1264" s="82" t="n"/>
      <c r="M1264" s="82" t="n"/>
      <c r="N1264" s="82" t="n"/>
      <c r="O1264" s="82" t="n"/>
      <c r="P1264" s="82" t="n"/>
      <c r="Q1264" s="82" t="n"/>
      <c r="R1264" s="82" t="n"/>
      <c r="S1264" s="82" t="n"/>
      <c r="T1264" s="82" t="n"/>
      <c r="U1264" s="82" t="n"/>
      <c r="V1264" s="82" t="n"/>
      <c r="W1264" s="82" t="n"/>
      <c r="X1264" s="82" t="n"/>
      <c r="Y1264" s="82" t="n"/>
      <c r="Z1264" s="82" t="n"/>
    </row>
    <row r="1265" ht="15.75" customHeight="1" s="83">
      <c r="A1265" s="82" t="n"/>
      <c r="B1265" s="44" t="n"/>
      <c r="C1265" s="82" t="n"/>
      <c r="D1265" s="82" t="n"/>
      <c r="E1265" s="81" t="n"/>
      <c r="F1265" s="82" t="n"/>
      <c r="G1265" s="82" t="n"/>
      <c r="H1265" s="82" t="n"/>
      <c r="I1265" s="82" t="n"/>
      <c r="J1265" s="82" t="n"/>
      <c r="K1265" s="82" t="n"/>
      <c r="L1265" s="82" t="n"/>
      <c r="M1265" s="82" t="n"/>
      <c r="N1265" s="82" t="n"/>
      <c r="O1265" s="82" t="n"/>
      <c r="P1265" s="82" t="n"/>
      <c r="Q1265" s="82" t="n"/>
      <c r="R1265" s="82" t="n"/>
      <c r="S1265" s="82" t="n"/>
      <c r="T1265" s="82" t="n"/>
      <c r="U1265" s="82" t="n"/>
      <c r="V1265" s="82" t="n"/>
      <c r="W1265" s="82" t="n"/>
      <c r="X1265" s="82" t="n"/>
      <c r="Y1265" s="82" t="n"/>
      <c r="Z1265" s="82" t="n"/>
    </row>
    <row r="1266" ht="15.75" customHeight="1" s="83">
      <c r="A1266" s="82" t="n"/>
      <c r="B1266" s="44" t="n"/>
      <c r="C1266" s="82" t="n"/>
      <c r="D1266" s="82" t="n"/>
      <c r="E1266" s="81" t="n"/>
      <c r="F1266" s="82" t="n"/>
      <c r="G1266" s="82" t="n"/>
      <c r="H1266" s="82" t="n"/>
      <c r="I1266" s="82" t="n"/>
      <c r="J1266" s="82" t="n"/>
      <c r="K1266" s="82" t="n"/>
      <c r="L1266" s="82" t="n"/>
      <c r="M1266" s="82" t="n"/>
      <c r="N1266" s="82" t="n"/>
      <c r="O1266" s="82" t="n"/>
      <c r="P1266" s="82" t="n"/>
      <c r="Q1266" s="82" t="n"/>
      <c r="R1266" s="82" t="n"/>
      <c r="S1266" s="82" t="n"/>
      <c r="T1266" s="82" t="n"/>
      <c r="U1266" s="82" t="n"/>
      <c r="V1266" s="82" t="n"/>
      <c r="W1266" s="82" t="n"/>
      <c r="X1266" s="82" t="n"/>
      <c r="Y1266" s="82" t="n"/>
      <c r="Z1266" s="82" t="n"/>
    </row>
    <row r="1267" ht="15.75" customHeight="1" s="83">
      <c r="A1267" s="82" t="n"/>
      <c r="B1267" s="44" t="n"/>
      <c r="C1267" s="82" t="n"/>
      <c r="D1267" s="82" t="n"/>
      <c r="E1267" s="81" t="n"/>
      <c r="F1267" s="82" t="n"/>
      <c r="G1267" s="82" t="n"/>
      <c r="H1267" s="82" t="n"/>
      <c r="I1267" s="82" t="n"/>
      <c r="J1267" s="82" t="n"/>
      <c r="K1267" s="82" t="n"/>
      <c r="L1267" s="82" t="n"/>
      <c r="M1267" s="82" t="n"/>
      <c r="N1267" s="82" t="n"/>
      <c r="O1267" s="82" t="n"/>
      <c r="P1267" s="82" t="n"/>
      <c r="Q1267" s="82" t="n"/>
      <c r="R1267" s="82" t="n"/>
      <c r="S1267" s="82" t="n"/>
      <c r="T1267" s="82" t="n"/>
      <c r="U1267" s="82" t="n"/>
      <c r="V1267" s="82" t="n"/>
      <c r="W1267" s="82" t="n"/>
      <c r="X1267" s="82" t="n"/>
      <c r="Y1267" s="82" t="n"/>
      <c r="Z1267" s="82" t="n"/>
    </row>
    <row r="1268" ht="15.75" customHeight="1" s="83">
      <c r="A1268" s="82" t="n"/>
      <c r="B1268" s="44" t="n"/>
      <c r="C1268" s="82" t="n"/>
      <c r="D1268" s="82" t="n"/>
      <c r="E1268" s="81" t="n"/>
      <c r="F1268" s="82" t="n"/>
      <c r="G1268" s="82" t="n"/>
      <c r="H1268" s="82" t="n"/>
      <c r="I1268" s="82" t="n"/>
      <c r="J1268" s="82" t="n"/>
      <c r="K1268" s="82" t="n"/>
      <c r="L1268" s="82" t="n"/>
      <c r="M1268" s="82" t="n"/>
      <c r="N1268" s="82" t="n"/>
      <c r="O1268" s="82" t="n"/>
      <c r="P1268" s="82" t="n"/>
      <c r="Q1268" s="82" t="n"/>
      <c r="R1268" s="82" t="n"/>
      <c r="S1268" s="82" t="n"/>
      <c r="T1268" s="82" t="n"/>
      <c r="U1268" s="82" t="n"/>
      <c r="V1268" s="82" t="n"/>
      <c r="W1268" s="82" t="n"/>
      <c r="X1268" s="82" t="n"/>
      <c r="Y1268" s="82" t="n"/>
      <c r="Z1268" s="82" t="n"/>
    </row>
    <row r="1269" ht="15.75" customHeight="1" s="83">
      <c r="A1269" s="82" t="n"/>
      <c r="B1269" s="44" t="n"/>
      <c r="C1269" s="82" t="n"/>
      <c r="D1269" s="82" t="n"/>
      <c r="E1269" s="81" t="n"/>
      <c r="F1269" s="82" t="n"/>
      <c r="G1269" s="82" t="n"/>
      <c r="H1269" s="82" t="n"/>
      <c r="I1269" s="82" t="n"/>
      <c r="J1269" s="82" t="n"/>
      <c r="K1269" s="82" t="n"/>
      <c r="L1269" s="82" t="n"/>
      <c r="M1269" s="82" t="n"/>
      <c r="N1269" s="82" t="n"/>
      <c r="O1269" s="82" t="n"/>
      <c r="P1269" s="82" t="n"/>
      <c r="Q1269" s="82" t="n"/>
      <c r="R1269" s="82" t="n"/>
      <c r="S1269" s="82" t="n"/>
      <c r="T1269" s="82" t="n"/>
      <c r="U1269" s="82" t="n"/>
      <c r="V1269" s="82" t="n"/>
      <c r="W1269" s="82" t="n"/>
      <c r="X1269" s="82" t="n"/>
      <c r="Y1269" s="82" t="n"/>
      <c r="Z1269" s="82" t="n"/>
    </row>
    <row r="1270" ht="15.75" customHeight="1" s="83">
      <c r="A1270" s="82" t="n"/>
      <c r="B1270" s="44" t="n"/>
      <c r="C1270" s="82" t="n"/>
      <c r="D1270" s="82" t="n"/>
      <c r="E1270" s="81" t="n"/>
      <c r="F1270" s="82" t="n"/>
      <c r="G1270" s="82" t="n"/>
      <c r="H1270" s="82" t="n"/>
      <c r="I1270" s="82" t="n"/>
      <c r="J1270" s="82" t="n"/>
      <c r="K1270" s="82" t="n"/>
      <c r="L1270" s="82" t="n"/>
      <c r="M1270" s="82" t="n"/>
      <c r="N1270" s="82" t="n"/>
      <c r="O1270" s="82" t="n"/>
      <c r="P1270" s="82" t="n"/>
      <c r="Q1270" s="82" t="n"/>
      <c r="R1270" s="82" t="n"/>
      <c r="S1270" s="82" t="n"/>
      <c r="T1270" s="82" t="n"/>
      <c r="U1270" s="82" t="n"/>
      <c r="V1270" s="82" t="n"/>
      <c r="W1270" s="82" t="n"/>
      <c r="X1270" s="82" t="n"/>
      <c r="Y1270" s="82" t="n"/>
      <c r="Z1270" s="82" t="n"/>
    </row>
    <row r="1271" ht="15.75" customHeight="1" s="83">
      <c r="A1271" s="82" t="n"/>
      <c r="B1271" s="44" t="n"/>
      <c r="C1271" s="82" t="n"/>
      <c r="D1271" s="82" t="n"/>
      <c r="E1271" s="81" t="n"/>
      <c r="F1271" s="82" t="n"/>
      <c r="G1271" s="82" t="n"/>
      <c r="H1271" s="82" t="n"/>
      <c r="I1271" s="82" t="n"/>
      <c r="J1271" s="82" t="n"/>
      <c r="K1271" s="82" t="n"/>
      <c r="L1271" s="82" t="n"/>
      <c r="M1271" s="82" t="n"/>
      <c r="N1271" s="82" t="n"/>
      <c r="O1271" s="82" t="n"/>
      <c r="P1271" s="82" t="n"/>
      <c r="Q1271" s="82" t="n"/>
      <c r="R1271" s="82" t="n"/>
      <c r="S1271" s="82" t="n"/>
      <c r="T1271" s="82" t="n"/>
      <c r="U1271" s="82" t="n"/>
      <c r="V1271" s="82" t="n"/>
      <c r="W1271" s="82" t="n"/>
      <c r="X1271" s="82" t="n"/>
      <c r="Y1271" s="82" t="n"/>
      <c r="Z1271" s="82" t="n"/>
    </row>
    <row r="1272" ht="15.75" customHeight="1" s="83">
      <c r="A1272" s="82" t="n"/>
      <c r="B1272" s="44" t="n"/>
      <c r="C1272" s="82" t="n"/>
      <c r="D1272" s="82" t="n"/>
      <c r="E1272" s="81" t="n"/>
      <c r="F1272" s="82" t="n"/>
      <c r="G1272" s="82" t="n"/>
      <c r="H1272" s="82" t="n"/>
      <c r="I1272" s="82" t="n"/>
      <c r="J1272" s="82" t="n"/>
      <c r="K1272" s="82" t="n"/>
      <c r="L1272" s="82" t="n"/>
      <c r="M1272" s="82" t="n"/>
      <c r="N1272" s="82" t="n"/>
      <c r="O1272" s="82" t="n"/>
      <c r="P1272" s="82" t="n"/>
      <c r="Q1272" s="82" t="n"/>
      <c r="R1272" s="82" t="n"/>
      <c r="S1272" s="82" t="n"/>
      <c r="T1272" s="82" t="n"/>
      <c r="U1272" s="82" t="n"/>
      <c r="V1272" s="82" t="n"/>
      <c r="W1272" s="82" t="n"/>
      <c r="X1272" s="82" t="n"/>
      <c r="Y1272" s="82" t="n"/>
      <c r="Z1272" s="82" t="n"/>
    </row>
    <row r="1273" ht="15.75" customHeight="1" s="83">
      <c r="A1273" s="82" t="n"/>
      <c r="B1273" s="44" t="n"/>
      <c r="C1273" s="82" t="n"/>
      <c r="D1273" s="82" t="n"/>
      <c r="E1273" s="81" t="n"/>
      <c r="F1273" s="82" t="n"/>
      <c r="G1273" s="82" t="n"/>
      <c r="H1273" s="82" t="n"/>
      <c r="I1273" s="82" t="n"/>
      <c r="J1273" s="82" t="n"/>
      <c r="K1273" s="82" t="n"/>
      <c r="L1273" s="82" t="n"/>
      <c r="M1273" s="82" t="n"/>
      <c r="N1273" s="82" t="n"/>
      <c r="O1273" s="82" t="n"/>
      <c r="P1273" s="82" t="n"/>
      <c r="Q1273" s="82" t="n"/>
      <c r="R1273" s="82" t="n"/>
      <c r="S1273" s="82" t="n"/>
      <c r="T1273" s="82" t="n"/>
      <c r="U1273" s="82" t="n"/>
      <c r="V1273" s="82" t="n"/>
      <c r="W1273" s="82" t="n"/>
      <c r="X1273" s="82" t="n"/>
      <c r="Y1273" s="82" t="n"/>
      <c r="Z1273" s="82" t="n"/>
    </row>
    <row r="1274" ht="15.75" customHeight="1" s="83">
      <c r="A1274" s="82" t="n"/>
      <c r="B1274" s="44" t="n"/>
      <c r="C1274" s="82" t="n"/>
      <c r="D1274" s="82" t="n"/>
      <c r="E1274" s="81" t="n"/>
      <c r="F1274" s="82" t="n"/>
      <c r="G1274" s="82" t="n"/>
      <c r="H1274" s="82" t="n"/>
      <c r="I1274" s="82" t="n"/>
      <c r="J1274" s="82" t="n"/>
      <c r="K1274" s="82" t="n"/>
      <c r="L1274" s="82" t="n"/>
      <c r="M1274" s="82" t="n"/>
      <c r="N1274" s="82" t="n"/>
      <c r="O1274" s="82" t="n"/>
      <c r="P1274" s="82" t="n"/>
      <c r="Q1274" s="82" t="n"/>
      <c r="R1274" s="82" t="n"/>
      <c r="S1274" s="82" t="n"/>
      <c r="T1274" s="82" t="n"/>
      <c r="U1274" s="82" t="n"/>
      <c r="V1274" s="82" t="n"/>
      <c r="W1274" s="82" t="n"/>
      <c r="X1274" s="82" t="n"/>
      <c r="Y1274" s="82" t="n"/>
      <c r="Z1274" s="82" t="n"/>
    </row>
    <row r="1275" ht="15.75" customHeight="1" s="83">
      <c r="A1275" s="82" t="n"/>
      <c r="B1275" s="44" t="n"/>
      <c r="C1275" s="82" t="n"/>
      <c r="D1275" s="82" t="n"/>
      <c r="E1275" s="81" t="n"/>
      <c r="F1275" s="82" t="n"/>
      <c r="G1275" s="82" t="n"/>
      <c r="H1275" s="82" t="n"/>
      <c r="I1275" s="82" t="n"/>
      <c r="J1275" s="82" t="n"/>
      <c r="K1275" s="82" t="n"/>
      <c r="L1275" s="82" t="n"/>
      <c r="M1275" s="82" t="n"/>
      <c r="N1275" s="82" t="n"/>
      <c r="O1275" s="82" t="n"/>
      <c r="P1275" s="82" t="n"/>
      <c r="Q1275" s="82" t="n"/>
      <c r="R1275" s="82" t="n"/>
      <c r="S1275" s="82" t="n"/>
      <c r="T1275" s="82" t="n"/>
      <c r="U1275" s="82" t="n"/>
      <c r="V1275" s="82" t="n"/>
      <c r="W1275" s="82" t="n"/>
      <c r="X1275" s="82" t="n"/>
      <c r="Y1275" s="82" t="n"/>
      <c r="Z1275" s="82" t="n"/>
    </row>
    <row r="1276" ht="15.75" customHeight="1" s="83">
      <c r="A1276" s="82" t="n"/>
      <c r="B1276" s="44" t="n"/>
      <c r="C1276" s="82" t="n"/>
      <c r="D1276" s="82" t="n"/>
      <c r="E1276" s="81" t="n"/>
      <c r="F1276" s="82" t="n"/>
      <c r="G1276" s="82" t="n"/>
      <c r="H1276" s="82" t="n"/>
      <c r="I1276" s="82" t="n"/>
      <c r="J1276" s="82" t="n"/>
      <c r="K1276" s="82" t="n"/>
      <c r="L1276" s="82" t="n"/>
      <c r="M1276" s="82" t="n"/>
      <c r="N1276" s="82" t="n"/>
      <c r="O1276" s="82" t="n"/>
      <c r="P1276" s="82" t="n"/>
      <c r="Q1276" s="82" t="n"/>
      <c r="R1276" s="82" t="n"/>
      <c r="S1276" s="82" t="n"/>
      <c r="T1276" s="82" t="n"/>
      <c r="U1276" s="82" t="n"/>
      <c r="V1276" s="82" t="n"/>
      <c r="W1276" s="82" t="n"/>
      <c r="X1276" s="82" t="n"/>
      <c r="Y1276" s="82" t="n"/>
      <c r="Z1276" s="82" t="n"/>
    </row>
    <row r="1277" ht="15.75" customHeight="1" s="83">
      <c r="A1277" s="82" t="n"/>
      <c r="B1277" s="44" t="n"/>
      <c r="C1277" s="82" t="n"/>
      <c r="D1277" s="82" t="n"/>
      <c r="E1277" s="81" t="n"/>
      <c r="F1277" s="82" t="n"/>
      <c r="G1277" s="82" t="n"/>
      <c r="H1277" s="82" t="n"/>
      <c r="I1277" s="82" t="n"/>
      <c r="J1277" s="82" t="n"/>
      <c r="K1277" s="82" t="n"/>
      <c r="L1277" s="82" t="n"/>
      <c r="M1277" s="82" t="n"/>
      <c r="N1277" s="82" t="n"/>
      <c r="O1277" s="82" t="n"/>
      <c r="P1277" s="82" t="n"/>
      <c r="Q1277" s="82" t="n"/>
      <c r="R1277" s="82" t="n"/>
      <c r="S1277" s="82" t="n"/>
      <c r="T1277" s="82" t="n"/>
      <c r="U1277" s="82" t="n"/>
      <c r="V1277" s="82" t="n"/>
      <c r="W1277" s="82" t="n"/>
      <c r="X1277" s="82" t="n"/>
      <c r="Y1277" s="82" t="n"/>
      <c r="Z1277" s="82" t="n"/>
    </row>
    <row r="1278" ht="15.75" customHeight="1" s="83">
      <c r="A1278" s="82" t="n"/>
      <c r="B1278" s="44" t="n"/>
      <c r="C1278" s="82" t="n"/>
      <c r="D1278" s="82" t="n"/>
      <c r="E1278" s="81" t="n"/>
      <c r="F1278" s="82" t="n"/>
      <c r="G1278" s="82" t="n"/>
      <c r="H1278" s="82" t="n"/>
      <c r="I1278" s="82" t="n"/>
      <c r="J1278" s="82" t="n"/>
      <c r="K1278" s="82" t="n"/>
      <c r="L1278" s="82" t="n"/>
      <c r="M1278" s="82" t="n"/>
      <c r="N1278" s="82" t="n"/>
      <c r="O1278" s="82" t="n"/>
      <c r="P1278" s="82" t="n"/>
      <c r="Q1278" s="82" t="n"/>
      <c r="R1278" s="82" t="n"/>
      <c r="S1278" s="82" t="n"/>
      <c r="T1278" s="82" t="n"/>
      <c r="U1278" s="82" t="n"/>
      <c r="V1278" s="82" t="n"/>
      <c r="W1278" s="82" t="n"/>
      <c r="X1278" s="82" t="n"/>
      <c r="Y1278" s="82" t="n"/>
      <c r="Z1278" s="82" t="n"/>
    </row>
    <row r="1279" ht="15.75" customHeight="1" s="83">
      <c r="A1279" s="82" t="n"/>
      <c r="B1279" s="44" t="n"/>
      <c r="C1279" s="82" t="n"/>
      <c r="D1279" s="82" t="n"/>
      <c r="E1279" s="81" t="n"/>
      <c r="F1279" s="82" t="n"/>
      <c r="G1279" s="82" t="n"/>
      <c r="H1279" s="82" t="n"/>
      <c r="I1279" s="82" t="n"/>
      <c r="J1279" s="82" t="n"/>
      <c r="K1279" s="82" t="n"/>
      <c r="L1279" s="82" t="n"/>
      <c r="M1279" s="82" t="n"/>
      <c r="N1279" s="82" t="n"/>
      <c r="O1279" s="82" t="n"/>
      <c r="P1279" s="82" t="n"/>
      <c r="Q1279" s="82" t="n"/>
      <c r="R1279" s="82" t="n"/>
      <c r="S1279" s="82" t="n"/>
      <c r="T1279" s="82" t="n"/>
      <c r="U1279" s="82" t="n"/>
      <c r="V1279" s="82" t="n"/>
      <c r="W1279" s="82" t="n"/>
      <c r="X1279" s="82" t="n"/>
      <c r="Y1279" s="82" t="n"/>
      <c r="Z1279" s="82" t="n"/>
    </row>
    <row r="1280" ht="15.75" customHeight="1" s="83">
      <c r="A1280" s="82" t="n"/>
      <c r="B1280" s="44" t="n"/>
      <c r="C1280" s="82" t="n"/>
      <c r="D1280" s="82" t="n"/>
      <c r="E1280" s="81" t="n"/>
      <c r="F1280" s="82" t="n"/>
      <c r="G1280" s="82" t="n"/>
      <c r="H1280" s="82" t="n"/>
      <c r="I1280" s="82" t="n"/>
      <c r="J1280" s="82" t="n"/>
      <c r="K1280" s="82" t="n"/>
      <c r="L1280" s="82" t="n"/>
      <c r="M1280" s="82" t="n"/>
      <c r="N1280" s="82" t="n"/>
      <c r="O1280" s="82" t="n"/>
      <c r="P1280" s="82" t="n"/>
      <c r="Q1280" s="82" t="n"/>
      <c r="R1280" s="82" t="n"/>
      <c r="S1280" s="82" t="n"/>
      <c r="T1280" s="82" t="n"/>
      <c r="U1280" s="82" t="n"/>
      <c r="V1280" s="82" t="n"/>
      <c r="W1280" s="82" t="n"/>
      <c r="X1280" s="82" t="n"/>
      <c r="Y1280" s="82" t="n"/>
      <c r="Z1280" s="82" t="n"/>
    </row>
    <row r="1281" ht="15.75" customHeight="1" s="83">
      <c r="A1281" s="82" t="n"/>
      <c r="B1281" s="44" t="n"/>
      <c r="C1281" s="82" t="n"/>
      <c r="D1281" s="82" t="n"/>
      <c r="E1281" s="81" t="n"/>
      <c r="F1281" s="82" t="n"/>
      <c r="G1281" s="82" t="n"/>
      <c r="H1281" s="82" t="n"/>
      <c r="I1281" s="82" t="n"/>
      <c r="J1281" s="82" t="n"/>
      <c r="K1281" s="82" t="n"/>
      <c r="L1281" s="82" t="n"/>
      <c r="M1281" s="82" t="n"/>
      <c r="N1281" s="82" t="n"/>
      <c r="O1281" s="82" t="n"/>
      <c r="P1281" s="82" t="n"/>
      <c r="Q1281" s="82" t="n"/>
      <c r="R1281" s="82" t="n"/>
      <c r="S1281" s="82" t="n"/>
      <c r="T1281" s="82" t="n"/>
      <c r="U1281" s="82" t="n"/>
      <c r="V1281" s="82" t="n"/>
      <c r="W1281" s="82" t="n"/>
      <c r="X1281" s="82" t="n"/>
      <c r="Y1281" s="82" t="n"/>
      <c r="Z1281" s="82" t="n"/>
    </row>
    <row r="1282" ht="15.75" customHeight="1" s="83">
      <c r="A1282" s="82" t="n"/>
      <c r="B1282" s="44" t="n"/>
      <c r="C1282" s="82" t="n"/>
      <c r="D1282" s="82" t="n"/>
      <c r="E1282" s="81" t="n"/>
      <c r="F1282" s="82" t="n"/>
      <c r="G1282" s="82" t="n"/>
      <c r="H1282" s="82" t="n"/>
      <c r="I1282" s="82" t="n"/>
      <c r="J1282" s="82" t="n"/>
      <c r="K1282" s="82" t="n"/>
      <c r="L1282" s="82" t="n"/>
      <c r="M1282" s="82" t="n"/>
      <c r="N1282" s="82" t="n"/>
      <c r="O1282" s="82" t="n"/>
      <c r="P1282" s="82" t="n"/>
      <c r="Q1282" s="82" t="n"/>
      <c r="R1282" s="82" t="n"/>
      <c r="S1282" s="82" t="n"/>
      <c r="T1282" s="82" t="n"/>
      <c r="U1282" s="82" t="n"/>
      <c r="V1282" s="82" t="n"/>
      <c r="W1282" s="82" t="n"/>
      <c r="X1282" s="82" t="n"/>
      <c r="Y1282" s="82" t="n"/>
      <c r="Z1282" s="82" t="n"/>
    </row>
    <row r="1283" ht="15.75" customHeight="1" s="83">
      <c r="A1283" s="82" t="n"/>
      <c r="B1283" s="44" t="n"/>
      <c r="C1283" s="82" t="n"/>
      <c r="D1283" s="82" t="n"/>
      <c r="E1283" s="81" t="n"/>
      <c r="F1283" s="82" t="n"/>
      <c r="G1283" s="82" t="n"/>
      <c r="H1283" s="82" t="n"/>
      <c r="I1283" s="82" t="n"/>
      <c r="J1283" s="82" t="n"/>
      <c r="K1283" s="82" t="n"/>
      <c r="L1283" s="82" t="n"/>
      <c r="M1283" s="82" t="n"/>
      <c r="N1283" s="82" t="n"/>
      <c r="O1283" s="82" t="n"/>
      <c r="P1283" s="82" t="n"/>
      <c r="Q1283" s="82" t="n"/>
      <c r="R1283" s="82" t="n"/>
      <c r="S1283" s="82" t="n"/>
      <c r="T1283" s="82" t="n"/>
      <c r="U1283" s="82" t="n"/>
      <c r="V1283" s="82" t="n"/>
      <c r="W1283" s="82" t="n"/>
      <c r="X1283" s="82" t="n"/>
      <c r="Y1283" s="82" t="n"/>
      <c r="Z1283" s="82" t="n"/>
    </row>
    <row r="1284" ht="15.75" customHeight="1" s="83">
      <c r="A1284" s="82" t="n"/>
      <c r="B1284" s="44" t="n"/>
      <c r="C1284" s="82" t="n"/>
      <c r="D1284" s="82" t="n"/>
      <c r="E1284" s="81" t="n"/>
      <c r="F1284" s="82" t="n"/>
      <c r="G1284" s="82" t="n"/>
      <c r="H1284" s="82" t="n"/>
      <c r="I1284" s="82" t="n"/>
      <c r="J1284" s="82" t="n"/>
      <c r="K1284" s="82" t="n"/>
      <c r="L1284" s="82" t="n"/>
      <c r="M1284" s="82" t="n"/>
      <c r="N1284" s="82" t="n"/>
      <c r="O1284" s="82" t="n"/>
      <c r="P1284" s="82" t="n"/>
      <c r="Q1284" s="82" t="n"/>
      <c r="R1284" s="82" t="n"/>
      <c r="S1284" s="82" t="n"/>
      <c r="T1284" s="82" t="n"/>
      <c r="U1284" s="82" t="n"/>
      <c r="V1284" s="82" t="n"/>
      <c r="W1284" s="82" t="n"/>
      <c r="X1284" s="82" t="n"/>
      <c r="Y1284" s="82" t="n"/>
      <c r="Z1284" s="82" t="n"/>
    </row>
    <row r="1285" ht="15.75" customHeight="1" s="83">
      <c r="A1285" s="82" t="n"/>
      <c r="B1285" s="44" t="n"/>
      <c r="C1285" s="82" t="n"/>
      <c r="D1285" s="82" t="n"/>
      <c r="E1285" s="81" t="n"/>
      <c r="F1285" s="82" t="n"/>
      <c r="G1285" s="82" t="n"/>
      <c r="H1285" s="82" t="n"/>
      <c r="I1285" s="82" t="n"/>
      <c r="J1285" s="82" t="n"/>
      <c r="K1285" s="82" t="n"/>
      <c r="L1285" s="82" t="n"/>
      <c r="M1285" s="82" t="n"/>
      <c r="N1285" s="82" t="n"/>
      <c r="O1285" s="82" t="n"/>
      <c r="P1285" s="82" t="n"/>
      <c r="Q1285" s="82" t="n"/>
      <c r="R1285" s="82" t="n"/>
      <c r="S1285" s="82" t="n"/>
      <c r="T1285" s="82" t="n"/>
      <c r="U1285" s="82" t="n"/>
      <c r="V1285" s="82" t="n"/>
      <c r="W1285" s="82" t="n"/>
      <c r="X1285" s="82" t="n"/>
      <c r="Y1285" s="82" t="n"/>
      <c r="Z1285" s="82" t="n"/>
    </row>
    <row r="1286" ht="15.75" customHeight="1" s="83">
      <c r="A1286" s="82" t="n"/>
      <c r="B1286" s="44" t="n"/>
      <c r="C1286" s="82" t="n"/>
      <c r="D1286" s="82" t="n"/>
      <c r="E1286" s="81" t="n"/>
      <c r="F1286" s="82" t="n"/>
      <c r="G1286" s="82" t="n"/>
      <c r="H1286" s="82" t="n"/>
      <c r="I1286" s="82" t="n"/>
      <c r="J1286" s="82" t="n"/>
      <c r="K1286" s="82" t="n"/>
      <c r="L1286" s="82" t="n"/>
      <c r="M1286" s="82" t="n"/>
      <c r="N1286" s="82" t="n"/>
      <c r="O1286" s="82" t="n"/>
      <c r="P1286" s="82" t="n"/>
      <c r="Q1286" s="82" t="n"/>
      <c r="R1286" s="82" t="n"/>
      <c r="S1286" s="82" t="n"/>
      <c r="T1286" s="82" t="n"/>
      <c r="U1286" s="82" t="n"/>
      <c r="V1286" s="82" t="n"/>
      <c r="W1286" s="82" t="n"/>
      <c r="X1286" s="82" t="n"/>
      <c r="Y1286" s="82" t="n"/>
      <c r="Z1286" s="82" t="n"/>
    </row>
    <row r="1287" ht="15.75" customHeight="1" s="83">
      <c r="A1287" s="82" t="n"/>
      <c r="B1287" s="44" t="n"/>
      <c r="C1287" s="82" t="n"/>
      <c r="D1287" s="82" t="n"/>
      <c r="E1287" s="81" t="n"/>
      <c r="F1287" s="82" t="n"/>
      <c r="G1287" s="82" t="n"/>
      <c r="H1287" s="82" t="n"/>
      <c r="I1287" s="82" t="n"/>
      <c r="J1287" s="82" t="n"/>
      <c r="K1287" s="82" t="n"/>
      <c r="L1287" s="82" t="n"/>
      <c r="M1287" s="82" t="n"/>
      <c r="N1287" s="82" t="n"/>
      <c r="O1287" s="82" t="n"/>
      <c r="P1287" s="82" t="n"/>
      <c r="Q1287" s="82" t="n"/>
      <c r="R1287" s="82" t="n"/>
      <c r="S1287" s="82" t="n"/>
      <c r="T1287" s="82" t="n"/>
      <c r="U1287" s="82" t="n"/>
      <c r="V1287" s="82" t="n"/>
      <c r="W1287" s="82" t="n"/>
      <c r="X1287" s="82" t="n"/>
      <c r="Y1287" s="82" t="n"/>
      <c r="Z1287" s="82" t="n"/>
    </row>
    <row r="1288" ht="15.75" customHeight="1" s="83">
      <c r="A1288" s="82" t="n"/>
      <c r="B1288" s="44" t="n"/>
      <c r="C1288" s="82" t="n"/>
      <c r="D1288" s="82" t="n"/>
      <c r="E1288" s="81" t="n"/>
      <c r="F1288" s="82" t="n"/>
      <c r="G1288" s="82" t="n"/>
      <c r="H1288" s="82" t="n"/>
      <c r="I1288" s="82" t="n"/>
      <c r="J1288" s="82" t="n"/>
      <c r="K1288" s="82" t="n"/>
      <c r="L1288" s="82" t="n"/>
      <c r="M1288" s="82" t="n"/>
      <c r="N1288" s="82" t="n"/>
      <c r="O1288" s="82" t="n"/>
      <c r="P1288" s="82" t="n"/>
      <c r="Q1288" s="82" t="n"/>
      <c r="R1288" s="82" t="n"/>
      <c r="S1288" s="82" t="n"/>
      <c r="T1288" s="82" t="n"/>
      <c r="U1288" s="82" t="n"/>
      <c r="V1288" s="82" t="n"/>
      <c r="W1288" s="82" t="n"/>
      <c r="X1288" s="82" t="n"/>
      <c r="Y1288" s="82" t="n"/>
      <c r="Z1288" s="82" t="n"/>
    </row>
    <row r="1289" ht="15.75" customHeight="1" s="83">
      <c r="A1289" s="82" t="n"/>
      <c r="B1289" s="44" t="n"/>
      <c r="C1289" s="82" t="n"/>
      <c r="D1289" s="82" t="n"/>
      <c r="E1289" s="81" t="n"/>
      <c r="F1289" s="82" t="n"/>
      <c r="G1289" s="82" t="n"/>
      <c r="H1289" s="82" t="n"/>
      <c r="I1289" s="82" t="n"/>
      <c r="J1289" s="82" t="n"/>
      <c r="K1289" s="82" t="n"/>
      <c r="L1289" s="82" t="n"/>
      <c r="M1289" s="82" t="n"/>
      <c r="N1289" s="82" t="n"/>
      <c r="O1289" s="82" t="n"/>
      <c r="P1289" s="82" t="n"/>
      <c r="Q1289" s="82" t="n"/>
      <c r="R1289" s="82" t="n"/>
      <c r="S1289" s="82" t="n"/>
      <c r="T1289" s="82" t="n"/>
      <c r="U1289" s="82" t="n"/>
      <c r="V1289" s="82" t="n"/>
      <c r="W1289" s="82" t="n"/>
      <c r="X1289" s="82" t="n"/>
      <c r="Y1289" s="82" t="n"/>
      <c r="Z1289" s="82" t="n"/>
    </row>
    <row r="1290" ht="15.75" customHeight="1" s="83">
      <c r="A1290" s="82" t="n"/>
      <c r="B1290" s="44" t="n"/>
      <c r="C1290" s="82" t="n"/>
      <c r="D1290" s="82" t="n"/>
      <c r="E1290" s="81" t="n"/>
      <c r="F1290" s="82" t="n"/>
      <c r="G1290" s="82" t="n"/>
      <c r="H1290" s="82" t="n"/>
      <c r="I1290" s="82" t="n"/>
      <c r="J1290" s="82" t="n"/>
      <c r="K1290" s="82" t="n"/>
      <c r="L1290" s="82" t="n"/>
      <c r="M1290" s="82" t="n"/>
      <c r="N1290" s="82" t="n"/>
      <c r="O1290" s="82" t="n"/>
      <c r="P1290" s="82" t="n"/>
      <c r="Q1290" s="82" t="n"/>
      <c r="R1290" s="82" t="n"/>
      <c r="S1290" s="82" t="n"/>
      <c r="T1290" s="82" t="n"/>
      <c r="U1290" s="82" t="n"/>
      <c r="V1290" s="82" t="n"/>
      <c r="W1290" s="82" t="n"/>
      <c r="X1290" s="82" t="n"/>
      <c r="Y1290" s="82" t="n"/>
      <c r="Z1290" s="82" t="n"/>
    </row>
    <row r="1291" ht="15.75" customHeight="1" s="83">
      <c r="A1291" s="82" t="n"/>
      <c r="B1291" s="44" t="n"/>
      <c r="C1291" s="82" t="n"/>
      <c r="D1291" s="82" t="n"/>
      <c r="E1291" s="81" t="n"/>
      <c r="F1291" s="82" t="n"/>
      <c r="G1291" s="82" t="n"/>
      <c r="H1291" s="82" t="n"/>
      <c r="I1291" s="82" t="n"/>
      <c r="J1291" s="82" t="n"/>
      <c r="K1291" s="82" t="n"/>
      <c r="L1291" s="82" t="n"/>
      <c r="M1291" s="82" t="n"/>
      <c r="N1291" s="82" t="n"/>
      <c r="O1291" s="82" t="n"/>
      <c r="P1291" s="82" t="n"/>
      <c r="Q1291" s="82" t="n"/>
      <c r="R1291" s="82" t="n"/>
      <c r="S1291" s="82" t="n"/>
      <c r="T1291" s="82" t="n"/>
      <c r="U1291" s="82" t="n"/>
      <c r="V1291" s="82" t="n"/>
      <c r="W1291" s="82" t="n"/>
      <c r="X1291" s="82" t="n"/>
      <c r="Y1291" s="82" t="n"/>
      <c r="Z1291" s="82" t="n"/>
    </row>
    <row r="1292" ht="15.75" customHeight="1" s="83">
      <c r="A1292" s="82" t="n"/>
      <c r="B1292" s="44" t="n"/>
      <c r="C1292" s="82" t="n"/>
      <c r="D1292" s="82" t="n"/>
      <c r="E1292" s="81" t="n"/>
      <c r="F1292" s="82" t="n"/>
      <c r="G1292" s="82" t="n"/>
      <c r="H1292" s="82" t="n"/>
      <c r="I1292" s="82" t="n"/>
      <c r="J1292" s="82" t="n"/>
      <c r="K1292" s="82" t="n"/>
      <c r="L1292" s="82" t="n"/>
      <c r="M1292" s="82" t="n"/>
      <c r="N1292" s="82" t="n"/>
      <c r="O1292" s="82" t="n"/>
      <c r="P1292" s="82" t="n"/>
      <c r="Q1292" s="82" t="n"/>
      <c r="R1292" s="82" t="n"/>
      <c r="S1292" s="82" t="n"/>
      <c r="T1292" s="82" t="n"/>
      <c r="U1292" s="82" t="n"/>
      <c r="V1292" s="82" t="n"/>
      <c r="W1292" s="82" t="n"/>
      <c r="X1292" s="82" t="n"/>
      <c r="Y1292" s="82" t="n"/>
      <c r="Z1292" s="82" t="n"/>
    </row>
    <row r="1293" ht="15.75" customHeight="1" s="83">
      <c r="A1293" s="82" t="n"/>
      <c r="B1293" s="44" t="n"/>
      <c r="C1293" s="82" t="n"/>
      <c r="D1293" s="82" t="n"/>
      <c r="E1293" s="81" t="n"/>
      <c r="F1293" s="82" t="n"/>
      <c r="G1293" s="82" t="n"/>
      <c r="H1293" s="82" t="n"/>
      <c r="I1293" s="82" t="n"/>
      <c r="J1293" s="82" t="n"/>
      <c r="K1293" s="82" t="n"/>
      <c r="L1293" s="82" t="n"/>
      <c r="M1293" s="82" t="n"/>
      <c r="N1293" s="82" t="n"/>
      <c r="O1293" s="82" t="n"/>
      <c r="P1293" s="82" t="n"/>
      <c r="Q1293" s="82" t="n"/>
      <c r="R1293" s="82" t="n"/>
      <c r="S1293" s="82" t="n"/>
      <c r="T1293" s="82" t="n"/>
      <c r="U1293" s="82" t="n"/>
      <c r="V1293" s="82" t="n"/>
      <c r="W1293" s="82" t="n"/>
      <c r="X1293" s="82" t="n"/>
      <c r="Y1293" s="82" t="n"/>
      <c r="Z1293" s="82" t="n"/>
    </row>
    <row r="1294" ht="15.75" customHeight="1" s="83">
      <c r="A1294" s="82" t="n"/>
      <c r="B1294" s="44" t="n"/>
      <c r="C1294" s="82" t="n"/>
      <c r="D1294" s="82" t="n"/>
      <c r="E1294" s="81" t="n"/>
      <c r="F1294" s="82" t="n"/>
      <c r="G1294" s="82" t="n"/>
      <c r="H1294" s="82" t="n"/>
      <c r="I1294" s="82" t="n"/>
      <c r="J1294" s="82" t="n"/>
      <c r="K1294" s="82" t="n"/>
      <c r="L1294" s="82" t="n"/>
      <c r="M1294" s="82" t="n"/>
      <c r="N1294" s="82" t="n"/>
      <c r="O1294" s="82" t="n"/>
      <c r="P1294" s="82" t="n"/>
      <c r="Q1294" s="82" t="n"/>
      <c r="R1294" s="82" t="n"/>
      <c r="S1294" s="82" t="n"/>
      <c r="T1294" s="82" t="n"/>
      <c r="U1294" s="82" t="n"/>
      <c r="V1294" s="82" t="n"/>
      <c r="W1294" s="82" t="n"/>
      <c r="X1294" s="82" t="n"/>
      <c r="Y1294" s="82" t="n"/>
      <c r="Z1294" s="82" t="n"/>
    </row>
    <row r="1295" ht="15.75" customHeight="1" s="83">
      <c r="A1295" s="82" t="n"/>
      <c r="B1295" s="44" t="n"/>
      <c r="C1295" s="82" t="n"/>
      <c r="D1295" s="82" t="n"/>
      <c r="E1295" s="81" t="n"/>
      <c r="F1295" s="82" t="n"/>
      <c r="G1295" s="82" t="n"/>
      <c r="H1295" s="82" t="n"/>
      <c r="I1295" s="82" t="n"/>
      <c r="J1295" s="82" t="n"/>
      <c r="K1295" s="82" t="n"/>
      <c r="L1295" s="82" t="n"/>
      <c r="M1295" s="82" t="n"/>
      <c r="N1295" s="82" t="n"/>
      <c r="O1295" s="82" t="n"/>
      <c r="P1295" s="82" t="n"/>
      <c r="Q1295" s="82" t="n"/>
      <c r="R1295" s="82" t="n"/>
      <c r="S1295" s="82" t="n"/>
      <c r="T1295" s="82" t="n"/>
      <c r="U1295" s="82" t="n"/>
      <c r="V1295" s="82" t="n"/>
      <c r="W1295" s="82" t="n"/>
      <c r="X1295" s="82" t="n"/>
      <c r="Y1295" s="82" t="n"/>
      <c r="Z1295" s="82" t="n"/>
    </row>
    <row r="1296" ht="15.75" customHeight="1" s="83">
      <c r="A1296" s="82" t="n"/>
      <c r="B1296" s="44" t="n"/>
      <c r="C1296" s="82" t="n"/>
      <c r="D1296" s="82" t="n"/>
      <c r="E1296" s="81" t="n"/>
      <c r="F1296" s="82" t="n"/>
      <c r="G1296" s="82" t="n"/>
      <c r="H1296" s="82" t="n"/>
      <c r="I1296" s="82" t="n"/>
      <c r="J1296" s="82" t="n"/>
      <c r="K1296" s="82" t="n"/>
      <c r="L1296" s="82" t="n"/>
      <c r="M1296" s="82" t="n"/>
      <c r="N1296" s="82" t="n"/>
      <c r="O1296" s="82" t="n"/>
      <c r="P1296" s="82" t="n"/>
      <c r="Q1296" s="82" t="n"/>
      <c r="R1296" s="82" t="n"/>
      <c r="S1296" s="82" t="n"/>
      <c r="T1296" s="82" t="n"/>
      <c r="U1296" s="82" t="n"/>
      <c r="V1296" s="82" t="n"/>
      <c r="W1296" s="82" t="n"/>
      <c r="X1296" s="82" t="n"/>
      <c r="Y1296" s="82" t="n"/>
      <c r="Z1296" s="82" t="n"/>
    </row>
    <row r="1297" ht="15.75" customHeight="1" s="83">
      <c r="A1297" s="82" t="n"/>
      <c r="B1297" s="44" t="n"/>
      <c r="C1297" s="82" t="n"/>
      <c r="D1297" s="82" t="n"/>
      <c r="E1297" s="81" t="n"/>
      <c r="F1297" s="82" t="n"/>
      <c r="G1297" s="82" t="n"/>
      <c r="H1297" s="82" t="n"/>
      <c r="I1297" s="82" t="n"/>
      <c r="J1297" s="82" t="n"/>
      <c r="K1297" s="82" t="n"/>
      <c r="L1297" s="82" t="n"/>
      <c r="M1297" s="82" t="n"/>
      <c r="N1297" s="82" t="n"/>
      <c r="O1297" s="82" t="n"/>
      <c r="P1297" s="82" t="n"/>
      <c r="Q1297" s="82" t="n"/>
      <c r="R1297" s="82" t="n"/>
      <c r="S1297" s="82" t="n"/>
      <c r="T1297" s="82" t="n"/>
      <c r="U1297" s="82" t="n"/>
      <c r="V1297" s="82" t="n"/>
      <c r="W1297" s="82" t="n"/>
      <c r="X1297" s="82" t="n"/>
      <c r="Y1297" s="82" t="n"/>
      <c r="Z1297" s="82" t="n"/>
    </row>
    <row r="1298" ht="15.75" customHeight="1" s="83">
      <c r="A1298" s="82" t="n"/>
      <c r="B1298" s="44" t="n"/>
      <c r="C1298" s="82" t="n"/>
      <c r="D1298" s="82" t="n"/>
      <c r="E1298" s="81" t="n"/>
      <c r="F1298" s="82" t="n"/>
      <c r="G1298" s="82" t="n"/>
      <c r="H1298" s="82" t="n"/>
      <c r="I1298" s="82" t="n"/>
      <c r="J1298" s="82" t="n"/>
      <c r="K1298" s="82" t="n"/>
      <c r="L1298" s="82" t="n"/>
      <c r="M1298" s="82" t="n"/>
      <c r="N1298" s="82" t="n"/>
      <c r="O1298" s="82" t="n"/>
      <c r="P1298" s="82" t="n"/>
      <c r="Q1298" s="82" t="n"/>
      <c r="R1298" s="82" t="n"/>
      <c r="S1298" s="82" t="n"/>
      <c r="T1298" s="82" t="n"/>
      <c r="U1298" s="82" t="n"/>
      <c r="V1298" s="82" t="n"/>
      <c r="W1298" s="82" t="n"/>
      <c r="X1298" s="82" t="n"/>
      <c r="Y1298" s="82" t="n"/>
      <c r="Z1298" s="82" t="n"/>
    </row>
    <row r="1299" ht="15.75" customHeight="1" s="83">
      <c r="A1299" s="82" t="n"/>
      <c r="B1299" s="44" t="n"/>
      <c r="C1299" s="82" t="n"/>
      <c r="D1299" s="82" t="n"/>
      <c r="E1299" s="81" t="n"/>
      <c r="F1299" s="82" t="n"/>
      <c r="G1299" s="82" t="n"/>
      <c r="H1299" s="82" t="n"/>
      <c r="I1299" s="82" t="n"/>
      <c r="J1299" s="82" t="n"/>
      <c r="K1299" s="82" t="n"/>
      <c r="L1299" s="82" t="n"/>
      <c r="M1299" s="82" t="n"/>
      <c r="N1299" s="82" t="n"/>
      <c r="O1299" s="82" t="n"/>
      <c r="P1299" s="82" t="n"/>
      <c r="Q1299" s="82" t="n"/>
      <c r="R1299" s="82" t="n"/>
      <c r="S1299" s="82" t="n"/>
      <c r="T1299" s="82" t="n"/>
      <c r="U1299" s="82" t="n"/>
      <c r="V1299" s="82" t="n"/>
      <c r="W1299" s="82" t="n"/>
      <c r="X1299" s="82" t="n"/>
      <c r="Y1299" s="82" t="n"/>
      <c r="Z1299" s="82" t="n"/>
    </row>
    <row r="1300" ht="15.75" customHeight="1" s="83">
      <c r="A1300" s="82" t="n"/>
      <c r="B1300" s="44" t="n"/>
      <c r="C1300" s="82" t="n"/>
      <c r="D1300" s="82" t="n"/>
      <c r="E1300" s="81" t="n"/>
      <c r="F1300" s="82" t="n"/>
      <c r="G1300" s="82" t="n"/>
      <c r="H1300" s="82" t="n"/>
      <c r="I1300" s="82" t="n"/>
      <c r="J1300" s="82" t="n"/>
      <c r="K1300" s="82" t="n"/>
      <c r="L1300" s="82" t="n"/>
      <c r="M1300" s="82" t="n"/>
      <c r="N1300" s="82" t="n"/>
      <c r="O1300" s="82" t="n"/>
      <c r="P1300" s="82" t="n"/>
      <c r="Q1300" s="82" t="n"/>
      <c r="R1300" s="82" t="n"/>
      <c r="S1300" s="82" t="n"/>
      <c r="T1300" s="82" t="n"/>
      <c r="U1300" s="82" t="n"/>
      <c r="V1300" s="82" t="n"/>
      <c r="W1300" s="82" t="n"/>
      <c r="X1300" s="82" t="n"/>
      <c r="Y1300" s="82" t="n"/>
      <c r="Z1300" s="82" t="n"/>
    </row>
    <row r="1301" ht="15.75" customHeight="1" s="83">
      <c r="A1301" s="82" t="n"/>
      <c r="B1301" s="44" t="n"/>
      <c r="C1301" s="82" t="n"/>
      <c r="D1301" s="82" t="n"/>
      <c r="E1301" s="81" t="n"/>
      <c r="F1301" s="82" t="n"/>
      <c r="G1301" s="82" t="n"/>
      <c r="H1301" s="82" t="n"/>
      <c r="I1301" s="82" t="n"/>
      <c r="J1301" s="82" t="n"/>
      <c r="K1301" s="82" t="n"/>
      <c r="L1301" s="82" t="n"/>
      <c r="M1301" s="82" t="n"/>
      <c r="N1301" s="82" t="n"/>
      <c r="O1301" s="82" t="n"/>
      <c r="P1301" s="82" t="n"/>
      <c r="Q1301" s="82" t="n"/>
      <c r="R1301" s="82" t="n"/>
      <c r="S1301" s="82" t="n"/>
      <c r="T1301" s="82" t="n"/>
      <c r="U1301" s="82" t="n"/>
      <c r="V1301" s="82" t="n"/>
      <c r="W1301" s="82" t="n"/>
      <c r="X1301" s="82" t="n"/>
      <c r="Y1301" s="82" t="n"/>
      <c r="Z1301" s="82" t="n"/>
    </row>
    <row r="1302" ht="15.75" customHeight="1" s="83">
      <c r="A1302" s="82" t="n"/>
      <c r="B1302" s="44" t="n"/>
      <c r="C1302" s="82" t="n"/>
      <c r="D1302" s="82" t="n"/>
      <c r="E1302" s="81" t="n"/>
      <c r="F1302" s="82" t="n"/>
      <c r="G1302" s="82" t="n"/>
      <c r="H1302" s="82" t="n"/>
      <c r="I1302" s="82" t="n"/>
      <c r="J1302" s="82" t="n"/>
      <c r="K1302" s="82" t="n"/>
      <c r="L1302" s="82" t="n"/>
      <c r="M1302" s="82" t="n"/>
      <c r="N1302" s="82" t="n"/>
      <c r="O1302" s="82" t="n"/>
      <c r="P1302" s="82" t="n"/>
      <c r="Q1302" s="82" t="n"/>
      <c r="R1302" s="82" t="n"/>
      <c r="S1302" s="82" t="n"/>
      <c r="T1302" s="82" t="n"/>
      <c r="U1302" s="82" t="n"/>
      <c r="V1302" s="82" t="n"/>
      <c r="W1302" s="82" t="n"/>
      <c r="X1302" s="82" t="n"/>
      <c r="Y1302" s="82" t="n"/>
      <c r="Z1302" s="82" t="n"/>
    </row>
    <row r="1303" ht="15.75" customHeight="1" s="83">
      <c r="A1303" s="82" t="n"/>
      <c r="B1303" s="44" t="n"/>
      <c r="C1303" s="82" t="n"/>
      <c r="D1303" s="82" t="n"/>
      <c r="E1303" s="81" t="n"/>
      <c r="F1303" s="82" t="n"/>
      <c r="G1303" s="82" t="n"/>
      <c r="H1303" s="82" t="n"/>
      <c r="I1303" s="82" t="n"/>
      <c r="J1303" s="82" t="n"/>
      <c r="K1303" s="82" t="n"/>
      <c r="L1303" s="82" t="n"/>
      <c r="M1303" s="82" t="n"/>
      <c r="N1303" s="82" t="n"/>
      <c r="O1303" s="82" t="n"/>
      <c r="P1303" s="82" t="n"/>
      <c r="Q1303" s="82" t="n"/>
      <c r="R1303" s="82" t="n"/>
      <c r="S1303" s="82" t="n"/>
      <c r="T1303" s="82" t="n"/>
      <c r="U1303" s="82" t="n"/>
      <c r="V1303" s="82" t="n"/>
      <c r="W1303" s="82" t="n"/>
      <c r="X1303" s="82" t="n"/>
      <c r="Y1303" s="82" t="n"/>
      <c r="Z1303" s="82" t="n"/>
    </row>
    <row r="1304" ht="15.75" customHeight="1" s="83">
      <c r="A1304" s="82" t="n"/>
      <c r="B1304" s="44" t="n"/>
      <c r="C1304" s="82" t="n"/>
      <c r="D1304" s="82" t="n"/>
      <c r="E1304" s="81" t="n"/>
      <c r="F1304" s="82" t="n"/>
      <c r="G1304" s="82" t="n"/>
      <c r="H1304" s="82" t="n"/>
      <c r="I1304" s="82" t="n"/>
      <c r="J1304" s="82" t="n"/>
      <c r="K1304" s="82" t="n"/>
      <c r="L1304" s="82" t="n"/>
      <c r="M1304" s="82" t="n"/>
      <c r="N1304" s="82" t="n"/>
      <c r="O1304" s="82" t="n"/>
      <c r="P1304" s="82" t="n"/>
      <c r="Q1304" s="82" t="n"/>
      <c r="R1304" s="82" t="n"/>
      <c r="S1304" s="82" t="n"/>
      <c r="T1304" s="82" t="n"/>
      <c r="U1304" s="82" t="n"/>
      <c r="V1304" s="82" t="n"/>
      <c r="W1304" s="82" t="n"/>
      <c r="X1304" s="82" t="n"/>
      <c r="Y1304" s="82" t="n"/>
      <c r="Z1304" s="82" t="n"/>
    </row>
    <row r="1305" ht="15.75" customHeight="1" s="83">
      <c r="A1305" s="82" t="n"/>
      <c r="B1305" s="44" t="n"/>
      <c r="C1305" s="82" t="n"/>
      <c r="D1305" s="82" t="n"/>
      <c r="E1305" s="81" t="n"/>
      <c r="F1305" s="82" t="n"/>
      <c r="G1305" s="82" t="n"/>
      <c r="H1305" s="82" t="n"/>
      <c r="I1305" s="82" t="n"/>
      <c r="J1305" s="82" t="n"/>
      <c r="K1305" s="82" t="n"/>
      <c r="L1305" s="82" t="n"/>
      <c r="M1305" s="82" t="n"/>
      <c r="N1305" s="82" t="n"/>
      <c r="O1305" s="82" t="n"/>
      <c r="P1305" s="82" t="n"/>
      <c r="Q1305" s="82" t="n"/>
      <c r="R1305" s="82" t="n"/>
      <c r="S1305" s="82" t="n"/>
      <c r="T1305" s="82" t="n"/>
      <c r="U1305" s="82" t="n"/>
      <c r="V1305" s="82" t="n"/>
      <c r="W1305" s="82" t="n"/>
      <c r="X1305" s="82" t="n"/>
      <c r="Y1305" s="82" t="n"/>
      <c r="Z1305" s="82" t="n"/>
    </row>
    <row r="1306" ht="15.75" customHeight="1" s="83">
      <c r="A1306" s="82" t="n"/>
      <c r="B1306" s="44" t="n"/>
      <c r="C1306" s="82" t="n"/>
      <c r="D1306" s="82" t="n"/>
      <c r="E1306" s="81" t="n"/>
      <c r="F1306" s="82" t="n"/>
      <c r="G1306" s="82" t="n"/>
      <c r="H1306" s="82" t="n"/>
      <c r="I1306" s="82" t="n"/>
      <c r="J1306" s="82" t="n"/>
      <c r="K1306" s="82" t="n"/>
      <c r="L1306" s="82" t="n"/>
      <c r="M1306" s="82" t="n"/>
      <c r="N1306" s="82" t="n"/>
      <c r="O1306" s="82" t="n"/>
      <c r="P1306" s="82" t="n"/>
      <c r="Q1306" s="82" t="n"/>
      <c r="R1306" s="82" t="n"/>
      <c r="S1306" s="82" t="n"/>
      <c r="T1306" s="82" t="n"/>
      <c r="U1306" s="82" t="n"/>
      <c r="V1306" s="82" t="n"/>
      <c r="W1306" s="82" t="n"/>
      <c r="X1306" s="82" t="n"/>
      <c r="Y1306" s="82" t="n"/>
      <c r="Z1306" s="82" t="n"/>
    </row>
    <row r="1307" ht="15.75" customHeight="1" s="83">
      <c r="A1307" s="82" t="n"/>
      <c r="B1307" s="44" t="n"/>
      <c r="C1307" s="82" t="n"/>
      <c r="D1307" s="82" t="n"/>
      <c r="E1307" s="81" t="n"/>
      <c r="F1307" s="82" t="n"/>
      <c r="G1307" s="82" t="n"/>
      <c r="H1307" s="82" t="n"/>
      <c r="I1307" s="82" t="n"/>
      <c r="J1307" s="82" t="n"/>
      <c r="K1307" s="82" t="n"/>
      <c r="L1307" s="82" t="n"/>
      <c r="M1307" s="82" t="n"/>
      <c r="N1307" s="82" t="n"/>
      <c r="O1307" s="82" t="n"/>
      <c r="P1307" s="82" t="n"/>
      <c r="Q1307" s="82" t="n"/>
      <c r="R1307" s="82" t="n"/>
      <c r="S1307" s="82" t="n"/>
      <c r="T1307" s="82" t="n"/>
      <c r="U1307" s="82" t="n"/>
      <c r="V1307" s="82" t="n"/>
      <c r="W1307" s="82" t="n"/>
      <c r="X1307" s="82" t="n"/>
      <c r="Y1307" s="82" t="n"/>
      <c r="Z1307" s="82" t="n"/>
    </row>
    <row r="1308" ht="15.75" customHeight="1" s="83">
      <c r="A1308" s="82" t="n"/>
      <c r="B1308" s="44" t="n"/>
      <c r="C1308" s="82" t="n"/>
      <c r="D1308" s="82" t="n"/>
      <c r="E1308" s="81" t="n"/>
      <c r="F1308" s="82" t="n"/>
      <c r="G1308" s="82" t="n"/>
      <c r="H1308" s="82" t="n"/>
      <c r="I1308" s="82" t="n"/>
      <c r="J1308" s="82" t="n"/>
      <c r="K1308" s="82" t="n"/>
      <c r="L1308" s="82" t="n"/>
      <c r="M1308" s="82" t="n"/>
      <c r="N1308" s="82" t="n"/>
      <c r="O1308" s="82" t="n"/>
      <c r="P1308" s="82" t="n"/>
      <c r="Q1308" s="82" t="n"/>
      <c r="R1308" s="82" t="n"/>
      <c r="S1308" s="82" t="n"/>
      <c r="T1308" s="82" t="n"/>
      <c r="U1308" s="82" t="n"/>
      <c r="V1308" s="82" t="n"/>
      <c r="W1308" s="82" t="n"/>
      <c r="X1308" s="82" t="n"/>
      <c r="Y1308" s="82" t="n"/>
      <c r="Z1308" s="82" t="n"/>
    </row>
    <row r="1309" ht="15.75" customHeight="1" s="83">
      <c r="A1309" s="82" t="n"/>
      <c r="B1309" s="44" t="n"/>
      <c r="C1309" s="82" t="n"/>
      <c r="D1309" s="82" t="n"/>
      <c r="E1309" s="81" t="n"/>
      <c r="F1309" s="82" t="n"/>
      <c r="G1309" s="82" t="n"/>
      <c r="H1309" s="82" t="n"/>
      <c r="I1309" s="82" t="n"/>
      <c r="J1309" s="82" t="n"/>
      <c r="K1309" s="82" t="n"/>
      <c r="L1309" s="82" t="n"/>
      <c r="M1309" s="82" t="n"/>
      <c r="N1309" s="82" t="n"/>
      <c r="O1309" s="82" t="n"/>
      <c r="P1309" s="82" t="n"/>
      <c r="Q1309" s="82" t="n"/>
      <c r="R1309" s="82" t="n"/>
      <c r="S1309" s="82" t="n"/>
      <c r="T1309" s="82" t="n"/>
      <c r="U1309" s="82" t="n"/>
      <c r="V1309" s="82" t="n"/>
      <c r="W1309" s="82" t="n"/>
      <c r="X1309" s="82" t="n"/>
      <c r="Y1309" s="82" t="n"/>
      <c r="Z1309" s="82" t="n"/>
    </row>
    <row r="1310" ht="15.75" customHeight="1" s="83">
      <c r="A1310" s="82" t="n"/>
      <c r="B1310" s="44" t="n"/>
      <c r="C1310" s="82" t="n"/>
      <c r="D1310" s="82" t="n"/>
      <c r="E1310" s="81" t="n"/>
      <c r="F1310" s="82" t="n"/>
      <c r="G1310" s="82" t="n"/>
      <c r="H1310" s="82" t="n"/>
      <c r="I1310" s="82" t="n"/>
      <c r="J1310" s="82" t="n"/>
      <c r="K1310" s="82" t="n"/>
      <c r="L1310" s="82" t="n"/>
      <c r="M1310" s="82" t="n"/>
      <c r="N1310" s="82" t="n"/>
      <c r="O1310" s="82" t="n"/>
      <c r="P1310" s="82" t="n"/>
      <c r="Q1310" s="82" t="n"/>
      <c r="R1310" s="82" t="n"/>
      <c r="S1310" s="82" t="n"/>
      <c r="T1310" s="82" t="n"/>
      <c r="U1310" s="82" t="n"/>
      <c r="V1310" s="82" t="n"/>
      <c r="W1310" s="82" t="n"/>
      <c r="X1310" s="82" t="n"/>
      <c r="Y1310" s="82" t="n"/>
      <c r="Z1310" s="82" t="n"/>
    </row>
    <row r="1311" ht="15.75" customHeight="1" s="83">
      <c r="A1311" s="82" t="n"/>
      <c r="B1311" s="44" t="n"/>
      <c r="C1311" s="82" t="n"/>
      <c r="D1311" s="82" t="n"/>
      <c r="E1311" s="81" t="n"/>
      <c r="F1311" s="82" t="n"/>
      <c r="G1311" s="82" t="n"/>
      <c r="H1311" s="82" t="n"/>
      <c r="I1311" s="82" t="n"/>
      <c r="J1311" s="82" t="n"/>
      <c r="K1311" s="82" t="n"/>
      <c r="L1311" s="82" t="n"/>
      <c r="M1311" s="82" t="n"/>
      <c r="N1311" s="82" t="n"/>
      <c r="O1311" s="82" t="n"/>
      <c r="P1311" s="82" t="n"/>
      <c r="Q1311" s="82" t="n"/>
      <c r="R1311" s="82" t="n"/>
      <c r="S1311" s="82" t="n"/>
      <c r="T1311" s="82" t="n"/>
      <c r="U1311" s="82" t="n"/>
      <c r="V1311" s="82" t="n"/>
      <c r="W1311" s="82" t="n"/>
      <c r="X1311" s="82" t="n"/>
      <c r="Y1311" s="82" t="n"/>
      <c r="Z1311" s="82" t="n"/>
    </row>
    <row r="1312" ht="15.75" customHeight="1" s="83">
      <c r="A1312" s="82" t="n"/>
      <c r="B1312" s="44" t="n"/>
      <c r="C1312" s="82" t="n"/>
      <c r="D1312" s="82" t="n"/>
      <c r="E1312" s="81" t="n"/>
      <c r="F1312" s="82" t="n"/>
      <c r="G1312" s="82" t="n"/>
      <c r="H1312" s="82" t="n"/>
      <c r="I1312" s="82" t="n"/>
      <c r="J1312" s="82" t="n"/>
      <c r="K1312" s="82" t="n"/>
      <c r="L1312" s="82" t="n"/>
      <c r="M1312" s="82" t="n"/>
      <c r="N1312" s="82" t="n"/>
      <c r="O1312" s="82" t="n"/>
      <c r="P1312" s="82" t="n"/>
      <c r="Q1312" s="82" t="n"/>
      <c r="R1312" s="82" t="n"/>
      <c r="S1312" s="82" t="n"/>
      <c r="T1312" s="82" t="n"/>
      <c r="U1312" s="82" t="n"/>
      <c r="V1312" s="82" t="n"/>
      <c r="W1312" s="82" t="n"/>
      <c r="X1312" s="82" t="n"/>
      <c r="Y1312" s="82" t="n"/>
      <c r="Z1312" s="82" t="n"/>
    </row>
    <row r="1313" ht="15.75" customHeight="1" s="83">
      <c r="A1313" s="82" t="n"/>
      <c r="B1313" s="44" t="n"/>
      <c r="C1313" s="82" t="n"/>
      <c r="D1313" s="82" t="n"/>
      <c r="E1313" s="81" t="n"/>
      <c r="F1313" s="82" t="n"/>
      <c r="G1313" s="82" t="n"/>
      <c r="H1313" s="82" t="n"/>
      <c r="I1313" s="82" t="n"/>
      <c r="J1313" s="82" t="n"/>
      <c r="K1313" s="82" t="n"/>
      <c r="L1313" s="82" t="n"/>
      <c r="M1313" s="82" t="n"/>
      <c r="N1313" s="82" t="n"/>
      <c r="O1313" s="82" t="n"/>
      <c r="P1313" s="82" t="n"/>
      <c r="Q1313" s="82" t="n"/>
      <c r="R1313" s="82" t="n"/>
      <c r="S1313" s="82" t="n"/>
      <c r="T1313" s="82" t="n"/>
      <c r="U1313" s="82" t="n"/>
      <c r="V1313" s="82" t="n"/>
      <c r="W1313" s="82" t="n"/>
      <c r="X1313" s="82" t="n"/>
      <c r="Y1313" s="82" t="n"/>
      <c r="Z1313" s="82" t="n"/>
    </row>
    <row r="1314" ht="15.75" customHeight="1" s="83">
      <c r="A1314" s="82" t="n"/>
      <c r="B1314" s="44" t="n"/>
      <c r="C1314" s="82" t="n"/>
      <c r="D1314" s="82" t="n"/>
      <c r="E1314" s="81" t="n"/>
      <c r="F1314" s="82" t="n"/>
      <c r="G1314" s="82" t="n"/>
      <c r="H1314" s="82" t="n"/>
      <c r="I1314" s="82" t="n"/>
      <c r="J1314" s="82" t="n"/>
      <c r="K1314" s="82" t="n"/>
      <c r="L1314" s="82" t="n"/>
      <c r="M1314" s="82" t="n"/>
      <c r="N1314" s="82" t="n"/>
      <c r="O1314" s="82" t="n"/>
      <c r="P1314" s="82" t="n"/>
      <c r="Q1314" s="82" t="n"/>
      <c r="R1314" s="82" t="n"/>
      <c r="S1314" s="82" t="n"/>
      <c r="T1314" s="82" t="n"/>
      <c r="U1314" s="82" t="n"/>
      <c r="V1314" s="82" t="n"/>
      <c r="W1314" s="82" t="n"/>
      <c r="X1314" s="82" t="n"/>
      <c r="Y1314" s="82" t="n"/>
      <c r="Z1314" s="82" t="n"/>
    </row>
    <row r="1315" ht="15.75" customHeight="1" s="83">
      <c r="A1315" s="82" t="n"/>
      <c r="B1315" s="44" t="n"/>
      <c r="C1315" s="82" t="n"/>
      <c r="D1315" s="82" t="n"/>
      <c r="E1315" s="81" t="n"/>
      <c r="F1315" s="82" t="n"/>
      <c r="G1315" s="82" t="n"/>
      <c r="H1315" s="82" t="n"/>
      <c r="I1315" s="82" t="n"/>
      <c r="J1315" s="82" t="n"/>
      <c r="K1315" s="82" t="n"/>
      <c r="L1315" s="82" t="n"/>
      <c r="M1315" s="82" t="n"/>
      <c r="N1315" s="82" t="n"/>
      <c r="O1315" s="82" t="n"/>
      <c r="P1315" s="82" t="n"/>
      <c r="Q1315" s="82" t="n"/>
      <c r="R1315" s="82" t="n"/>
      <c r="S1315" s="82" t="n"/>
      <c r="T1315" s="82" t="n"/>
      <c r="U1315" s="82" t="n"/>
      <c r="V1315" s="82" t="n"/>
      <c r="W1315" s="82" t="n"/>
      <c r="X1315" s="82" t="n"/>
      <c r="Y1315" s="82" t="n"/>
      <c r="Z1315" s="82" t="n"/>
    </row>
    <row r="1316" ht="15.75" customHeight="1" s="83">
      <c r="A1316" s="82" t="n"/>
      <c r="B1316" s="44" t="n"/>
      <c r="C1316" s="82" t="n"/>
      <c r="D1316" s="82" t="n"/>
      <c r="E1316" s="81" t="n"/>
      <c r="F1316" s="82" t="n"/>
      <c r="G1316" s="82" t="n"/>
      <c r="H1316" s="82" t="n"/>
      <c r="I1316" s="82" t="n"/>
      <c r="J1316" s="82" t="n"/>
      <c r="K1316" s="82" t="n"/>
      <c r="L1316" s="82" t="n"/>
      <c r="M1316" s="82" t="n"/>
      <c r="N1316" s="82" t="n"/>
      <c r="O1316" s="82" t="n"/>
      <c r="P1316" s="82" t="n"/>
      <c r="Q1316" s="82" t="n"/>
      <c r="R1316" s="82" t="n"/>
      <c r="S1316" s="82" t="n"/>
      <c r="T1316" s="82" t="n"/>
      <c r="U1316" s="82" t="n"/>
      <c r="V1316" s="82" t="n"/>
      <c r="W1316" s="82" t="n"/>
      <c r="X1316" s="82" t="n"/>
      <c r="Y1316" s="82" t="n"/>
      <c r="Z1316" s="82" t="n"/>
    </row>
    <row r="1317" ht="15.75" customHeight="1" s="83">
      <c r="A1317" s="82" t="n"/>
      <c r="B1317" s="44" t="n"/>
      <c r="C1317" s="82" t="n"/>
      <c r="D1317" s="82" t="n"/>
      <c r="E1317" s="81" t="n"/>
      <c r="F1317" s="82" t="n"/>
      <c r="G1317" s="82" t="n"/>
      <c r="H1317" s="82" t="n"/>
      <c r="I1317" s="82" t="n"/>
      <c r="J1317" s="82" t="n"/>
      <c r="K1317" s="82" t="n"/>
      <c r="L1317" s="82" t="n"/>
      <c r="M1317" s="82" t="n"/>
      <c r="N1317" s="82" t="n"/>
      <c r="O1317" s="82" t="n"/>
      <c r="P1317" s="82" t="n"/>
      <c r="Q1317" s="82" t="n"/>
      <c r="R1317" s="82" t="n"/>
      <c r="S1317" s="82" t="n"/>
      <c r="T1317" s="82" t="n"/>
      <c r="U1317" s="82" t="n"/>
      <c r="V1317" s="82" t="n"/>
      <c r="W1317" s="82" t="n"/>
      <c r="X1317" s="82" t="n"/>
      <c r="Y1317" s="82" t="n"/>
      <c r="Z1317" s="82" t="n"/>
    </row>
    <row r="1318" ht="15.75" customHeight="1" s="83">
      <c r="A1318" s="82" t="n"/>
      <c r="B1318" s="44" t="n"/>
      <c r="C1318" s="82" t="n"/>
      <c r="D1318" s="82" t="n"/>
      <c r="E1318" s="81" t="n"/>
      <c r="F1318" s="82" t="n"/>
      <c r="G1318" s="82" t="n"/>
      <c r="H1318" s="82" t="n"/>
      <c r="I1318" s="82" t="n"/>
      <c r="J1318" s="82" t="n"/>
      <c r="K1318" s="82" t="n"/>
      <c r="L1318" s="82" t="n"/>
      <c r="M1318" s="82" t="n"/>
      <c r="N1318" s="82" t="n"/>
      <c r="O1318" s="82" t="n"/>
      <c r="P1318" s="82" t="n"/>
      <c r="Q1318" s="82" t="n"/>
      <c r="R1318" s="82" t="n"/>
      <c r="S1318" s="82" t="n"/>
      <c r="T1318" s="82" t="n"/>
      <c r="U1318" s="82" t="n"/>
      <c r="V1318" s="82" t="n"/>
      <c r="W1318" s="82" t="n"/>
      <c r="X1318" s="82" t="n"/>
      <c r="Y1318" s="82" t="n"/>
      <c r="Z1318" s="82" t="n"/>
    </row>
    <row r="1319" ht="15.75" customHeight="1" s="83">
      <c r="A1319" s="82" t="n"/>
      <c r="B1319" s="44" t="n"/>
      <c r="C1319" s="82" t="n"/>
      <c r="D1319" s="82" t="n"/>
      <c r="E1319" s="81" t="n"/>
      <c r="F1319" s="82" t="n"/>
      <c r="G1319" s="82" t="n"/>
      <c r="H1319" s="82" t="n"/>
      <c r="I1319" s="82" t="n"/>
      <c r="J1319" s="82" t="n"/>
      <c r="K1319" s="82" t="n"/>
      <c r="L1319" s="82" t="n"/>
      <c r="M1319" s="82" t="n"/>
      <c r="N1319" s="82" t="n"/>
      <c r="O1319" s="82" t="n"/>
      <c r="P1319" s="82" t="n"/>
      <c r="Q1319" s="82" t="n"/>
      <c r="R1319" s="82" t="n"/>
      <c r="S1319" s="82" t="n"/>
      <c r="T1319" s="82" t="n"/>
      <c r="U1319" s="82" t="n"/>
      <c r="V1319" s="82" t="n"/>
      <c r="W1319" s="82" t="n"/>
      <c r="X1319" s="82" t="n"/>
      <c r="Y1319" s="82" t="n"/>
      <c r="Z1319" s="82" t="n"/>
    </row>
    <row r="1320" ht="15.75" customHeight="1" s="83">
      <c r="A1320" s="82" t="n"/>
      <c r="B1320" s="44" t="n"/>
      <c r="C1320" s="82" t="n"/>
      <c r="D1320" s="82" t="n"/>
      <c r="E1320" s="81" t="n"/>
      <c r="F1320" s="82" t="n"/>
      <c r="G1320" s="82" t="n"/>
      <c r="H1320" s="82" t="n"/>
      <c r="I1320" s="82" t="n"/>
      <c r="J1320" s="82" t="n"/>
      <c r="K1320" s="82" t="n"/>
      <c r="L1320" s="82" t="n"/>
      <c r="M1320" s="82" t="n"/>
      <c r="N1320" s="82" t="n"/>
      <c r="O1320" s="82" t="n"/>
      <c r="P1320" s="82" t="n"/>
      <c r="Q1320" s="82" t="n"/>
      <c r="R1320" s="82" t="n"/>
      <c r="S1320" s="82" t="n"/>
      <c r="T1320" s="82" t="n"/>
      <c r="U1320" s="82" t="n"/>
      <c r="V1320" s="82" t="n"/>
      <c r="W1320" s="82" t="n"/>
      <c r="X1320" s="82" t="n"/>
      <c r="Y1320" s="82" t="n"/>
      <c r="Z1320" s="82" t="n"/>
    </row>
    <row r="1321" ht="15.75" customHeight="1" s="83">
      <c r="A1321" s="82" t="n"/>
      <c r="B1321" s="44" t="n"/>
      <c r="C1321" s="82" t="n"/>
      <c r="D1321" s="82" t="n"/>
      <c r="E1321" s="81" t="n"/>
      <c r="F1321" s="82" t="n"/>
      <c r="G1321" s="82" t="n"/>
      <c r="H1321" s="82" t="n"/>
      <c r="I1321" s="82" t="n"/>
      <c r="J1321" s="82" t="n"/>
      <c r="K1321" s="82" t="n"/>
      <c r="L1321" s="82" t="n"/>
      <c r="M1321" s="82" t="n"/>
      <c r="N1321" s="82" t="n"/>
      <c r="O1321" s="82" t="n"/>
      <c r="P1321" s="82" t="n"/>
      <c r="Q1321" s="82" t="n"/>
      <c r="R1321" s="82" t="n"/>
      <c r="S1321" s="82" t="n"/>
      <c r="T1321" s="82" t="n"/>
      <c r="U1321" s="82" t="n"/>
      <c r="V1321" s="82" t="n"/>
      <c r="W1321" s="82" t="n"/>
      <c r="X1321" s="82" t="n"/>
      <c r="Y1321" s="82" t="n"/>
      <c r="Z1321" s="82" t="n"/>
    </row>
    <row r="1322" ht="15.75" customHeight="1" s="83">
      <c r="A1322" s="82" t="n"/>
      <c r="B1322" s="44" t="n"/>
      <c r="C1322" s="82" t="n"/>
      <c r="D1322" s="82" t="n"/>
      <c r="E1322" s="81" t="n"/>
      <c r="F1322" s="82" t="n"/>
      <c r="G1322" s="82" t="n"/>
      <c r="H1322" s="82" t="n"/>
      <c r="I1322" s="82" t="n"/>
      <c r="J1322" s="82" t="n"/>
      <c r="K1322" s="82" t="n"/>
      <c r="L1322" s="82" t="n"/>
      <c r="M1322" s="82" t="n"/>
      <c r="N1322" s="82" t="n"/>
      <c r="O1322" s="82" t="n"/>
      <c r="P1322" s="82" t="n"/>
      <c r="Q1322" s="82" t="n"/>
      <c r="R1322" s="82" t="n"/>
      <c r="S1322" s="82" t="n"/>
      <c r="T1322" s="82" t="n"/>
      <c r="U1322" s="82" t="n"/>
      <c r="V1322" s="82" t="n"/>
      <c r="W1322" s="82" t="n"/>
      <c r="X1322" s="82" t="n"/>
      <c r="Y1322" s="82" t="n"/>
      <c r="Z1322" s="82" t="n"/>
    </row>
    <row r="1323" ht="15.75" customHeight="1" s="83">
      <c r="A1323" s="82" t="n"/>
      <c r="B1323" s="44" t="n"/>
      <c r="C1323" s="82" t="n"/>
      <c r="D1323" s="82" t="n"/>
      <c r="E1323" s="81" t="n"/>
      <c r="F1323" s="82" t="n"/>
      <c r="G1323" s="82" t="n"/>
      <c r="H1323" s="82" t="n"/>
      <c r="I1323" s="82" t="n"/>
      <c r="J1323" s="82" t="n"/>
      <c r="K1323" s="82" t="n"/>
      <c r="L1323" s="82" t="n"/>
      <c r="M1323" s="82" t="n"/>
      <c r="N1323" s="82" t="n"/>
      <c r="O1323" s="82" t="n"/>
      <c r="P1323" s="82" t="n"/>
      <c r="Q1323" s="82" t="n"/>
      <c r="R1323" s="82" t="n"/>
      <c r="S1323" s="82" t="n"/>
      <c r="T1323" s="82" t="n"/>
      <c r="U1323" s="82" t="n"/>
      <c r="V1323" s="82" t="n"/>
      <c r="W1323" s="82" t="n"/>
      <c r="X1323" s="82" t="n"/>
      <c r="Y1323" s="82" t="n"/>
      <c r="Z1323" s="82" t="n"/>
    </row>
    <row r="1324" ht="15.75" customHeight="1" s="83">
      <c r="A1324" s="82" t="n"/>
      <c r="B1324" s="44" t="n"/>
      <c r="C1324" s="82" t="n"/>
      <c r="D1324" s="82" t="n"/>
      <c r="E1324" s="81" t="n"/>
      <c r="F1324" s="82" t="n"/>
      <c r="G1324" s="82" t="n"/>
      <c r="H1324" s="82" t="n"/>
      <c r="I1324" s="82" t="n"/>
      <c r="J1324" s="82" t="n"/>
      <c r="K1324" s="82" t="n"/>
      <c r="L1324" s="82" t="n"/>
      <c r="M1324" s="82" t="n"/>
      <c r="N1324" s="82" t="n"/>
      <c r="O1324" s="82" t="n"/>
      <c r="P1324" s="82" t="n"/>
      <c r="Q1324" s="82" t="n"/>
      <c r="R1324" s="82" t="n"/>
      <c r="S1324" s="82" t="n"/>
      <c r="T1324" s="82" t="n"/>
      <c r="U1324" s="82" t="n"/>
      <c r="V1324" s="82" t="n"/>
      <c r="W1324" s="82" t="n"/>
      <c r="X1324" s="82" t="n"/>
      <c r="Y1324" s="82" t="n"/>
      <c r="Z1324" s="82" t="n"/>
    </row>
    <row r="1325" ht="15.75" customHeight="1" s="83">
      <c r="A1325" s="82" t="n"/>
      <c r="B1325" s="44" t="n"/>
      <c r="C1325" s="82" t="n"/>
      <c r="D1325" s="82" t="n"/>
      <c r="E1325" s="81" t="n"/>
      <c r="F1325" s="82" t="n"/>
      <c r="G1325" s="82" t="n"/>
      <c r="H1325" s="82" t="n"/>
      <c r="I1325" s="82" t="n"/>
      <c r="J1325" s="82" t="n"/>
      <c r="K1325" s="82" t="n"/>
      <c r="L1325" s="82" t="n"/>
      <c r="M1325" s="82" t="n"/>
      <c r="N1325" s="82" t="n"/>
      <c r="O1325" s="82" t="n"/>
      <c r="P1325" s="82" t="n"/>
      <c r="Q1325" s="82" t="n"/>
      <c r="R1325" s="82" t="n"/>
      <c r="S1325" s="82" t="n"/>
      <c r="T1325" s="82" t="n"/>
      <c r="U1325" s="82" t="n"/>
      <c r="V1325" s="82" t="n"/>
      <c r="W1325" s="82" t="n"/>
      <c r="X1325" s="82" t="n"/>
      <c r="Y1325" s="82" t="n"/>
      <c r="Z1325" s="82" t="n"/>
    </row>
    <row r="1326" ht="15.75" customHeight="1" s="83">
      <c r="A1326" s="82" t="n"/>
      <c r="B1326" s="44" t="n"/>
      <c r="C1326" s="82" t="n"/>
      <c r="D1326" s="82" t="n"/>
      <c r="E1326" s="81" t="n"/>
      <c r="F1326" s="82" t="n"/>
      <c r="G1326" s="82" t="n"/>
      <c r="H1326" s="82" t="n"/>
      <c r="I1326" s="82" t="n"/>
      <c r="J1326" s="82" t="n"/>
      <c r="K1326" s="82" t="n"/>
      <c r="L1326" s="82" t="n"/>
      <c r="M1326" s="82" t="n"/>
      <c r="N1326" s="82" t="n"/>
      <c r="O1326" s="82" t="n"/>
      <c r="P1326" s="82" t="n"/>
      <c r="Q1326" s="82" t="n"/>
      <c r="R1326" s="82" t="n"/>
      <c r="S1326" s="82" t="n"/>
      <c r="T1326" s="82" t="n"/>
      <c r="U1326" s="82" t="n"/>
      <c r="V1326" s="82" t="n"/>
      <c r="W1326" s="82" t="n"/>
      <c r="X1326" s="82" t="n"/>
      <c r="Y1326" s="82" t="n"/>
      <c r="Z1326" s="82" t="n"/>
    </row>
    <row r="1327" ht="15.75" customHeight="1" s="83">
      <c r="A1327" s="82" t="n"/>
      <c r="B1327" s="44" t="n"/>
      <c r="C1327" s="82" t="n"/>
      <c r="D1327" s="82" t="n"/>
      <c r="E1327" s="81" t="n"/>
      <c r="F1327" s="82" t="n"/>
      <c r="G1327" s="82" t="n"/>
      <c r="H1327" s="82" t="n"/>
      <c r="I1327" s="82" t="n"/>
      <c r="J1327" s="82" t="n"/>
      <c r="K1327" s="82" t="n"/>
      <c r="L1327" s="82" t="n"/>
      <c r="M1327" s="82" t="n"/>
      <c r="N1327" s="82" t="n"/>
      <c r="O1327" s="82" t="n"/>
      <c r="P1327" s="82" t="n"/>
      <c r="Q1327" s="82" t="n"/>
      <c r="R1327" s="82" t="n"/>
      <c r="S1327" s="82" t="n"/>
      <c r="T1327" s="82" t="n"/>
      <c r="U1327" s="82" t="n"/>
      <c r="V1327" s="82" t="n"/>
      <c r="W1327" s="82" t="n"/>
      <c r="X1327" s="82" t="n"/>
      <c r="Y1327" s="82" t="n"/>
      <c r="Z1327" s="82" t="n"/>
    </row>
    <row r="1328" ht="15.75" customHeight="1" s="83">
      <c r="A1328" s="82" t="n"/>
      <c r="B1328" s="44" t="n"/>
      <c r="C1328" s="82" t="n"/>
      <c r="D1328" s="82" t="n"/>
      <c r="E1328" s="81" t="n"/>
      <c r="F1328" s="82" t="n"/>
      <c r="G1328" s="82" t="n"/>
      <c r="H1328" s="82" t="n"/>
      <c r="I1328" s="82" t="n"/>
      <c r="J1328" s="82" t="n"/>
      <c r="K1328" s="82" t="n"/>
      <c r="L1328" s="82" t="n"/>
      <c r="M1328" s="82" t="n"/>
      <c r="N1328" s="82" t="n"/>
      <c r="O1328" s="82" t="n"/>
      <c r="P1328" s="82" t="n"/>
      <c r="Q1328" s="82" t="n"/>
      <c r="R1328" s="82" t="n"/>
      <c r="S1328" s="82" t="n"/>
      <c r="T1328" s="82" t="n"/>
      <c r="U1328" s="82" t="n"/>
      <c r="V1328" s="82" t="n"/>
      <c r="W1328" s="82" t="n"/>
      <c r="X1328" s="82" t="n"/>
      <c r="Y1328" s="82" t="n"/>
      <c r="Z1328" s="82" t="n"/>
    </row>
    <row r="1329" ht="15.75" customHeight="1" s="83">
      <c r="A1329" s="82" t="n"/>
      <c r="B1329" s="44" t="n"/>
      <c r="C1329" s="82" t="n"/>
      <c r="D1329" s="82" t="n"/>
      <c r="E1329" s="81" t="n"/>
      <c r="F1329" s="82" t="n"/>
      <c r="G1329" s="82" t="n"/>
      <c r="H1329" s="82" t="n"/>
      <c r="I1329" s="82" t="n"/>
      <c r="J1329" s="82" t="n"/>
      <c r="K1329" s="82" t="n"/>
      <c r="L1329" s="82" t="n"/>
      <c r="M1329" s="82" t="n"/>
      <c r="N1329" s="82" t="n"/>
      <c r="O1329" s="82" t="n"/>
      <c r="P1329" s="82" t="n"/>
      <c r="Q1329" s="82" t="n"/>
      <c r="R1329" s="82" t="n"/>
      <c r="S1329" s="82" t="n"/>
      <c r="T1329" s="82" t="n"/>
      <c r="U1329" s="82" t="n"/>
      <c r="V1329" s="82" t="n"/>
      <c r="W1329" s="82" t="n"/>
      <c r="X1329" s="82" t="n"/>
      <c r="Y1329" s="82" t="n"/>
      <c r="Z1329" s="82" t="n"/>
    </row>
    <row r="1330" ht="15.75" customHeight="1" s="83">
      <c r="A1330" s="82" t="n"/>
      <c r="B1330" s="44" t="n"/>
      <c r="C1330" s="82" t="n"/>
      <c r="D1330" s="82" t="n"/>
      <c r="E1330" s="81" t="n"/>
      <c r="F1330" s="82" t="n"/>
      <c r="G1330" s="82" t="n"/>
      <c r="H1330" s="82" t="n"/>
      <c r="I1330" s="82" t="n"/>
      <c r="J1330" s="82" t="n"/>
      <c r="K1330" s="82" t="n"/>
      <c r="L1330" s="82" t="n"/>
      <c r="M1330" s="82" t="n"/>
      <c r="N1330" s="82" t="n"/>
      <c r="O1330" s="82" t="n"/>
      <c r="P1330" s="82" t="n"/>
      <c r="Q1330" s="82" t="n"/>
      <c r="R1330" s="82" t="n"/>
      <c r="S1330" s="82" t="n"/>
      <c r="T1330" s="82" t="n"/>
      <c r="U1330" s="82" t="n"/>
      <c r="V1330" s="82" t="n"/>
      <c r="W1330" s="82" t="n"/>
      <c r="X1330" s="82" t="n"/>
      <c r="Y1330" s="82" t="n"/>
      <c r="Z1330" s="82" t="n"/>
    </row>
    <row r="1331" ht="15.75" customHeight="1" s="83">
      <c r="A1331" s="82" t="n"/>
      <c r="B1331" s="44" t="n"/>
      <c r="C1331" s="82" t="n"/>
      <c r="D1331" s="82" t="n"/>
      <c r="E1331" s="81" t="n"/>
      <c r="F1331" s="82" t="n"/>
      <c r="G1331" s="82" t="n"/>
      <c r="H1331" s="82" t="n"/>
      <c r="I1331" s="82" t="n"/>
      <c r="J1331" s="82" t="n"/>
      <c r="K1331" s="82" t="n"/>
      <c r="L1331" s="82" t="n"/>
      <c r="M1331" s="82" t="n"/>
      <c r="N1331" s="82" t="n"/>
      <c r="O1331" s="82" t="n"/>
      <c r="P1331" s="82" t="n"/>
      <c r="Q1331" s="82" t="n"/>
      <c r="R1331" s="82" t="n"/>
      <c r="S1331" s="82" t="n"/>
      <c r="T1331" s="82" t="n"/>
      <c r="U1331" s="82" t="n"/>
      <c r="V1331" s="82" t="n"/>
      <c r="W1331" s="82" t="n"/>
      <c r="X1331" s="82" t="n"/>
      <c r="Y1331" s="82" t="n"/>
      <c r="Z1331" s="82" t="n"/>
    </row>
    <row r="1332" ht="15.75" customHeight="1" s="83">
      <c r="A1332" s="82" t="n"/>
      <c r="B1332" s="44" t="n"/>
      <c r="C1332" s="82" t="n"/>
      <c r="D1332" s="82" t="n"/>
      <c r="E1332" s="81" t="n"/>
      <c r="F1332" s="82" t="n"/>
      <c r="G1332" s="82" t="n"/>
      <c r="H1332" s="82" t="n"/>
      <c r="I1332" s="82" t="n"/>
      <c r="J1332" s="82" t="n"/>
      <c r="K1332" s="82" t="n"/>
      <c r="L1332" s="82" t="n"/>
      <c r="M1332" s="82" t="n"/>
      <c r="N1332" s="82" t="n"/>
      <c r="O1332" s="82" t="n"/>
      <c r="P1332" s="82" t="n"/>
      <c r="Q1332" s="82" t="n"/>
      <c r="R1332" s="82" t="n"/>
      <c r="S1332" s="82" t="n"/>
      <c r="T1332" s="82" t="n"/>
      <c r="U1332" s="82" t="n"/>
      <c r="V1332" s="82" t="n"/>
      <c r="W1332" s="82" t="n"/>
      <c r="X1332" s="82" t="n"/>
      <c r="Y1332" s="82" t="n"/>
      <c r="Z1332" s="82" t="n"/>
    </row>
    <row r="1333" ht="15.75" customHeight="1" s="83">
      <c r="A1333" s="82" t="n"/>
      <c r="B1333" s="44" t="n"/>
      <c r="C1333" s="82" t="n"/>
      <c r="D1333" s="82" t="n"/>
      <c r="E1333" s="81" t="n"/>
      <c r="F1333" s="82" t="n"/>
      <c r="G1333" s="82" t="n"/>
      <c r="H1333" s="82" t="n"/>
      <c r="I1333" s="82" t="n"/>
      <c r="J1333" s="82" t="n"/>
      <c r="K1333" s="82" t="n"/>
      <c r="L1333" s="82" t="n"/>
      <c r="M1333" s="82" t="n"/>
      <c r="N1333" s="82" t="n"/>
      <c r="O1333" s="82" t="n"/>
      <c r="P1333" s="82" t="n"/>
      <c r="Q1333" s="82" t="n"/>
      <c r="R1333" s="82" t="n"/>
      <c r="S1333" s="82" t="n"/>
      <c r="T1333" s="82" t="n"/>
      <c r="U1333" s="82" t="n"/>
      <c r="V1333" s="82" t="n"/>
      <c r="W1333" s="82" t="n"/>
      <c r="X1333" s="82" t="n"/>
      <c r="Y1333" s="82" t="n"/>
      <c r="Z1333" s="82" t="n"/>
    </row>
    <row r="1334" ht="15.75" customHeight="1" s="83">
      <c r="A1334" s="82" t="n"/>
      <c r="B1334" s="44" t="n"/>
      <c r="C1334" s="82" t="n"/>
      <c r="D1334" s="82" t="n"/>
      <c r="E1334" s="81" t="n"/>
      <c r="F1334" s="82" t="n"/>
      <c r="G1334" s="82" t="n"/>
      <c r="H1334" s="82" t="n"/>
      <c r="I1334" s="82" t="n"/>
      <c r="J1334" s="82" t="n"/>
      <c r="K1334" s="82" t="n"/>
      <c r="L1334" s="82" t="n"/>
      <c r="M1334" s="82" t="n"/>
      <c r="N1334" s="82" t="n"/>
      <c r="O1334" s="82" t="n"/>
      <c r="P1334" s="82" t="n"/>
      <c r="Q1334" s="82" t="n"/>
      <c r="R1334" s="82" t="n"/>
      <c r="S1334" s="82" t="n"/>
      <c r="T1334" s="82" t="n"/>
      <c r="U1334" s="82" t="n"/>
      <c r="V1334" s="82" t="n"/>
      <c r="W1334" s="82" t="n"/>
      <c r="X1334" s="82" t="n"/>
      <c r="Y1334" s="82" t="n"/>
      <c r="Z1334" s="82" t="n"/>
    </row>
    <row r="1335" ht="15.75" customHeight="1" s="83">
      <c r="A1335" s="82" t="n"/>
      <c r="B1335" s="44" t="n"/>
      <c r="C1335" s="82" t="n"/>
      <c r="D1335" s="82" t="n"/>
      <c r="E1335" s="81" t="n"/>
      <c r="F1335" s="82" t="n"/>
      <c r="G1335" s="82" t="n"/>
      <c r="H1335" s="82" t="n"/>
      <c r="I1335" s="82" t="n"/>
      <c r="J1335" s="82" t="n"/>
      <c r="K1335" s="82" t="n"/>
      <c r="L1335" s="82" t="n"/>
      <c r="M1335" s="82" t="n"/>
      <c r="N1335" s="82" t="n"/>
      <c r="O1335" s="82" t="n"/>
      <c r="P1335" s="82" t="n"/>
      <c r="Q1335" s="82" t="n"/>
      <c r="R1335" s="82" t="n"/>
      <c r="S1335" s="82" t="n"/>
      <c r="T1335" s="82" t="n"/>
      <c r="U1335" s="82" t="n"/>
      <c r="V1335" s="82" t="n"/>
      <c r="W1335" s="82" t="n"/>
      <c r="X1335" s="82" t="n"/>
      <c r="Y1335" s="82" t="n"/>
      <c r="Z1335" s="82" t="n"/>
    </row>
    <row r="1336" ht="15.75" customHeight="1" s="83">
      <c r="A1336" s="82" t="n"/>
      <c r="B1336" s="44" t="n"/>
      <c r="C1336" s="82" t="n"/>
      <c r="D1336" s="82" t="n"/>
      <c r="E1336" s="81" t="n"/>
      <c r="F1336" s="82" t="n"/>
      <c r="G1336" s="82" t="n"/>
      <c r="H1336" s="82" t="n"/>
      <c r="I1336" s="82" t="n"/>
      <c r="J1336" s="82" t="n"/>
      <c r="K1336" s="82" t="n"/>
      <c r="L1336" s="82" t="n"/>
      <c r="M1336" s="82" t="n"/>
      <c r="N1336" s="82" t="n"/>
      <c r="O1336" s="82" t="n"/>
      <c r="P1336" s="82" t="n"/>
      <c r="Q1336" s="82" t="n"/>
      <c r="R1336" s="82" t="n"/>
      <c r="S1336" s="82" t="n"/>
      <c r="T1336" s="82" t="n"/>
      <c r="U1336" s="82" t="n"/>
      <c r="V1336" s="82" t="n"/>
      <c r="W1336" s="82" t="n"/>
      <c r="X1336" s="82" t="n"/>
      <c r="Y1336" s="82" t="n"/>
      <c r="Z1336" s="82" t="n"/>
    </row>
    <row r="1337" ht="15.75" customHeight="1" s="83">
      <c r="A1337" s="82" t="n"/>
      <c r="B1337" s="44" t="n"/>
      <c r="C1337" s="82" t="n"/>
      <c r="D1337" s="82" t="n"/>
      <c r="E1337" s="81" t="n"/>
      <c r="F1337" s="82" t="n"/>
      <c r="G1337" s="82" t="n"/>
      <c r="H1337" s="82" t="n"/>
      <c r="I1337" s="82" t="n"/>
      <c r="J1337" s="82" t="n"/>
      <c r="K1337" s="82" t="n"/>
      <c r="L1337" s="82" t="n"/>
      <c r="M1337" s="82" t="n"/>
      <c r="N1337" s="82" t="n"/>
      <c r="O1337" s="82" t="n"/>
      <c r="P1337" s="82" t="n"/>
      <c r="Q1337" s="82" t="n"/>
      <c r="R1337" s="82" t="n"/>
      <c r="S1337" s="82" t="n"/>
      <c r="T1337" s="82" t="n"/>
      <c r="U1337" s="82" t="n"/>
      <c r="V1337" s="82" t="n"/>
      <c r="W1337" s="82" t="n"/>
      <c r="X1337" s="82" t="n"/>
      <c r="Y1337" s="82" t="n"/>
      <c r="Z1337" s="82" t="n"/>
    </row>
    <row r="1338" ht="15.75" customHeight="1" s="83">
      <c r="A1338" s="82" t="n"/>
      <c r="B1338" s="44" t="n"/>
      <c r="C1338" s="82" t="n"/>
      <c r="D1338" s="82" t="n"/>
      <c r="E1338" s="81" t="n"/>
      <c r="F1338" s="82" t="n"/>
      <c r="G1338" s="82" t="n"/>
      <c r="H1338" s="82" t="n"/>
      <c r="I1338" s="82" t="n"/>
      <c r="J1338" s="82" t="n"/>
      <c r="K1338" s="82" t="n"/>
      <c r="L1338" s="82" t="n"/>
      <c r="M1338" s="82" t="n"/>
      <c r="N1338" s="82" t="n"/>
      <c r="O1338" s="82" t="n"/>
      <c r="P1338" s="82" t="n"/>
      <c r="Q1338" s="82" t="n"/>
      <c r="R1338" s="82" t="n"/>
      <c r="S1338" s="82" t="n"/>
      <c r="T1338" s="82" t="n"/>
      <c r="U1338" s="82" t="n"/>
      <c r="V1338" s="82" t="n"/>
      <c r="W1338" s="82" t="n"/>
      <c r="X1338" s="82" t="n"/>
      <c r="Y1338" s="82" t="n"/>
      <c r="Z1338" s="82" t="n"/>
    </row>
    <row r="1339" ht="15.75" customHeight="1" s="83">
      <c r="A1339" s="82" t="n"/>
      <c r="B1339" s="44" t="n"/>
      <c r="C1339" s="82" t="n"/>
      <c r="D1339" s="82" t="n"/>
      <c r="E1339" s="81" t="n"/>
      <c r="F1339" s="82" t="n"/>
      <c r="G1339" s="82" t="n"/>
      <c r="H1339" s="82" t="n"/>
      <c r="I1339" s="82" t="n"/>
      <c r="J1339" s="82" t="n"/>
      <c r="K1339" s="82" t="n"/>
      <c r="L1339" s="82" t="n"/>
      <c r="M1339" s="82" t="n"/>
      <c r="N1339" s="82" t="n"/>
      <c r="O1339" s="82" t="n"/>
      <c r="P1339" s="82" t="n"/>
      <c r="Q1339" s="82" t="n"/>
      <c r="R1339" s="82" t="n"/>
      <c r="S1339" s="82" t="n"/>
      <c r="T1339" s="82" t="n"/>
      <c r="U1339" s="82" t="n"/>
      <c r="V1339" s="82" t="n"/>
      <c r="W1339" s="82" t="n"/>
      <c r="X1339" s="82" t="n"/>
      <c r="Y1339" s="82" t="n"/>
      <c r="Z1339" s="82" t="n"/>
    </row>
    <row r="1340" ht="15.75" customHeight="1" s="83">
      <c r="A1340" s="82" t="n"/>
      <c r="B1340" s="44" t="n"/>
      <c r="C1340" s="82" t="n"/>
      <c r="D1340" s="82" t="n"/>
      <c r="E1340" s="81" t="n"/>
      <c r="F1340" s="82" t="n"/>
      <c r="G1340" s="82" t="n"/>
      <c r="H1340" s="82" t="n"/>
      <c r="I1340" s="82" t="n"/>
      <c r="J1340" s="82" t="n"/>
      <c r="K1340" s="82" t="n"/>
      <c r="L1340" s="82" t="n"/>
      <c r="M1340" s="82" t="n"/>
      <c r="N1340" s="82" t="n"/>
      <c r="O1340" s="82" t="n"/>
      <c r="P1340" s="82" t="n"/>
      <c r="Q1340" s="82" t="n"/>
      <c r="R1340" s="82" t="n"/>
      <c r="S1340" s="82" t="n"/>
      <c r="T1340" s="82" t="n"/>
      <c r="U1340" s="82" t="n"/>
      <c r="V1340" s="82" t="n"/>
      <c r="W1340" s="82" t="n"/>
      <c r="X1340" s="82" t="n"/>
      <c r="Y1340" s="82" t="n"/>
      <c r="Z1340" s="82" t="n"/>
    </row>
    <row r="1341" ht="15.75" customHeight="1" s="83">
      <c r="A1341" s="82" t="n"/>
      <c r="B1341" s="44" t="n"/>
      <c r="C1341" s="82" t="n"/>
      <c r="D1341" s="82" t="n"/>
      <c r="E1341" s="81" t="n"/>
      <c r="F1341" s="82" t="n"/>
      <c r="G1341" s="82" t="n"/>
      <c r="H1341" s="82" t="n"/>
      <c r="I1341" s="82" t="n"/>
      <c r="J1341" s="82" t="n"/>
      <c r="K1341" s="82" t="n"/>
      <c r="L1341" s="82" t="n"/>
      <c r="M1341" s="82" t="n"/>
      <c r="N1341" s="82" t="n"/>
      <c r="O1341" s="82" t="n"/>
      <c r="P1341" s="82" t="n"/>
      <c r="Q1341" s="82" t="n"/>
      <c r="R1341" s="82" t="n"/>
      <c r="S1341" s="82" t="n"/>
      <c r="T1341" s="82" t="n"/>
      <c r="U1341" s="82" t="n"/>
      <c r="V1341" s="82" t="n"/>
      <c r="W1341" s="82" t="n"/>
      <c r="X1341" s="82" t="n"/>
      <c r="Y1341" s="82" t="n"/>
      <c r="Z1341" s="82" t="n"/>
    </row>
    <row r="1342" ht="15.75" customHeight="1" s="83">
      <c r="A1342" s="82" t="n"/>
      <c r="B1342" s="44" t="n"/>
      <c r="C1342" s="82" t="n"/>
      <c r="D1342" s="82" t="n"/>
      <c r="E1342" s="81" t="n"/>
      <c r="F1342" s="82" t="n"/>
      <c r="G1342" s="82" t="n"/>
      <c r="H1342" s="82" t="n"/>
      <c r="I1342" s="82" t="n"/>
      <c r="J1342" s="82" t="n"/>
      <c r="K1342" s="82" t="n"/>
      <c r="L1342" s="82" t="n"/>
      <c r="M1342" s="82" t="n"/>
      <c r="N1342" s="82" t="n"/>
      <c r="O1342" s="82" t="n"/>
      <c r="P1342" s="82" t="n"/>
      <c r="Q1342" s="82" t="n"/>
      <c r="R1342" s="82" t="n"/>
      <c r="S1342" s="82" t="n"/>
      <c r="T1342" s="82" t="n"/>
      <c r="U1342" s="82" t="n"/>
      <c r="V1342" s="82" t="n"/>
      <c r="W1342" s="82" t="n"/>
      <c r="X1342" s="82" t="n"/>
      <c r="Y1342" s="82" t="n"/>
      <c r="Z1342" s="82" t="n"/>
    </row>
    <row r="1343" ht="15.75" customHeight="1" s="83">
      <c r="A1343" s="82" t="n"/>
      <c r="B1343" s="44" t="n"/>
      <c r="C1343" s="82" t="n"/>
      <c r="D1343" s="82" t="n"/>
      <c r="E1343" s="81" t="n"/>
      <c r="F1343" s="82" t="n"/>
      <c r="G1343" s="82" t="n"/>
      <c r="H1343" s="82" t="n"/>
      <c r="I1343" s="82" t="n"/>
      <c r="J1343" s="82" t="n"/>
      <c r="K1343" s="82" t="n"/>
      <c r="L1343" s="82" t="n"/>
      <c r="M1343" s="82" t="n"/>
      <c r="N1343" s="82" t="n"/>
      <c r="O1343" s="82" t="n"/>
      <c r="P1343" s="82" t="n"/>
      <c r="Q1343" s="82" t="n"/>
      <c r="R1343" s="82" t="n"/>
      <c r="S1343" s="82" t="n"/>
      <c r="T1343" s="82" t="n"/>
      <c r="U1343" s="82" t="n"/>
      <c r="V1343" s="82" t="n"/>
      <c r="W1343" s="82" t="n"/>
      <c r="X1343" s="82" t="n"/>
      <c r="Y1343" s="82" t="n"/>
      <c r="Z1343" s="82" t="n"/>
    </row>
    <row r="1344" ht="15.75" customHeight="1" s="83">
      <c r="A1344" s="82" t="n"/>
      <c r="B1344" s="44" t="n"/>
      <c r="C1344" s="82" t="n"/>
      <c r="D1344" s="82" t="n"/>
      <c r="E1344" s="81" t="n"/>
      <c r="F1344" s="82" t="n"/>
      <c r="G1344" s="82" t="n"/>
      <c r="H1344" s="82" t="n"/>
      <c r="I1344" s="82" t="n"/>
      <c r="J1344" s="82" t="n"/>
      <c r="K1344" s="82" t="n"/>
      <c r="L1344" s="82" t="n"/>
      <c r="M1344" s="82" t="n"/>
      <c r="N1344" s="82" t="n"/>
      <c r="O1344" s="82" t="n"/>
      <c r="P1344" s="82" t="n"/>
      <c r="Q1344" s="82" t="n"/>
      <c r="R1344" s="82" t="n"/>
      <c r="S1344" s="82" t="n"/>
      <c r="T1344" s="82" t="n"/>
      <c r="U1344" s="82" t="n"/>
      <c r="V1344" s="82" t="n"/>
      <c r="W1344" s="82" t="n"/>
      <c r="X1344" s="82" t="n"/>
      <c r="Y1344" s="82" t="n"/>
      <c r="Z1344" s="82" t="n"/>
    </row>
    <row r="1345" ht="15.75" customHeight="1" s="83">
      <c r="A1345" s="82" t="n"/>
      <c r="B1345" s="44" t="n"/>
      <c r="C1345" s="82" t="n"/>
      <c r="D1345" s="82" t="n"/>
      <c r="E1345" s="81" t="n"/>
      <c r="F1345" s="82" t="n"/>
      <c r="G1345" s="82" t="n"/>
      <c r="H1345" s="82" t="n"/>
      <c r="I1345" s="82" t="n"/>
      <c r="J1345" s="82" t="n"/>
      <c r="K1345" s="82" t="n"/>
      <c r="L1345" s="82" t="n"/>
      <c r="M1345" s="82" t="n"/>
      <c r="N1345" s="82" t="n"/>
      <c r="O1345" s="82" t="n"/>
      <c r="P1345" s="82" t="n"/>
      <c r="Q1345" s="82" t="n"/>
      <c r="R1345" s="82" t="n"/>
      <c r="S1345" s="82" t="n"/>
      <c r="T1345" s="82" t="n"/>
      <c r="U1345" s="82" t="n"/>
      <c r="V1345" s="82" t="n"/>
      <c r="W1345" s="82" t="n"/>
      <c r="X1345" s="82" t="n"/>
      <c r="Y1345" s="82" t="n"/>
      <c r="Z1345" s="82" t="n"/>
    </row>
    <row r="1346" ht="15.75" customHeight="1" s="83">
      <c r="A1346" s="82" t="n"/>
      <c r="B1346" s="44" t="n"/>
      <c r="C1346" s="82" t="n"/>
      <c r="D1346" s="82" t="n"/>
      <c r="E1346" s="81" t="n"/>
      <c r="F1346" s="82" t="n"/>
      <c r="G1346" s="82" t="n"/>
      <c r="H1346" s="82" t="n"/>
      <c r="I1346" s="82" t="n"/>
      <c r="J1346" s="82" t="n"/>
      <c r="K1346" s="82" t="n"/>
      <c r="L1346" s="82" t="n"/>
      <c r="M1346" s="82" t="n"/>
      <c r="N1346" s="82" t="n"/>
      <c r="O1346" s="82" t="n"/>
      <c r="P1346" s="82" t="n"/>
      <c r="Q1346" s="82" t="n"/>
      <c r="R1346" s="82" t="n"/>
      <c r="S1346" s="82" t="n"/>
      <c r="T1346" s="82" t="n"/>
      <c r="U1346" s="82" t="n"/>
      <c r="V1346" s="82" t="n"/>
      <c r="W1346" s="82" t="n"/>
      <c r="X1346" s="82" t="n"/>
      <c r="Y1346" s="82" t="n"/>
      <c r="Z1346" s="82" t="n"/>
    </row>
    <row r="1347" ht="15.75" customHeight="1" s="83">
      <c r="A1347" s="82" t="n"/>
      <c r="B1347" s="44" t="n"/>
      <c r="C1347" s="82" t="n"/>
      <c r="D1347" s="82" t="n"/>
      <c r="E1347" s="81" t="n"/>
      <c r="F1347" s="82" t="n"/>
      <c r="G1347" s="82" t="n"/>
      <c r="H1347" s="82" t="n"/>
      <c r="I1347" s="82" t="n"/>
      <c r="J1347" s="82" t="n"/>
      <c r="K1347" s="82" t="n"/>
      <c r="L1347" s="82" t="n"/>
      <c r="M1347" s="82" t="n"/>
      <c r="N1347" s="82" t="n"/>
      <c r="O1347" s="82" t="n"/>
      <c r="P1347" s="82" t="n"/>
      <c r="Q1347" s="82" t="n"/>
      <c r="R1347" s="82" t="n"/>
      <c r="S1347" s="82" t="n"/>
      <c r="T1347" s="82" t="n"/>
      <c r="U1347" s="82" t="n"/>
      <c r="V1347" s="82" t="n"/>
      <c r="W1347" s="82" t="n"/>
      <c r="X1347" s="82" t="n"/>
      <c r="Y1347" s="82" t="n"/>
      <c r="Z1347" s="82" t="n"/>
    </row>
    <row r="1348" ht="15.75" customHeight="1" s="83">
      <c r="A1348" s="82" t="n"/>
      <c r="B1348" s="44" t="n"/>
      <c r="C1348" s="82" t="n"/>
      <c r="D1348" s="82" t="n"/>
      <c r="E1348" s="81" t="n"/>
      <c r="F1348" s="82" t="n"/>
      <c r="G1348" s="82" t="n"/>
      <c r="H1348" s="82" t="n"/>
      <c r="I1348" s="82" t="n"/>
      <c r="J1348" s="82" t="n"/>
      <c r="K1348" s="82" t="n"/>
      <c r="L1348" s="82" t="n"/>
      <c r="M1348" s="82" t="n"/>
      <c r="N1348" s="82" t="n"/>
      <c r="O1348" s="82" t="n"/>
      <c r="P1348" s="82" t="n"/>
      <c r="Q1348" s="82" t="n"/>
      <c r="R1348" s="82" t="n"/>
      <c r="S1348" s="82" t="n"/>
      <c r="T1348" s="82" t="n"/>
      <c r="U1348" s="82" t="n"/>
      <c r="V1348" s="82" t="n"/>
      <c r="W1348" s="82" t="n"/>
      <c r="X1348" s="82" t="n"/>
      <c r="Y1348" s="82" t="n"/>
      <c r="Z1348" s="82" t="n"/>
    </row>
    <row r="1349" ht="15.75" customHeight="1" s="83">
      <c r="A1349" s="82" t="n"/>
      <c r="B1349" s="44" t="n"/>
      <c r="C1349" s="82" t="n"/>
      <c r="D1349" s="82" t="n"/>
      <c r="E1349" s="81" t="n"/>
      <c r="F1349" s="82" t="n"/>
      <c r="G1349" s="82" t="n"/>
      <c r="H1349" s="82" t="n"/>
      <c r="I1349" s="82" t="n"/>
      <c r="J1349" s="82" t="n"/>
      <c r="K1349" s="82" t="n"/>
      <c r="L1349" s="82" t="n"/>
      <c r="M1349" s="82" t="n"/>
      <c r="N1349" s="82" t="n"/>
      <c r="O1349" s="82" t="n"/>
      <c r="P1349" s="82" t="n"/>
      <c r="Q1349" s="82" t="n"/>
      <c r="R1349" s="82" t="n"/>
      <c r="S1349" s="82" t="n"/>
      <c r="T1349" s="82" t="n"/>
      <c r="U1349" s="82" t="n"/>
      <c r="V1349" s="82" t="n"/>
      <c r="W1349" s="82" t="n"/>
      <c r="X1349" s="82" t="n"/>
      <c r="Y1349" s="82" t="n"/>
      <c r="Z1349" s="82" t="n"/>
    </row>
    <row r="1350" ht="15.75" customHeight="1" s="83">
      <c r="A1350" s="82" t="n"/>
      <c r="B1350" s="44" t="n"/>
      <c r="C1350" s="82" t="n"/>
      <c r="D1350" s="82" t="n"/>
      <c r="E1350" s="81" t="n"/>
      <c r="F1350" s="82" t="n"/>
      <c r="G1350" s="82" t="n"/>
      <c r="H1350" s="82" t="n"/>
      <c r="I1350" s="82" t="n"/>
      <c r="J1350" s="82" t="n"/>
      <c r="K1350" s="82" t="n"/>
      <c r="L1350" s="82" t="n"/>
      <c r="M1350" s="82" t="n"/>
      <c r="N1350" s="82" t="n"/>
      <c r="O1350" s="82" t="n"/>
      <c r="P1350" s="82" t="n"/>
      <c r="Q1350" s="82" t="n"/>
      <c r="R1350" s="82" t="n"/>
      <c r="S1350" s="82" t="n"/>
      <c r="T1350" s="82" t="n"/>
      <c r="U1350" s="82" t="n"/>
      <c r="V1350" s="82" t="n"/>
      <c r="W1350" s="82" t="n"/>
      <c r="X1350" s="82" t="n"/>
      <c r="Y1350" s="82" t="n"/>
      <c r="Z1350" s="82" t="n"/>
    </row>
    <row r="1351" ht="15.75" customHeight="1" s="83">
      <c r="A1351" s="82" t="n"/>
      <c r="B1351" s="44" t="n"/>
      <c r="C1351" s="82" t="n"/>
      <c r="D1351" s="82" t="n"/>
      <c r="E1351" s="81" t="n"/>
      <c r="F1351" s="82" t="n"/>
      <c r="G1351" s="82" t="n"/>
      <c r="H1351" s="82" t="n"/>
      <c r="I1351" s="82" t="n"/>
      <c r="J1351" s="82" t="n"/>
      <c r="K1351" s="82" t="n"/>
      <c r="L1351" s="82" t="n"/>
      <c r="M1351" s="82" t="n"/>
      <c r="N1351" s="82" t="n"/>
      <c r="O1351" s="82" t="n"/>
      <c r="P1351" s="82" t="n"/>
      <c r="Q1351" s="82" t="n"/>
      <c r="R1351" s="82" t="n"/>
      <c r="S1351" s="82" t="n"/>
      <c r="T1351" s="82" t="n"/>
      <c r="U1351" s="82" t="n"/>
      <c r="V1351" s="82" t="n"/>
      <c r="W1351" s="82" t="n"/>
      <c r="X1351" s="82" t="n"/>
      <c r="Y1351" s="82" t="n"/>
      <c r="Z1351" s="82" t="n"/>
    </row>
    <row r="1352" ht="15.75" customHeight="1" s="83">
      <c r="A1352" s="82" t="n"/>
      <c r="B1352" s="44" t="n"/>
      <c r="C1352" s="82" t="n"/>
      <c r="D1352" s="82" t="n"/>
      <c r="E1352" s="81" t="n"/>
      <c r="F1352" s="82" t="n"/>
      <c r="G1352" s="82" t="n"/>
      <c r="H1352" s="82" t="n"/>
      <c r="I1352" s="82" t="n"/>
      <c r="J1352" s="82" t="n"/>
      <c r="K1352" s="82" t="n"/>
      <c r="L1352" s="82" t="n"/>
      <c r="M1352" s="82" t="n"/>
      <c r="N1352" s="82" t="n"/>
      <c r="O1352" s="82" t="n"/>
      <c r="P1352" s="82" t="n"/>
      <c r="Q1352" s="82" t="n"/>
      <c r="R1352" s="82" t="n"/>
      <c r="S1352" s="82" t="n"/>
      <c r="T1352" s="82" t="n"/>
      <c r="U1352" s="82" t="n"/>
      <c r="V1352" s="82" t="n"/>
      <c r="W1352" s="82" t="n"/>
      <c r="X1352" s="82" t="n"/>
      <c r="Y1352" s="82" t="n"/>
      <c r="Z1352" s="82" t="n"/>
    </row>
    <row r="1353" ht="15.75" customHeight="1" s="83">
      <c r="A1353" s="82" t="n"/>
      <c r="B1353" s="44" t="n"/>
      <c r="C1353" s="82" t="n"/>
      <c r="D1353" s="82" t="n"/>
      <c r="E1353" s="81" t="n"/>
      <c r="F1353" s="82" t="n"/>
      <c r="G1353" s="82" t="n"/>
      <c r="H1353" s="82" t="n"/>
      <c r="I1353" s="82" t="n"/>
      <c r="J1353" s="82" t="n"/>
      <c r="K1353" s="82" t="n"/>
      <c r="L1353" s="82" t="n"/>
      <c r="M1353" s="82" t="n"/>
      <c r="N1353" s="82" t="n"/>
      <c r="O1353" s="82" t="n"/>
      <c r="P1353" s="82" t="n"/>
      <c r="Q1353" s="82" t="n"/>
      <c r="R1353" s="82" t="n"/>
      <c r="S1353" s="82" t="n"/>
      <c r="T1353" s="82" t="n"/>
      <c r="U1353" s="82" t="n"/>
      <c r="V1353" s="82" t="n"/>
      <c r="W1353" s="82" t="n"/>
      <c r="X1353" s="82" t="n"/>
      <c r="Y1353" s="82" t="n"/>
      <c r="Z1353" s="82" t="n"/>
    </row>
    <row r="1354" ht="15.75" customHeight="1" s="83">
      <c r="A1354" s="82" t="n"/>
      <c r="B1354" s="44" t="n"/>
      <c r="C1354" s="82" t="n"/>
      <c r="D1354" s="82" t="n"/>
      <c r="E1354" s="81" t="n"/>
      <c r="F1354" s="82" t="n"/>
      <c r="G1354" s="82" t="n"/>
      <c r="H1354" s="82" t="n"/>
      <c r="I1354" s="82" t="n"/>
      <c r="J1354" s="82" t="n"/>
      <c r="K1354" s="82" t="n"/>
      <c r="L1354" s="82" t="n"/>
      <c r="M1354" s="82" t="n"/>
      <c r="N1354" s="82" t="n"/>
      <c r="O1354" s="82" t="n"/>
      <c r="P1354" s="82" t="n"/>
      <c r="Q1354" s="82" t="n"/>
      <c r="R1354" s="82" t="n"/>
      <c r="S1354" s="82" t="n"/>
      <c r="T1354" s="82" t="n"/>
      <c r="U1354" s="82" t="n"/>
      <c r="V1354" s="82" t="n"/>
      <c r="W1354" s="82" t="n"/>
      <c r="X1354" s="82" t="n"/>
      <c r="Y1354" s="82" t="n"/>
      <c r="Z1354" s="82" t="n"/>
    </row>
    <row r="1355" ht="15.75" customHeight="1" s="83">
      <c r="A1355" s="82" t="n"/>
      <c r="B1355" s="44" t="n"/>
      <c r="C1355" s="82" t="n"/>
      <c r="D1355" s="82" t="n"/>
      <c r="E1355" s="81" t="n"/>
      <c r="F1355" s="82" t="n"/>
      <c r="G1355" s="82" t="n"/>
      <c r="H1355" s="82" t="n"/>
      <c r="I1355" s="82" t="n"/>
      <c r="J1355" s="82" t="n"/>
      <c r="K1355" s="82" t="n"/>
      <c r="L1355" s="82" t="n"/>
      <c r="M1355" s="82" t="n"/>
      <c r="N1355" s="82" t="n"/>
      <c r="O1355" s="82" t="n"/>
      <c r="P1355" s="82" t="n"/>
      <c r="Q1355" s="82" t="n"/>
      <c r="R1355" s="82" t="n"/>
      <c r="S1355" s="82" t="n"/>
      <c r="T1355" s="82" t="n"/>
      <c r="U1355" s="82" t="n"/>
      <c r="V1355" s="82" t="n"/>
      <c r="W1355" s="82" t="n"/>
      <c r="X1355" s="82" t="n"/>
      <c r="Y1355" s="82" t="n"/>
      <c r="Z1355" s="82" t="n"/>
    </row>
    <row r="1356" ht="15.75" customHeight="1" s="83">
      <c r="A1356" s="82" t="n"/>
      <c r="B1356" s="44" t="n"/>
      <c r="C1356" s="82" t="n"/>
      <c r="D1356" s="82" t="n"/>
      <c r="E1356" s="81" t="n"/>
      <c r="F1356" s="82" t="n"/>
      <c r="G1356" s="82" t="n"/>
      <c r="H1356" s="82" t="n"/>
      <c r="I1356" s="82" t="n"/>
      <c r="J1356" s="82" t="n"/>
      <c r="K1356" s="82" t="n"/>
      <c r="L1356" s="82" t="n"/>
      <c r="M1356" s="82" t="n"/>
      <c r="N1356" s="82" t="n"/>
      <c r="O1356" s="82" t="n"/>
      <c r="P1356" s="82" t="n"/>
      <c r="Q1356" s="82" t="n"/>
      <c r="R1356" s="82" t="n"/>
      <c r="S1356" s="82" t="n"/>
      <c r="T1356" s="82" t="n"/>
      <c r="U1356" s="82" t="n"/>
      <c r="V1356" s="82" t="n"/>
      <c r="W1356" s="82" t="n"/>
      <c r="X1356" s="82" t="n"/>
      <c r="Y1356" s="82" t="n"/>
      <c r="Z1356" s="82" t="n"/>
    </row>
    <row r="1357" ht="15.75" customHeight="1" s="83">
      <c r="A1357" s="82" t="n"/>
      <c r="B1357" s="44" t="n"/>
      <c r="C1357" s="82" t="n"/>
      <c r="D1357" s="82" t="n"/>
      <c r="E1357" s="81" t="n"/>
      <c r="F1357" s="82" t="n"/>
      <c r="G1357" s="82" t="n"/>
      <c r="H1357" s="82" t="n"/>
      <c r="I1357" s="82" t="n"/>
      <c r="J1357" s="82" t="n"/>
      <c r="K1357" s="82" t="n"/>
      <c r="L1357" s="82" t="n"/>
      <c r="M1357" s="82" t="n"/>
      <c r="N1357" s="82" t="n"/>
      <c r="O1357" s="82" t="n"/>
      <c r="P1357" s="82" t="n"/>
      <c r="Q1357" s="82" t="n"/>
      <c r="R1357" s="82" t="n"/>
      <c r="S1357" s="82" t="n"/>
      <c r="T1357" s="82" t="n"/>
      <c r="U1357" s="82" t="n"/>
      <c r="V1357" s="82" t="n"/>
      <c r="W1357" s="82" t="n"/>
      <c r="X1357" s="82" t="n"/>
      <c r="Y1357" s="82" t="n"/>
      <c r="Z1357" s="82" t="n"/>
    </row>
    <row r="1358" ht="15.75" customHeight="1" s="83">
      <c r="A1358" s="82" t="n"/>
      <c r="B1358" s="44" t="n"/>
      <c r="C1358" s="82" t="n"/>
      <c r="D1358" s="82" t="n"/>
      <c r="E1358" s="81" t="n"/>
      <c r="F1358" s="82" t="n"/>
      <c r="G1358" s="82" t="n"/>
      <c r="H1358" s="82" t="n"/>
      <c r="I1358" s="82" t="n"/>
      <c r="J1358" s="82" t="n"/>
      <c r="K1358" s="82" t="n"/>
      <c r="L1358" s="82" t="n"/>
      <c r="M1358" s="82" t="n"/>
      <c r="N1358" s="82" t="n"/>
      <c r="O1358" s="82" t="n"/>
      <c r="P1358" s="82" t="n"/>
      <c r="Q1358" s="82" t="n"/>
      <c r="R1358" s="82" t="n"/>
      <c r="S1358" s="82" t="n"/>
      <c r="T1358" s="82" t="n"/>
      <c r="U1358" s="82" t="n"/>
      <c r="V1358" s="82" t="n"/>
      <c r="W1358" s="82" t="n"/>
      <c r="X1358" s="82" t="n"/>
      <c r="Y1358" s="82" t="n"/>
      <c r="Z1358" s="82" t="n"/>
    </row>
    <row r="1359" ht="15.75" customHeight="1" s="83">
      <c r="A1359" s="82" t="n"/>
      <c r="B1359" s="44" t="n"/>
      <c r="C1359" s="82" t="n"/>
      <c r="D1359" s="82" t="n"/>
      <c r="E1359" s="81" t="n"/>
      <c r="F1359" s="82" t="n"/>
      <c r="G1359" s="82" t="n"/>
      <c r="H1359" s="82" t="n"/>
      <c r="I1359" s="82" t="n"/>
      <c r="J1359" s="82" t="n"/>
      <c r="K1359" s="82" t="n"/>
      <c r="L1359" s="82" t="n"/>
      <c r="M1359" s="82" t="n"/>
      <c r="N1359" s="82" t="n"/>
      <c r="O1359" s="82" t="n"/>
      <c r="P1359" s="82" t="n"/>
      <c r="Q1359" s="82" t="n"/>
      <c r="R1359" s="82" t="n"/>
      <c r="S1359" s="82" t="n"/>
      <c r="T1359" s="82" t="n"/>
      <c r="U1359" s="82" t="n"/>
      <c r="V1359" s="82" t="n"/>
      <c r="W1359" s="82" t="n"/>
      <c r="X1359" s="82" t="n"/>
      <c r="Y1359" s="82" t="n"/>
      <c r="Z1359" s="82" t="n"/>
    </row>
    <row r="1360" ht="15.75" customHeight="1" s="83">
      <c r="A1360" s="82" t="n"/>
      <c r="B1360" s="44" t="n"/>
      <c r="C1360" s="82" t="n"/>
      <c r="D1360" s="82" t="n"/>
      <c r="E1360" s="81" t="n"/>
      <c r="F1360" s="82" t="n"/>
      <c r="G1360" s="82" t="n"/>
      <c r="H1360" s="82" t="n"/>
      <c r="I1360" s="82" t="n"/>
      <c r="J1360" s="82" t="n"/>
      <c r="K1360" s="82" t="n"/>
      <c r="L1360" s="82" t="n"/>
      <c r="M1360" s="82" t="n"/>
      <c r="N1360" s="82" t="n"/>
      <c r="O1360" s="82" t="n"/>
      <c r="P1360" s="82" t="n"/>
      <c r="Q1360" s="82" t="n"/>
      <c r="R1360" s="82" t="n"/>
      <c r="S1360" s="82" t="n"/>
      <c r="T1360" s="82" t="n"/>
      <c r="U1360" s="82" t="n"/>
      <c r="V1360" s="82" t="n"/>
      <c r="W1360" s="82" t="n"/>
      <c r="X1360" s="82" t="n"/>
      <c r="Y1360" s="82" t="n"/>
      <c r="Z1360" s="82" t="n"/>
    </row>
    <row r="1361" ht="15.75" customHeight="1" s="83">
      <c r="A1361" s="82" t="n"/>
      <c r="B1361" s="44" t="n"/>
      <c r="C1361" s="82" t="n"/>
      <c r="D1361" s="82" t="n"/>
      <c r="E1361" s="81" t="n"/>
      <c r="F1361" s="82" t="n"/>
      <c r="G1361" s="82" t="n"/>
      <c r="H1361" s="82" t="n"/>
      <c r="I1361" s="82" t="n"/>
      <c r="J1361" s="82" t="n"/>
      <c r="K1361" s="82" t="n"/>
      <c r="L1361" s="82" t="n"/>
      <c r="M1361" s="82" t="n"/>
      <c r="N1361" s="82" t="n"/>
      <c r="O1361" s="82" t="n"/>
      <c r="P1361" s="82" t="n"/>
      <c r="Q1361" s="82" t="n"/>
      <c r="R1361" s="82" t="n"/>
      <c r="S1361" s="82" t="n"/>
      <c r="T1361" s="82" t="n"/>
      <c r="U1361" s="82" t="n"/>
      <c r="V1361" s="82" t="n"/>
      <c r="W1361" s="82" t="n"/>
      <c r="X1361" s="82" t="n"/>
      <c r="Y1361" s="82" t="n"/>
      <c r="Z1361" s="82" t="n"/>
    </row>
    <row r="1362" ht="15.75" customHeight="1" s="83">
      <c r="A1362" s="82" t="n"/>
      <c r="B1362" s="44" t="n"/>
      <c r="C1362" s="82" t="n"/>
      <c r="D1362" s="82" t="n"/>
      <c r="E1362" s="81" t="n"/>
      <c r="F1362" s="82" t="n"/>
      <c r="G1362" s="82" t="n"/>
      <c r="H1362" s="82" t="n"/>
      <c r="I1362" s="82" t="n"/>
      <c r="J1362" s="82" t="n"/>
      <c r="K1362" s="82" t="n"/>
      <c r="L1362" s="82" t="n"/>
      <c r="M1362" s="82" t="n"/>
      <c r="N1362" s="82" t="n"/>
      <c r="O1362" s="82" t="n"/>
      <c r="P1362" s="82" t="n"/>
      <c r="Q1362" s="82" t="n"/>
      <c r="R1362" s="82" t="n"/>
      <c r="S1362" s="82" t="n"/>
      <c r="T1362" s="82" t="n"/>
      <c r="U1362" s="82" t="n"/>
      <c r="V1362" s="82" t="n"/>
      <c r="W1362" s="82" t="n"/>
      <c r="X1362" s="82" t="n"/>
      <c r="Y1362" s="82" t="n"/>
      <c r="Z1362" s="82" t="n"/>
    </row>
    <row r="1363" ht="15.75" customHeight="1" s="83">
      <c r="A1363" s="82" t="n"/>
      <c r="B1363" s="44" t="n"/>
      <c r="C1363" s="82" t="n"/>
      <c r="D1363" s="82" t="n"/>
      <c r="E1363" s="81" t="n"/>
      <c r="F1363" s="82" t="n"/>
      <c r="G1363" s="82" t="n"/>
      <c r="H1363" s="82" t="n"/>
      <c r="I1363" s="82" t="n"/>
      <c r="J1363" s="82" t="n"/>
      <c r="K1363" s="82" t="n"/>
      <c r="L1363" s="82" t="n"/>
      <c r="M1363" s="82" t="n"/>
      <c r="N1363" s="82" t="n"/>
      <c r="O1363" s="82" t="n"/>
      <c r="P1363" s="82" t="n"/>
      <c r="Q1363" s="82" t="n"/>
      <c r="R1363" s="82" t="n"/>
      <c r="S1363" s="82" t="n"/>
      <c r="T1363" s="82" t="n"/>
      <c r="U1363" s="82" t="n"/>
      <c r="V1363" s="82" t="n"/>
      <c r="W1363" s="82" t="n"/>
      <c r="X1363" s="82" t="n"/>
      <c r="Y1363" s="82" t="n"/>
      <c r="Z1363" s="82" t="n"/>
    </row>
    <row r="1364" ht="15.75" customHeight="1" s="83">
      <c r="A1364" s="82" t="n"/>
      <c r="B1364" s="44" t="n"/>
      <c r="C1364" s="82" t="n"/>
      <c r="D1364" s="82" t="n"/>
      <c r="E1364" s="81" t="n"/>
      <c r="F1364" s="82" t="n"/>
      <c r="G1364" s="82" t="n"/>
      <c r="H1364" s="82" t="n"/>
      <c r="I1364" s="82" t="n"/>
      <c r="J1364" s="82" t="n"/>
      <c r="K1364" s="82" t="n"/>
      <c r="L1364" s="82" t="n"/>
      <c r="M1364" s="82" t="n"/>
      <c r="N1364" s="82" t="n"/>
      <c r="O1364" s="82" t="n"/>
      <c r="P1364" s="82" t="n"/>
      <c r="Q1364" s="82" t="n"/>
      <c r="R1364" s="82" t="n"/>
      <c r="S1364" s="82" t="n"/>
      <c r="T1364" s="82" t="n"/>
      <c r="U1364" s="82" t="n"/>
      <c r="V1364" s="82" t="n"/>
      <c r="W1364" s="82" t="n"/>
      <c r="X1364" s="82" t="n"/>
      <c r="Y1364" s="82" t="n"/>
      <c r="Z1364" s="82" t="n"/>
    </row>
    <row r="1365" ht="15.75" customHeight="1" s="83">
      <c r="A1365" s="82" t="n"/>
      <c r="B1365" s="44" t="n"/>
      <c r="C1365" s="82" t="n"/>
      <c r="D1365" s="82" t="n"/>
      <c r="E1365" s="81" t="n"/>
      <c r="F1365" s="82" t="n"/>
      <c r="G1365" s="82" t="n"/>
      <c r="H1365" s="82" t="n"/>
      <c r="I1365" s="82" t="n"/>
      <c r="J1365" s="82" t="n"/>
      <c r="K1365" s="82" t="n"/>
      <c r="L1365" s="82" t="n"/>
      <c r="M1365" s="82" t="n"/>
      <c r="N1365" s="82" t="n"/>
      <c r="O1365" s="82" t="n"/>
      <c r="P1365" s="82" t="n"/>
      <c r="Q1365" s="82" t="n"/>
      <c r="R1365" s="82" t="n"/>
      <c r="S1365" s="82" t="n"/>
      <c r="T1365" s="82" t="n"/>
      <c r="U1365" s="82" t="n"/>
      <c r="V1365" s="82" t="n"/>
      <c r="W1365" s="82" t="n"/>
      <c r="X1365" s="82" t="n"/>
      <c r="Y1365" s="82" t="n"/>
      <c r="Z1365" s="82" t="n"/>
    </row>
    <row r="1366" ht="15.75" customHeight="1" s="83">
      <c r="A1366" s="82" t="n"/>
      <c r="B1366" s="44" t="n"/>
      <c r="C1366" s="82" t="n"/>
      <c r="D1366" s="82" t="n"/>
      <c r="E1366" s="81" t="n"/>
      <c r="F1366" s="82" t="n"/>
      <c r="G1366" s="82" t="n"/>
      <c r="H1366" s="82" t="n"/>
      <c r="I1366" s="82" t="n"/>
      <c r="J1366" s="82" t="n"/>
      <c r="K1366" s="82" t="n"/>
      <c r="L1366" s="82" t="n"/>
      <c r="M1366" s="82" t="n"/>
      <c r="N1366" s="82" t="n"/>
      <c r="O1366" s="82" t="n"/>
      <c r="P1366" s="82" t="n"/>
      <c r="Q1366" s="82" t="n"/>
      <c r="R1366" s="82" t="n"/>
      <c r="S1366" s="82" t="n"/>
      <c r="T1366" s="82" t="n"/>
      <c r="U1366" s="82" t="n"/>
      <c r="V1366" s="82" t="n"/>
      <c r="W1366" s="82" t="n"/>
      <c r="X1366" s="82" t="n"/>
      <c r="Y1366" s="82" t="n"/>
      <c r="Z1366" s="82" t="n"/>
    </row>
    <row r="1367" ht="15.75" customHeight="1" s="83">
      <c r="A1367" s="82" t="n"/>
      <c r="B1367" s="44" t="n"/>
      <c r="C1367" s="82" t="n"/>
      <c r="D1367" s="82" t="n"/>
      <c r="E1367" s="81" t="n"/>
      <c r="F1367" s="82" t="n"/>
      <c r="G1367" s="82" t="n"/>
      <c r="H1367" s="82" t="n"/>
      <c r="I1367" s="82" t="n"/>
      <c r="J1367" s="82" t="n"/>
      <c r="K1367" s="82" t="n"/>
      <c r="L1367" s="82" t="n"/>
      <c r="M1367" s="82" t="n"/>
      <c r="N1367" s="82" t="n"/>
      <c r="O1367" s="82" t="n"/>
      <c r="P1367" s="82" t="n"/>
      <c r="Q1367" s="82" t="n"/>
      <c r="R1367" s="82" t="n"/>
      <c r="S1367" s="82" t="n"/>
      <c r="T1367" s="82" t="n"/>
      <c r="U1367" s="82" t="n"/>
      <c r="V1367" s="82" t="n"/>
      <c r="W1367" s="82" t="n"/>
      <c r="X1367" s="82" t="n"/>
      <c r="Y1367" s="82" t="n"/>
      <c r="Z1367" s="82" t="n"/>
    </row>
    <row r="1368" ht="15.75" customHeight="1" s="83">
      <c r="A1368" s="82" t="n"/>
      <c r="B1368" s="44" t="n"/>
      <c r="C1368" s="82" t="n"/>
      <c r="D1368" s="82" t="n"/>
      <c r="E1368" s="81" t="n"/>
      <c r="F1368" s="82" t="n"/>
      <c r="G1368" s="82" t="n"/>
      <c r="H1368" s="82" t="n"/>
      <c r="I1368" s="82" t="n"/>
      <c r="J1368" s="82" t="n"/>
      <c r="K1368" s="82" t="n"/>
      <c r="L1368" s="82" t="n"/>
      <c r="M1368" s="82" t="n"/>
      <c r="N1368" s="82" t="n"/>
      <c r="O1368" s="82" t="n"/>
      <c r="P1368" s="82" t="n"/>
      <c r="Q1368" s="82" t="n"/>
      <c r="R1368" s="82" t="n"/>
      <c r="S1368" s="82" t="n"/>
      <c r="T1368" s="82" t="n"/>
      <c r="U1368" s="82" t="n"/>
      <c r="V1368" s="82" t="n"/>
      <c r="W1368" s="82" t="n"/>
      <c r="X1368" s="82" t="n"/>
      <c r="Y1368" s="82" t="n"/>
      <c r="Z1368" s="82" t="n"/>
    </row>
    <row r="1369" ht="15.75" customHeight="1" s="83">
      <c r="A1369" s="82" t="n"/>
      <c r="B1369" s="44" t="n"/>
      <c r="C1369" s="82" t="n"/>
      <c r="D1369" s="82" t="n"/>
      <c r="E1369" s="81" t="n"/>
      <c r="F1369" s="82" t="n"/>
      <c r="G1369" s="82" t="n"/>
      <c r="H1369" s="82" t="n"/>
      <c r="I1369" s="82" t="n"/>
      <c r="J1369" s="82" t="n"/>
      <c r="K1369" s="82" t="n"/>
      <c r="L1369" s="82" t="n"/>
      <c r="M1369" s="82" t="n"/>
      <c r="N1369" s="82" t="n"/>
      <c r="O1369" s="82" t="n"/>
      <c r="P1369" s="82" t="n"/>
      <c r="Q1369" s="82" t="n"/>
      <c r="R1369" s="82" t="n"/>
      <c r="S1369" s="82" t="n"/>
      <c r="T1369" s="82" t="n"/>
      <c r="U1369" s="82" t="n"/>
      <c r="V1369" s="82" t="n"/>
      <c r="W1369" s="82" t="n"/>
      <c r="X1369" s="82" t="n"/>
      <c r="Y1369" s="82" t="n"/>
      <c r="Z1369" s="82" t="n"/>
    </row>
    <row r="1370" ht="15.75" customHeight="1" s="83">
      <c r="A1370" s="82" t="n"/>
      <c r="B1370" s="44" t="n"/>
      <c r="C1370" s="82" t="n"/>
      <c r="D1370" s="82" t="n"/>
      <c r="E1370" s="81" t="n"/>
      <c r="F1370" s="82" t="n"/>
      <c r="G1370" s="82" t="n"/>
      <c r="H1370" s="82" t="n"/>
      <c r="I1370" s="82" t="n"/>
      <c r="J1370" s="82" t="n"/>
      <c r="K1370" s="82" t="n"/>
      <c r="L1370" s="82" t="n"/>
      <c r="M1370" s="82" t="n"/>
      <c r="N1370" s="82" t="n"/>
      <c r="O1370" s="82" t="n"/>
      <c r="P1370" s="82" t="n"/>
      <c r="Q1370" s="82" t="n"/>
      <c r="R1370" s="82" t="n"/>
      <c r="S1370" s="82" t="n"/>
      <c r="T1370" s="82" t="n"/>
      <c r="U1370" s="82" t="n"/>
      <c r="V1370" s="82" t="n"/>
      <c r="W1370" s="82" t="n"/>
      <c r="X1370" s="82" t="n"/>
      <c r="Y1370" s="82" t="n"/>
      <c r="Z1370" s="82" t="n"/>
    </row>
    <row r="1371" ht="15.75" customHeight="1" s="83">
      <c r="A1371" s="82" t="n"/>
      <c r="B1371" s="44" t="n"/>
      <c r="C1371" s="82" t="n"/>
      <c r="D1371" s="82" t="n"/>
      <c r="E1371" s="81" t="n"/>
      <c r="F1371" s="82" t="n"/>
      <c r="G1371" s="82" t="n"/>
      <c r="H1371" s="82" t="n"/>
      <c r="I1371" s="82" t="n"/>
      <c r="J1371" s="82" t="n"/>
      <c r="K1371" s="82" t="n"/>
      <c r="L1371" s="82" t="n"/>
      <c r="M1371" s="82" t="n"/>
      <c r="N1371" s="82" t="n"/>
      <c r="O1371" s="82" t="n"/>
      <c r="P1371" s="82" t="n"/>
      <c r="Q1371" s="82" t="n"/>
      <c r="R1371" s="82" t="n"/>
      <c r="S1371" s="82" t="n"/>
      <c r="T1371" s="82" t="n"/>
      <c r="U1371" s="82" t="n"/>
      <c r="V1371" s="82" t="n"/>
      <c r="W1371" s="82" t="n"/>
      <c r="X1371" s="82" t="n"/>
      <c r="Y1371" s="82" t="n"/>
      <c r="Z1371" s="82" t="n"/>
    </row>
    <row r="1372" ht="15.75" customHeight="1" s="83">
      <c r="A1372" s="82" t="n"/>
      <c r="B1372" s="44" t="n"/>
      <c r="C1372" s="82" t="n"/>
      <c r="D1372" s="82" t="n"/>
      <c r="E1372" s="81" t="n"/>
      <c r="F1372" s="82" t="n"/>
      <c r="G1372" s="82" t="n"/>
      <c r="H1372" s="82" t="n"/>
      <c r="I1372" s="82" t="n"/>
      <c r="J1372" s="82" t="n"/>
      <c r="K1372" s="82" t="n"/>
      <c r="L1372" s="82" t="n"/>
      <c r="M1372" s="82" t="n"/>
      <c r="N1372" s="82" t="n"/>
      <c r="O1372" s="82" t="n"/>
      <c r="P1372" s="82" t="n"/>
      <c r="Q1372" s="82" t="n"/>
      <c r="R1372" s="82" t="n"/>
      <c r="S1372" s="82" t="n"/>
      <c r="T1372" s="82" t="n"/>
      <c r="U1372" s="82" t="n"/>
      <c r="V1372" s="82" t="n"/>
      <c r="W1372" s="82" t="n"/>
      <c r="X1372" s="82" t="n"/>
      <c r="Y1372" s="82" t="n"/>
      <c r="Z1372" s="82" t="n"/>
    </row>
    <row r="1373" ht="15.75" customHeight="1" s="83">
      <c r="A1373" s="82" t="n"/>
      <c r="B1373" s="44" t="n"/>
      <c r="C1373" s="82" t="n"/>
      <c r="D1373" s="82" t="n"/>
      <c r="E1373" s="81" t="n"/>
      <c r="F1373" s="82" t="n"/>
      <c r="G1373" s="82" t="n"/>
      <c r="H1373" s="82" t="n"/>
      <c r="I1373" s="82" t="n"/>
      <c r="J1373" s="82" t="n"/>
      <c r="K1373" s="82" t="n"/>
      <c r="L1373" s="82" t="n"/>
      <c r="M1373" s="82" t="n"/>
      <c r="N1373" s="82" t="n"/>
      <c r="O1373" s="82" t="n"/>
      <c r="P1373" s="82" t="n"/>
      <c r="Q1373" s="82" t="n"/>
      <c r="R1373" s="82" t="n"/>
      <c r="S1373" s="82" t="n"/>
      <c r="T1373" s="82" t="n"/>
      <c r="U1373" s="82" t="n"/>
      <c r="V1373" s="82" t="n"/>
      <c r="W1373" s="82" t="n"/>
      <c r="X1373" s="82" t="n"/>
      <c r="Y1373" s="82" t="n"/>
      <c r="Z1373" s="82" t="n"/>
    </row>
    <row r="1374" ht="15.75" customHeight="1" s="83">
      <c r="A1374" s="82" t="n"/>
      <c r="B1374" s="44" t="n"/>
      <c r="C1374" s="82" t="n"/>
      <c r="D1374" s="82" t="n"/>
      <c r="E1374" s="81" t="n"/>
      <c r="F1374" s="82" t="n"/>
      <c r="G1374" s="82" t="n"/>
      <c r="H1374" s="82" t="n"/>
      <c r="I1374" s="82" t="n"/>
      <c r="J1374" s="82" t="n"/>
      <c r="K1374" s="82" t="n"/>
      <c r="L1374" s="82" t="n"/>
      <c r="M1374" s="82" t="n"/>
      <c r="N1374" s="82" t="n"/>
      <c r="O1374" s="82" t="n"/>
      <c r="P1374" s="82" t="n"/>
      <c r="Q1374" s="82" t="n"/>
      <c r="R1374" s="82" t="n"/>
      <c r="S1374" s="82" t="n"/>
      <c r="T1374" s="82" t="n"/>
      <c r="U1374" s="82" t="n"/>
      <c r="V1374" s="82" t="n"/>
      <c r="W1374" s="82" t="n"/>
      <c r="X1374" s="82" t="n"/>
      <c r="Y1374" s="82" t="n"/>
      <c r="Z1374" s="82" t="n"/>
    </row>
    <row r="1375" ht="15.75" customHeight="1" s="83">
      <c r="A1375" s="82" t="n"/>
      <c r="B1375" s="44" t="n"/>
      <c r="C1375" s="82" t="n"/>
      <c r="D1375" s="82" t="n"/>
      <c r="E1375" s="81" t="n"/>
      <c r="F1375" s="82" t="n"/>
      <c r="G1375" s="82" t="n"/>
      <c r="H1375" s="82" t="n"/>
      <c r="I1375" s="82" t="n"/>
      <c r="J1375" s="82" t="n"/>
      <c r="K1375" s="82" t="n"/>
      <c r="L1375" s="82" t="n"/>
      <c r="M1375" s="82" t="n"/>
      <c r="N1375" s="82" t="n"/>
      <c r="O1375" s="82" t="n"/>
      <c r="P1375" s="82" t="n"/>
      <c r="Q1375" s="82" t="n"/>
      <c r="R1375" s="82" t="n"/>
      <c r="S1375" s="82" t="n"/>
      <c r="T1375" s="82" t="n"/>
      <c r="U1375" s="82" t="n"/>
      <c r="V1375" s="82" t="n"/>
      <c r="W1375" s="82" t="n"/>
      <c r="X1375" s="82" t="n"/>
      <c r="Y1375" s="82" t="n"/>
      <c r="Z1375" s="82" t="n"/>
    </row>
    <row r="1376" ht="15.75" customHeight="1" s="83">
      <c r="A1376" s="82" t="n"/>
      <c r="B1376" s="44" t="n"/>
      <c r="C1376" s="82" t="n"/>
      <c r="D1376" s="82" t="n"/>
      <c r="E1376" s="81" t="n"/>
      <c r="F1376" s="82" t="n"/>
      <c r="G1376" s="82" t="n"/>
      <c r="H1376" s="82" t="n"/>
      <c r="I1376" s="82" t="n"/>
      <c r="J1376" s="82" t="n"/>
      <c r="K1376" s="82" t="n"/>
      <c r="L1376" s="82" t="n"/>
      <c r="M1376" s="82" t="n"/>
      <c r="N1376" s="82" t="n"/>
      <c r="O1376" s="82" t="n"/>
      <c r="P1376" s="82" t="n"/>
      <c r="Q1376" s="82" t="n"/>
      <c r="R1376" s="82" t="n"/>
      <c r="S1376" s="82" t="n"/>
      <c r="T1376" s="82" t="n"/>
      <c r="U1376" s="82" t="n"/>
      <c r="V1376" s="82" t="n"/>
      <c r="W1376" s="82" t="n"/>
      <c r="X1376" s="82" t="n"/>
      <c r="Y1376" s="82" t="n"/>
      <c r="Z1376" s="82" t="n"/>
    </row>
    <row r="1377" ht="15.75" customHeight="1" s="83">
      <c r="A1377" s="82" t="n"/>
      <c r="B1377" s="44" t="n"/>
      <c r="C1377" s="82" t="n"/>
      <c r="D1377" s="82" t="n"/>
      <c r="E1377" s="81" t="n"/>
      <c r="F1377" s="82" t="n"/>
      <c r="G1377" s="82" t="n"/>
      <c r="H1377" s="82" t="n"/>
      <c r="I1377" s="82" t="n"/>
      <c r="J1377" s="82" t="n"/>
      <c r="K1377" s="82" t="n"/>
      <c r="L1377" s="82" t="n"/>
      <c r="M1377" s="82" t="n"/>
      <c r="N1377" s="82" t="n"/>
      <c r="O1377" s="82" t="n"/>
      <c r="P1377" s="82" t="n"/>
      <c r="Q1377" s="82" t="n"/>
      <c r="R1377" s="82" t="n"/>
      <c r="S1377" s="82" t="n"/>
      <c r="T1377" s="82" t="n"/>
      <c r="U1377" s="82" t="n"/>
      <c r="V1377" s="82" t="n"/>
      <c r="W1377" s="82" t="n"/>
      <c r="X1377" s="82" t="n"/>
      <c r="Y1377" s="82" t="n"/>
      <c r="Z1377" s="82" t="n"/>
    </row>
    <row r="1378" ht="15.75" customHeight="1" s="83">
      <c r="A1378" s="82" t="n"/>
      <c r="B1378" s="44" t="n"/>
      <c r="C1378" s="82" t="n"/>
      <c r="D1378" s="82" t="n"/>
      <c r="E1378" s="81" t="n"/>
      <c r="F1378" s="82" t="n"/>
      <c r="G1378" s="82" t="n"/>
      <c r="H1378" s="82" t="n"/>
      <c r="I1378" s="82" t="n"/>
      <c r="J1378" s="82" t="n"/>
      <c r="K1378" s="82" t="n"/>
      <c r="L1378" s="82" t="n"/>
      <c r="M1378" s="82" t="n"/>
      <c r="N1378" s="82" t="n"/>
      <c r="O1378" s="82" t="n"/>
      <c r="P1378" s="82" t="n"/>
      <c r="Q1378" s="82" t="n"/>
      <c r="R1378" s="82" t="n"/>
      <c r="S1378" s="82" t="n"/>
      <c r="T1378" s="82" t="n"/>
      <c r="U1378" s="82" t="n"/>
      <c r="V1378" s="82" t="n"/>
      <c r="W1378" s="82" t="n"/>
      <c r="X1378" s="82" t="n"/>
      <c r="Y1378" s="82" t="n"/>
      <c r="Z1378" s="82" t="n"/>
    </row>
    <row r="1379" ht="15.75" customHeight="1" s="83">
      <c r="A1379" s="82" t="n"/>
      <c r="B1379" s="44" t="n"/>
      <c r="C1379" s="82" t="n"/>
      <c r="D1379" s="82" t="n"/>
      <c r="E1379" s="81" t="n"/>
      <c r="F1379" s="82" t="n"/>
      <c r="G1379" s="82" t="n"/>
      <c r="H1379" s="82" t="n"/>
      <c r="I1379" s="82" t="n"/>
      <c r="J1379" s="82" t="n"/>
      <c r="K1379" s="82" t="n"/>
      <c r="L1379" s="82" t="n"/>
      <c r="M1379" s="82" t="n"/>
      <c r="N1379" s="82" t="n"/>
      <c r="O1379" s="82" t="n"/>
      <c r="P1379" s="82" t="n"/>
      <c r="Q1379" s="82" t="n"/>
      <c r="R1379" s="82" t="n"/>
      <c r="S1379" s="82" t="n"/>
      <c r="T1379" s="82" t="n"/>
      <c r="U1379" s="82" t="n"/>
      <c r="V1379" s="82" t="n"/>
      <c r="W1379" s="82" t="n"/>
      <c r="X1379" s="82" t="n"/>
      <c r="Y1379" s="82" t="n"/>
      <c r="Z1379" s="82" t="n"/>
    </row>
    <row r="1380" ht="15.75" customHeight="1" s="83">
      <c r="A1380" s="82" t="n"/>
      <c r="B1380" s="44" t="n"/>
      <c r="C1380" s="82" t="n"/>
      <c r="D1380" s="82" t="n"/>
      <c r="E1380" s="81" t="n"/>
      <c r="F1380" s="82" t="n"/>
      <c r="G1380" s="82" t="n"/>
      <c r="H1380" s="82" t="n"/>
      <c r="I1380" s="82" t="n"/>
      <c r="J1380" s="82" t="n"/>
      <c r="K1380" s="82" t="n"/>
      <c r="L1380" s="82" t="n"/>
      <c r="M1380" s="82" t="n"/>
      <c r="N1380" s="82" t="n"/>
      <c r="O1380" s="82" t="n"/>
      <c r="P1380" s="82" t="n"/>
      <c r="Q1380" s="82" t="n"/>
      <c r="R1380" s="82" t="n"/>
      <c r="S1380" s="82" t="n"/>
      <c r="T1380" s="82" t="n"/>
      <c r="U1380" s="82" t="n"/>
      <c r="V1380" s="82" t="n"/>
      <c r="W1380" s="82" t="n"/>
      <c r="X1380" s="82" t="n"/>
      <c r="Y1380" s="82" t="n"/>
      <c r="Z1380" s="82" t="n"/>
    </row>
    <row r="1381" ht="15.75" customHeight="1" s="83">
      <c r="A1381" s="82" t="n"/>
      <c r="B1381" s="44" t="n"/>
      <c r="C1381" s="82" t="n"/>
      <c r="D1381" s="82" t="n"/>
      <c r="E1381" s="81" t="n"/>
      <c r="F1381" s="82" t="n"/>
      <c r="G1381" s="82" t="n"/>
      <c r="H1381" s="82" t="n"/>
      <c r="I1381" s="82" t="n"/>
      <c r="J1381" s="82" t="n"/>
      <c r="K1381" s="82" t="n"/>
      <c r="L1381" s="82" t="n"/>
      <c r="M1381" s="82" t="n"/>
      <c r="N1381" s="82" t="n"/>
      <c r="O1381" s="82" t="n"/>
      <c r="P1381" s="82" t="n"/>
      <c r="Q1381" s="82" t="n"/>
      <c r="R1381" s="82" t="n"/>
      <c r="S1381" s="82" t="n"/>
      <c r="T1381" s="82" t="n"/>
      <c r="U1381" s="82" t="n"/>
      <c r="V1381" s="82" t="n"/>
      <c r="W1381" s="82" t="n"/>
      <c r="X1381" s="82" t="n"/>
      <c r="Y1381" s="82" t="n"/>
      <c r="Z1381" s="82" t="n"/>
    </row>
    <row r="1382" ht="15.75" customHeight="1" s="83">
      <c r="A1382" s="82" t="n"/>
      <c r="B1382" s="44" t="n"/>
      <c r="C1382" s="82" t="n"/>
      <c r="D1382" s="82" t="n"/>
      <c r="E1382" s="81" t="n"/>
      <c r="F1382" s="82" t="n"/>
      <c r="G1382" s="82" t="n"/>
      <c r="H1382" s="82" t="n"/>
      <c r="I1382" s="82" t="n"/>
      <c r="J1382" s="82" t="n"/>
      <c r="K1382" s="82" t="n"/>
      <c r="L1382" s="82" t="n"/>
      <c r="M1382" s="82" t="n"/>
      <c r="N1382" s="82" t="n"/>
      <c r="O1382" s="82" t="n"/>
      <c r="P1382" s="82" t="n"/>
      <c r="Q1382" s="82" t="n"/>
      <c r="R1382" s="82" t="n"/>
      <c r="S1382" s="82" t="n"/>
      <c r="T1382" s="82" t="n"/>
      <c r="U1382" s="82" t="n"/>
      <c r="V1382" s="82" t="n"/>
      <c r="W1382" s="82" t="n"/>
      <c r="X1382" s="82" t="n"/>
      <c r="Y1382" s="82" t="n"/>
      <c r="Z1382" s="82" t="n"/>
    </row>
    <row r="1383" ht="15.75" customHeight="1" s="83">
      <c r="A1383" s="82" t="n"/>
      <c r="B1383" s="44" t="n"/>
      <c r="C1383" s="82" t="n"/>
      <c r="D1383" s="82" t="n"/>
      <c r="E1383" s="81" t="n"/>
      <c r="F1383" s="82" t="n"/>
      <c r="G1383" s="82" t="n"/>
      <c r="H1383" s="82" t="n"/>
      <c r="I1383" s="82" t="n"/>
      <c r="J1383" s="82" t="n"/>
      <c r="K1383" s="82" t="n"/>
      <c r="L1383" s="82" t="n"/>
      <c r="M1383" s="82" t="n"/>
      <c r="N1383" s="82" t="n"/>
      <c r="O1383" s="82" t="n"/>
      <c r="P1383" s="82" t="n"/>
      <c r="Q1383" s="82" t="n"/>
      <c r="R1383" s="82" t="n"/>
      <c r="S1383" s="82" t="n"/>
      <c r="T1383" s="82" t="n"/>
      <c r="U1383" s="82" t="n"/>
      <c r="V1383" s="82" t="n"/>
      <c r="W1383" s="82" t="n"/>
      <c r="X1383" s="82" t="n"/>
      <c r="Y1383" s="82" t="n"/>
      <c r="Z1383" s="82" t="n"/>
    </row>
    <row r="1384" ht="15.75" customHeight="1" s="83">
      <c r="A1384" s="82" t="n"/>
      <c r="B1384" s="44" t="n"/>
      <c r="C1384" s="82" t="n"/>
      <c r="D1384" s="82" t="n"/>
      <c r="E1384" s="81" t="n"/>
      <c r="F1384" s="82" t="n"/>
      <c r="G1384" s="82" t="n"/>
      <c r="H1384" s="82" t="n"/>
      <c r="I1384" s="82" t="n"/>
      <c r="J1384" s="82" t="n"/>
      <c r="K1384" s="82" t="n"/>
      <c r="L1384" s="82" t="n"/>
      <c r="M1384" s="82" t="n"/>
      <c r="N1384" s="82" t="n"/>
      <c r="O1384" s="82" t="n"/>
      <c r="P1384" s="82" t="n"/>
      <c r="Q1384" s="82" t="n"/>
      <c r="R1384" s="82" t="n"/>
      <c r="S1384" s="82" t="n"/>
      <c r="T1384" s="82" t="n"/>
      <c r="U1384" s="82" t="n"/>
      <c r="V1384" s="82" t="n"/>
      <c r="W1384" s="82" t="n"/>
      <c r="X1384" s="82" t="n"/>
      <c r="Y1384" s="82" t="n"/>
      <c r="Z1384" s="82" t="n"/>
    </row>
    <row r="1385" ht="15.75" customHeight="1" s="83">
      <c r="A1385" s="82" t="n"/>
      <c r="B1385" s="44" t="n"/>
      <c r="C1385" s="82" t="n"/>
      <c r="D1385" s="82" t="n"/>
      <c r="E1385" s="81" t="n"/>
      <c r="F1385" s="82" t="n"/>
      <c r="G1385" s="82" t="n"/>
      <c r="H1385" s="82" t="n"/>
      <c r="I1385" s="82" t="n"/>
      <c r="J1385" s="82" t="n"/>
      <c r="K1385" s="82" t="n"/>
      <c r="L1385" s="82" t="n"/>
      <c r="M1385" s="82" t="n"/>
      <c r="N1385" s="82" t="n"/>
      <c r="O1385" s="82" t="n"/>
      <c r="P1385" s="82" t="n"/>
      <c r="Q1385" s="82" t="n"/>
      <c r="R1385" s="82" t="n"/>
      <c r="S1385" s="82" t="n"/>
      <c r="T1385" s="82" t="n"/>
      <c r="U1385" s="82" t="n"/>
      <c r="V1385" s="82" t="n"/>
      <c r="W1385" s="82" t="n"/>
      <c r="X1385" s="82" t="n"/>
      <c r="Y1385" s="82" t="n"/>
      <c r="Z1385" s="82" t="n"/>
    </row>
    <row r="1386" ht="15.75" customHeight="1" s="83">
      <c r="A1386" s="82" t="n"/>
      <c r="B1386" s="44" t="n"/>
      <c r="C1386" s="82" t="n"/>
      <c r="D1386" s="82" t="n"/>
      <c r="E1386" s="81" t="n"/>
      <c r="F1386" s="82" t="n"/>
      <c r="G1386" s="82" t="n"/>
      <c r="H1386" s="82" t="n"/>
      <c r="I1386" s="82" t="n"/>
      <c r="J1386" s="82" t="n"/>
      <c r="K1386" s="82" t="n"/>
      <c r="L1386" s="82" t="n"/>
      <c r="M1386" s="82" t="n"/>
      <c r="N1386" s="82" t="n"/>
      <c r="O1386" s="82" t="n"/>
      <c r="P1386" s="82" t="n"/>
      <c r="Q1386" s="82" t="n"/>
      <c r="R1386" s="82" t="n"/>
      <c r="S1386" s="82" t="n"/>
      <c r="T1386" s="82" t="n"/>
      <c r="U1386" s="82" t="n"/>
      <c r="V1386" s="82" t="n"/>
      <c r="W1386" s="82" t="n"/>
      <c r="X1386" s="82" t="n"/>
      <c r="Y1386" s="82" t="n"/>
      <c r="Z1386" s="82" t="n"/>
    </row>
    <row r="1387" ht="15.75" customHeight="1" s="83">
      <c r="A1387" s="82" t="n"/>
      <c r="B1387" s="44" t="n"/>
      <c r="C1387" s="82" t="n"/>
      <c r="D1387" s="82" t="n"/>
      <c r="E1387" s="81" t="n"/>
      <c r="F1387" s="82" t="n"/>
      <c r="G1387" s="82" t="n"/>
      <c r="H1387" s="82" t="n"/>
      <c r="I1387" s="82" t="n"/>
      <c r="J1387" s="82" t="n"/>
      <c r="K1387" s="82" t="n"/>
      <c r="L1387" s="82" t="n"/>
      <c r="M1387" s="82" t="n"/>
      <c r="N1387" s="82" t="n"/>
      <c r="O1387" s="82" t="n"/>
      <c r="P1387" s="82" t="n"/>
      <c r="Q1387" s="82" t="n"/>
      <c r="R1387" s="82" t="n"/>
      <c r="S1387" s="82" t="n"/>
      <c r="T1387" s="82" t="n"/>
      <c r="U1387" s="82" t="n"/>
      <c r="V1387" s="82" t="n"/>
      <c r="W1387" s="82" t="n"/>
      <c r="X1387" s="82" t="n"/>
      <c r="Y1387" s="82" t="n"/>
      <c r="Z1387" s="82" t="n"/>
    </row>
    <row r="1388" ht="15.75" customHeight="1" s="83">
      <c r="A1388" s="82" t="n"/>
      <c r="B1388" s="44" t="n"/>
      <c r="C1388" s="82" t="n"/>
      <c r="D1388" s="82" t="n"/>
      <c r="E1388" s="81" t="n"/>
      <c r="F1388" s="82" t="n"/>
      <c r="G1388" s="82" t="n"/>
      <c r="H1388" s="82" t="n"/>
      <c r="I1388" s="82" t="n"/>
      <c r="J1388" s="82" t="n"/>
      <c r="K1388" s="82" t="n"/>
      <c r="L1388" s="82" t="n"/>
      <c r="M1388" s="82" t="n"/>
      <c r="N1388" s="82" t="n"/>
      <c r="O1388" s="82" t="n"/>
      <c r="P1388" s="82" t="n"/>
      <c r="Q1388" s="82" t="n"/>
      <c r="R1388" s="82" t="n"/>
      <c r="S1388" s="82" t="n"/>
      <c r="T1388" s="82" t="n"/>
      <c r="U1388" s="82" t="n"/>
      <c r="V1388" s="82" t="n"/>
      <c r="W1388" s="82" t="n"/>
      <c r="X1388" s="82" t="n"/>
      <c r="Y1388" s="82" t="n"/>
      <c r="Z1388" s="82" t="n"/>
    </row>
    <row r="1389" ht="15.75" customHeight="1" s="83">
      <c r="A1389" s="82" t="n"/>
      <c r="B1389" s="44" t="n"/>
      <c r="C1389" s="82" t="n"/>
      <c r="D1389" s="82" t="n"/>
      <c r="E1389" s="81" t="n"/>
      <c r="F1389" s="82" t="n"/>
      <c r="G1389" s="82" t="n"/>
      <c r="H1389" s="82" t="n"/>
      <c r="I1389" s="82" t="n"/>
      <c r="J1389" s="82" t="n"/>
      <c r="K1389" s="82" t="n"/>
      <c r="L1389" s="82" t="n"/>
      <c r="M1389" s="82" t="n"/>
      <c r="N1389" s="82" t="n"/>
      <c r="O1389" s="82" t="n"/>
      <c r="P1389" s="82" t="n"/>
      <c r="Q1389" s="82" t="n"/>
      <c r="R1389" s="82" t="n"/>
      <c r="S1389" s="82" t="n"/>
      <c r="T1389" s="82" t="n"/>
      <c r="U1389" s="82" t="n"/>
      <c r="V1389" s="82" t="n"/>
      <c r="W1389" s="82" t="n"/>
      <c r="X1389" s="82" t="n"/>
      <c r="Y1389" s="82" t="n"/>
      <c r="Z1389" s="82" t="n"/>
    </row>
    <row r="1390" ht="15.75" customHeight="1" s="83">
      <c r="A1390" s="82" t="n"/>
      <c r="B1390" s="44" t="n"/>
      <c r="C1390" s="82" t="n"/>
      <c r="D1390" s="82" t="n"/>
      <c r="E1390" s="81" t="n"/>
      <c r="F1390" s="82" t="n"/>
      <c r="G1390" s="82" t="n"/>
      <c r="H1390" s="82" t="n"/>
      <c r="I1390" s="82" t="n"/>
      <c r="J1390" s="82" t="n"/>
      <c r="K1390" s="82" t="n"/>
      <c r="L1390" s="82" t="n"/>
      <c r="M1390" s="82" t="n"/>
      <c r="N1390" s="82" t="n"/>
      <c r="O1390" s="82" t="n"/>
      <c r="P1390" s="82" t="n"/>
      <c r="Q1390" s="82" t="n"/>
      <c r="R1390" s="82" t="n"/>
      <c r="S1390" s="82" t="n"/>
      <c r="T1390" s="82" t="n"/>
      <c r="U1390" s="82" t="n"/>
      <c r="V1390" s="82" t="n"/>
      <c r="W1390" s="82" t="n"/>
      <c r="X1390" s="82" t="n"/>
      <c r="Y1390" s="82" t="n"/>
      <c r="Z1390" s="82" t="n"/>
    </row>
    <row r="1391" ht="15.75" customHeight="1" s="83">
      <c r="A1391" s="82" t="n"/>
      <c r="B1391" s="44" t="n"/>
      <c r="C1391" s="82" t="n"/>
      <c r="D1391" s="82" t="n"/>
      <c r="E1391" s="81" t="n"/>
      <c r="F1391" s="82" t="n"/>
      <c r="G1391" s="82" t="n"/>
      <c r="H1391" s="82" t="n"/>
      <c r="I1391" s="82" t="n"/>
      <c r="J1391" s="82" t="n"/>
      <c r="K1391" s="82" t="n"/>
      <c r="L1391" s="82" t="n"/>
      <c r="M1391" s="82" t="n"/>
      <c r="N1391" s="82" t="n"/>
      <c r="O1391" s="82" t="n"/>
      <c r="P1391" s="82" t="n"/>
      <c r="Q1391" s="82" t="n"/>
      <c r="R1391" s="82" t="n"/>
      <c r="S1391" s="82" t="n"/>
      <c r="T1391" s="82" t="n"/>
      <c r="U1391" s="82" t="n"/>
      <c r="V1391" s="82" t="n"/>
      <c r="W1391" s="82" t="n"/>
      <c r="X1391" s="82" t="n"/>
      <c r="Y1391" s="82" t="n"/>
      <c r="Z1391" s="82" t="n"/>
    </row>
    <row r="1392" ht="15.75" customHeight="1" s="83">
      <c r="A1392" s="82" t="n"/>
      <c r="B1392" s="44" t="n"/>
      <c r="C1392" s="82" t="n"/>
      <c r="D1392" s="82" t="n"/>
      <c r="E1392" s="81" t="n"/>
      <c r="F1392" s="82" t="n"/>
      <c r="G1392" s="82" t="n"/>
      <c r="H1392" s="82" t="n"/>
      <c r="I1392" s="82" t="n"/>
      <c r="J1392" s="82" t="n"/>
      <c r="K1392" s="82" t="n"/>
      <c r="L1392" s="82" t="n"/>
      <c r="M1392" s="82" t="n"/>
      <c r="N1392" s="82" t="n"/>
      <c r="O1392" s="82" t="n"/>
      <c r="P1392" s="82" t="n"/>
      <c r="Q1392" s="82" t="n"/>
      <c r="R1392" s="82" t="n"/>
      <c r="S1392" s="82" t="n"/>
      <c r="T1392" s="82" t="n"/>
      <c r="U1392" s="82" t="n"/>
      <c r="V1392" s="82" t="n"/>
      <c r="W1392" s="82" t="n"/>
      <c r="X1392" s="82" t="n"/>
      <c r="Y1392" s="82" t="n"/>
      <c r="Z1392" s="82" t="n"/>
    </row>
    <row r="1393" ht="15.75" customHeight="1" s="83">
      <c r="A1393" s="82" t="n"/>
      <c r="B1393" s="44" t="n"/>
      <c r="C1393" s="82" t="n"/>
      <c r="D1393" s="82" t="n"/>
      <c r="E1393" s="81" t="n"/>
      <c r="F1393" s="82" t="n"/>
      <c r="G1393" s="82" t="n"/>
      <c r="H1393" s="82" t="n"/>
      <c r="I1393" s="82" t="n"/>
      <c r="J1393" s="82" t="n"/>
      <c r="K1393" s="82" t="n"/>
      <c r="L1393" s="82" t="n"/>
      <c r="M1393" s="82" t="n"/>
      <c r="N1393" s="82" t="n"/>
      <c r="O1393" s="82" t="n"/>
      <c r="P1393" s="82" t="n"/>
      <c r="Q1393" s="82" t="n"/>
      <c r="R1393" s="82" t="n"/>
      <c r="S1393" s="82" t="n"/>
      <c r="T1393" s="82" t="n"/>
      <c r="U1393" s="82" t="n"/>
      <c r="V1393" s="82" t="n"/>
      <c r="W1393" s="82" t="n"/>
      <c r="X1393" s="82" t="n"/>
      <c r="Y1393" s="82" t="n"/>
      <c r="Z1393" s="82" t="n"/>
    </row>
    <row r="1394" ht="15.75" customHeight="1" s="83">
      <c r="A1394" s="82" t="n"/>
      <c r="B1394" s="44" t="n"/>
      <c r="C1394" s="82" t="n"/>
      <c r="D1394" s="82" t="n"/>
      <c r="E1394" s="81" t="n"/>
      <c r="F1394" s="82" t="n"/>
      <c r="G1394" s="82" t="n"/>
      <c r="H1394" s="82" t="n"/>
      <c r="I1394" s="82" t="n"/>
      <c r="J1394" s="82" t="n"/>
      <c r="K1394" s="82" t="n"/>
      <c r="L1394" s="82" t="n"/>
      <c r="M1394" s="82" t="n"/>
      <c r="N1394" s="82" t="n"/>
      <c r="O1394" s="82" t="n"/>
      <c r="P1394" s="82" t="n"/>
      <c r="Q1394" s="82" t="n"/>
      <c r="R1394" s="82" t="n"/>
      <c r="S1394" s="82" t="n"/>
      <c r="T1394" s="82" t="n"/>
      <c r="U1394" s="82" t="n"/>
      <c r="V1394" s="82" t="n"/>
      <c r="W1394" s="82" t="n"/>
      <c r="X1394" s="82" t="n"/>
      <c r="Y1394" s="82" t="n"/>
      <c r="Z1394" s="82" t="n"/>
    </row>
    <row r="1395" ht="15.75" customHeight="1" s="83">
      <c r="A1395" s="82" t="n"/>
      <c r="B1395" s="44" t="n"/>
      <c r="C1395" s="82" t="n"/>
      <c r="D1395" s="82" t="n"/>
      <c r="E1395" s="81" t="n"/>
      <c r="F1395" s="82" t="n"/>
      <c r="G1395" s="82" t="n"/>
      <c r="H1395" s="82" t="n"/>
      <c r="I1395" s="82" t="n"/>
      <c r="J1395" s="82" t="n"/>
      <c r="K1395" s="82" t="n"/>
      <c r="L1395" s="82" t="n"/>
      <c r="M1395" s="82" t="n"/>
      <c r="N1395" s="82" t="n"/>
      <c r="O1395" s="82" t="n"/>
      <c r="P1395" s="82" t="n"/>
      <c r="Q1395" s="82" t="n"/>
      <c r="R1395" s="82" t="n"/>
      <c r="S1395" s="82" t="n"/>
      <c r="T1395" s="82" t="n"/>
      <c r="U1395" s="82" t="n"/>
      <c r="V1395" s="82" t="n"/>
      <c r="W1395" s="82" t="n"/>
      <c r="X1395" s="82" t="n"/>
      <c r="Y1395" s="82" t="n"/>
      <c r="Z1395" s="82" t="n"/>
    </row>
    <row r="1396" ht="15.75" customHeight="1" s="83">
      <c r="A1396" s="82" t="n"/>
      <c r="B1396" s="44" t="n"/>
      <c r="C1396" s="82" t="n"/>
      <c r="D1396" s="82" t="n"/>
      <c r="E1396" s="81" t="n"/>
      <c r="F1396" s="82" t="n"/>
      <c r="G1396" s="82" t="n"/>
      <c r="H1396" s="82" t="n"/>
      <c r="I1396" s="82" t="n"/>
      <c r="J1396" s="82" t="n"/>
      <c r="K1396" s="82" t="n"/>
      <c r="L1396" s="82" t="n"/>
      <c r="M1396" s="82" t="n"/>
      <c r="N1396" s="82" t="n"/>
      <c r="O1396" s="82" t="n"/>
      <c r="P1396" s="82" t="n"/>
      <c r="Q1396" s="82" t="n"/>
      <c r="R1396" s="82" t="n"/>
      <c r="S1396" s="82" t="n"/>
      <c r="T1396" s="82" t="n"/>
      <c r="U1396" s="82" t="n"/>
      <c r="V1396" s="82" t="n"/>
      <c r="W1396" s="82" t="n"/>
      <c r="X1396" s="82" t="n"/>
      <c r="Y1396" s="82" t="n"/>
      <c r="Z1396" s="82" t="n"/>
    </row>
    <row r="1397" ht="15.75" customHeight="1" s="83">
      <c r="A1397" s="82" t="n"/>
      <c r="B1397" s="44" t="n"/>
      <c r="C1397" s="82" t="n"/>
      <c r="D1397" s="82" t="n"/>
      <c r="E1397" s="81" t="n"/>
      <c r="F1397" s="82" t="n"/>
      <c r="G1397" s="82" t="n"/>
      <c r="H1397" s="82" t="n"/>
      <c r="I1397" s="82" t="n"/>
      <c r="J1397" s="82" t="n"/>
      <c r="K1397" s="82" t="n"/>
      <c r="L1397" s="82" t="n"/>
      <c r="M1397" s="82" t="n"/>
      <c r="N1397" s="82" t="n"/>
      <c r="O1397" s="82" t="n"/>
      <c r="P1397" s="82" t="n"/>
      <c r="Q1397" s="82" t="n"/>
      <c r="R1397" s="82" t="n"/>
      <c r="S1397" s="82" t="n"/>
      <c r="T1397" s="82" t="n"/>
      <c r="U1397" s="82" t="n"/>
      <c r="V1397" s="82" t="n"/>
      <c r="W1397" s="82" t="n"/>
      <c r="X1397" s="82" t="n"/>
      <c r="Y1397" s="82" t="n"/>
      <c r="Z1397" s="82" t="n"/>
    </row>
    <row r="1398" ht="15.75" customHeight="1" s="83">
      <c r="A1398" s="82" t="n"/>
      <c r="B1398" s="44" t="n"/>
      <c r="C1398" s="82" t="n"/>
      <c r="D1398" s="82" t="n"/>
      <c r="E1398" s="81" t="n"/>
      <c r="F1398" s="82" t="n"/>
      <c r="G1398" s="82" t="n"/>
      <c r="H1398" s="82" t="n"/>
      <c r="I1398" s="82" t="n"/>
      <c r="J1398" s="82" t="n"/>
      <c r="K1398" s="82" t="n"/>
      <c r="L1398" s="82" t="n"/>
      <c r="M1398" s="82" t="n"/>
      <c r="N1398" s="82" t="n"/>
      <c r="O1398" s="82" t="n"/>
      <c r="P1398" s="82" t="n"/>
      <c r="Q1398" s="82" t="n"/>
      <c r="R1398" s="82" t="n"/>
      <c r="S1398" s="82" t="n"/>
      <c r="T1398" s="82" t="n"/>
      <c r="U1398" s="82" t="n"/>
      <c r="V1398" s="82" t="n"/>
      <c r="W1398" s="82" t="n"/>
      <c r="X1398" s="82" t="n"/>
      <c r="Y1398" s="82" t="n"/>
      <c r="Z1398" s="82" t="n"/>
    </row>
    <row r="1399" ht="15.75" customHeight="1" s="83">
      <c r="A1399" s="82" t="n"/>
      <c r="B1399" s="44" t="n"/>
      <c r="C1399" s="82" t="n"/>
      <c r="D1399" s="82" t="n"/>
      <c r="E1399" s="81" t="n"/>
      <c r="F1399" s="82" t="n"/>
      <c r="G1399" s="82" t="n"/>
      <c r="H1399" s="82" t="n"/>
      <c r="I1399" s="82" t="n"/>
      <c r="J1399" s="82" t="n"/>
      <c r="K1399" s="82" t="n"/>
      <c r="L1399" s="82" t="n"/>
      <c r="M1399" s="82" t="n"/>
      <c r="N1399" s="82" t="n"/>
      <c r="O1399" s="82" t="n"/>
      <c r="P1399" s="82" t="n"/>
      <c r="Q1399" s="82" t="n"/>
      <c r="R1399" s="82" t="n"/>
      <c r="S1399" s="82" t="n"/>
      <c r="T1399" s="82" t="n"/>
      <c r="U1399" s="82" t="n"/>
      <c r="V1399" s="82" t="n"/>
      <c r="W1399" s="82" t="n"/>
      <c r="X1399" s="82" t="n"/>
      <c r="Y1399" s="82" t="n"/>
      <c r="Z1399" s="82" t="n"/>
    </row>
    <row r="1400" ht="15.75" customHeight="1" s="83">
      <c r="A1400" s="82" t="n"/>
      <c r="B1400" s="44" t="n"/>
      <c r="C1400" s="82" t="n"/>
      <c r="D1400" s="82" t="n"/>
      <c r="E1400" s="81" t="n"/>
      <c r="F1400" s="82" t="n"/>
      <c r="G1400" s="82" t="n"/>
      <c r="H1400" s="82" t="n"/>
      <c r="I1400" s="82" t="n"/>
      <c r="J1400" s="82" t="n"/>
      <c r="K1400" s="82" t="n"/>
      <c r="L1400" s="82" t="n"/>
      <c r="M1400" s="82" t="n"/>
      <c r="N1400" s="82" t="n"/>
      <c r="O1400" s="82" t="n"/>
      <c r="P1400" s="82" t="n"/>
      <c r="Q1400" s="82" t="n"/>
      <c r="R1400" s="82" t="n"/>
      <c r="S1400" s="82" t="n"/>
      <c r="T1400" s="82" t="n"/>
      <c r="U1400" s="82" t="n"/>
      <c r="V1400" s="82" t="n"/>
      <c r="W1400" s="82" t="n"/>
      <c r="X1400" s="82" t="n"/>
      <c r="Y1400" s="82" t="n"/>
      <c r="Z1400" s="82" t="n"/>
    </row>
    <row r="1401" ht="15.75" customHeight="1" s="83">
      <c r="A1401" s="82" t="n"/>
      <c r="B1401" s="44" t="n"/>
      <c r="C1401" s="82" t="n"/>
      <c r="D1401" s="82" t="n"/>
      <c r="E1401" s="81" t="n"/>
      <c r="F1401" s="82" t="n"/>
      <c r="G1401" s="82" t="n"/>
      <c r="H1401" s="82" t="n"/>
      <c r="I1401" s="82" t="n"/>
      <c r="J1401" s="82" t="n"/>
      <c r="K1401" s="82" t="n"/>
      <c r="L1401" s="82" t="n"/>
      <c r="M1401" s="82" t="n"/>
      <c r="N1401" s="82" t="n"/>
      <c r="O1401" s="82" t="n"/>
      <c r="P1401" s="82" t="n"/>
      <c r="Q1401" s="82" t="n"/>
      <c r="R1401" s="82" t="n"/>
      <c r="S1401" s="82" t="n"/>
      <c r="T1401" s="82" t="n"/>
      <c r="U1401" s="82" t="n"/>
      <c r="V1401" s="82" t="n"/>
      <c r="W1401" s="82" t="n"/>
      <c r="X1401" s="82" t="n"/>
      <c r="Y1401" s="82" t="n"/>
      <c r="Z1401" s="82" t="n"/>
    </row>
    <row r="1402" ht="15.75" customHeight="1" s="83">
      <c r="A1402" s="82" t="n"/>
      <c r="B1402" s="44" t="n"/>
      <c r="C1402" s="82" t="n"/>
      <c r="D1402" s="82" t="n"/>
      <c r="E1402" s="81" t="n"/>
      <c r="F1402" s="82" t="n"/>
      <c r="G1402" s="82" t="n"/>
      <c r="H1402" s="82" t="n"/>
      <c r="I1402" s="82" t="n"/>
      <c r="J1402" s="82" t="n"/>
      <c r="K1402" s="82" t="n"/>
      <c r="L1402" s="82" t="n"/>
      <c r="M1402" s="82" t="n"/>
      <c r="N1402" s="82" t="n"/>
      <c r="O1402" s="82" t="n"/>
      <c r="P1402" s="82" t="n"/>
      <c r="Q1402" s="82" t="n"/>
      <c r="R1402" s="82" t="n"/>
      <c r="S1402" s="82" t="n"/>
      <c r="T1402" s="82" t="n"/>
      <c r="U1402" s="82" t="n"/>
      <c r="V1402" s="82" t="n"/>
      <c r="W1402" s="82" t="n"/>
      <c r="X1402" s="82" t="n"/>
      <c r="Y1402" s="82" t="n"/>
      <c r="Z1402" s="82" t="n"/>
    </row>
    <row r="1403" ht="15.75" customHeight="1" s="83">
      <c r="A1403" s="82" t="n"/>
      <c r="B1403" s="44" t="n"/>
      <c r="C1403" s="82" t="n"/>
      <c r="D1403" s="82" t="n"/>
      <c r="E1403" s="81" t="n"/>
      <c r="F1403" s="82" t="n"/>
      <c r="G1403" s="82" t="n"/>
      <c r="H1403" s="82" t="n"/>
      <c r="I1403" s="82" t="n"/>
      <c r="J1403" s="82" t="n"/>
      <c r="K1403" s="82" t="n"/>
      <c r="L1403" s="82" t="n"/>
      <c r="M1403" s="82" t="n"/>
      <c r="N1403" s="82" t="n"/>
      <c r="O1403" s="82" t="n"/>
      <c r="P1403" s="82" t="n"/>
      <c r="Q1403" s="82" t="n"/>
      <c r="R1403" s="82" t="n"/>
      <c r="S1403" s="82" t="n"/>
      <c r="T1403" s="82" t="n"/>
      <c r="U1403" s="82" t="n"/>
      <c r="V1403" s="82" t="n"/>
      <c r="W1403" s="82" t="n"/>
      <c r="X1403" s="82" t="n"/>
      <c r="Y1403" s="82" t="n"/>
      <c r="Z1403" s="82" t="n"/>
    </row>
    <row r="1404" ht="15.75" customHeight="1" s="83">
      <c r="A1404" s="82" t="n"/>
      <c r="B1404" s="44" t="n"/>
      <c r="C1404" s="82" t="n"/>
      <c r="D1404" s="82" t="n"/>
      <c r="E1404" s="81" t="n"/>
      <c r="F1404" s="82" t="n"/>
      <c r="G1404" s="82" t="n"/>
      <c r="H1404" s="82" t="n"/>
      <c r="I1404" s="82" t="n"/>
      <c r="J1404" s="82" t="n"/>
      <c r="K1404" s="82" t="n"/>
      <c r="L1404" s="82" t="n"/>
      <c r="M1404" s="82" t="n"/>
      <c r="N1404" s="82" t="n"/>
      <c r="O1404" s="82" t="n"/>
      <c r="P1404" s="82" t="n"/>
      <c r="Q1404" s="82" t="n"/>
      <c r="R1404" s="82" t="n"/>
      <c r="S1404" s="82" t="n"/>
      <c r="T1404" s="82" t="n"/>
      <c r="U1404" s="82" t="n"/>
      <c r="V1404" s="82" t="n"/>
      <c r="W1404" s="82" t="n"/>
      <c r="X1404" s="82" t="n"/>
      <c r="Y1404" s="82" t="n"/>
      <c r="Z1404" s="82" t="n"/>
    </row>
    <row r="1405" ht="15.75" customHeight="1" s="83">
      <c r="A1405" s="82" t="n"/>
      <c r="B1405" s="44" t="n"/>
      <c r="C1405" s="82" t="n"/>
      <c r="D1405" s="82" t="n"/>
      <c r="E1405" s="81" t="n"/>
      <c r="F1405" s="82" t="n"/>
      <c r="G1405" s="82" t="n"/>
      <c r="H1405" s="82" t="n"/>
      <c r="I1405" s="82" t="n"/>
      <c r="J1405" s="82" t="n"/>
      <c r="K1405" s="82" t="n"/>
      <c r="L1405" s="82" t="n"/>
      <c r="M1405" s="82" t="n"/>
      <c r="N1405" s="82" t="n"/>
      <c r="O1405" s="82" t="n"/>
      <c r="P1405" s="82" t="n"/>
      <c r="Q1405" s="82" t="n"/>
      <c r="R1405" s="82" t="n"/>
      <c r="S1405" s="82" t="n"/>
      <c r="T1405" s="82" t="n"/>
      <c r="U1405" s="82" t="n"/>
      <c r="V1405" s="82" t="n"/>
      <c r="W1405" s="82" t="n"/>
      <c r="X1405" s="82" t="n"/>
      <c r="Y1405" s="82" t="n"/>
      <c r="Z1405" s="82" t="n"/>
    </row>
    <row r="1406" ht="15.75" customHeight="1" s="83">
      <c r="A1406" s="82" t="n"/>
      <c r="B1406" s="44" t="n"/>
      <c r="C1406" s="82" t="n"/>
      <c r="D1406" s="82" t="n"/>
      <c r="E1406" s="81" t="n"/>
      <c r="F1406" s="82" t="n"/>
      <c r="G1406" s="82" t="n"/>
      <c r="H1406" s="82" t="n"/>
      <c r="I1406" s="82" t="n"/>
      <c r="J1406" s="82" t="n"/>
      <c r="K1406" s="82" t="n"/>
      <c r="L1406" s="82" t="n"/>
      <c r="M1406" s="82" t="n"/>
      <c r="N1406" s="82" t="n"/>
      <c r="O1406" s="82" t="n"/>
      <c r="P1406" s="82" t="n"/>
      <c r="Q1406" s="82" t="n"/>
      <c r="R1406" s="82" t="n"/>
      <c r="S1406" s="82" t="n"/>
      <c r="T1406" s="82" t="n"/>
      <c r="U1406" s="82" t="n"/>
      <c r="V1406" s="82" t="n"/>
      <c r="W1406" s="82" t="n"/>
      <c r="X1406" s="82" t="n"/>
      <c r="Y1406" s="82" t="n"/>
      <c r="Z1406" s="82" t="n"/>
    </row>
    <row r="1407" ht="15.75" customHeight="1" s="83">
      <c r="A1407" s="82" t="n"/>
      <c r="B1407" s="44" t="n"/>
      <c r="C1407" s="82" t="n"/>
      <c r="D1407" s="82" t="n"/>
      <c r="E1407" s="81" t="n"/>
      <c r="F1407" s="82" t="n"/>
      <c r="G1407" s="82" t="n"/>
      <c r="H1407" s="82" t="n"/>
      <c r="I1407" s="82" t="n"/>
      <c r="J1407" s="82" t="n"/>
      <c r="K1407" s="82" t="n"/>
      <c r="L1407" s="82" t="n"/>
      <c r="M1407" s="82" t="n"/>
      <c r="N1407" s="82" t="n"/>
      <c r="O1407" s="82" t="n"/>
      <c r="P1407" s="82" t="n"/>
      <c r="Q1407" s="82" t="n"/>
      <c r="R1407" s="82" t="n"/>
      <c r="S1407" s="82" t="n"/>
      <c r="T1407" s="82" t="n"/>
      <c r="U1407" s="82" t="n"/>
      <c r="V1407" s="82" t="n"/>
      <c r="W1407" s="82" t="n"/>
      <c r="X1407" s="82" t="n"/>
      <c r="Y1407" s="82" t="n"/>
      <c r="Z1407" s="82" t="n"/>
    </row>
    <row r="1408" ht="15.75" customHeight="1" s="83">
      <c r="A1408" s="82" t="n"/>
      <c r="B1408" s="44" t="n"/>
      <c r="C1408" s="82" t="n"/>
      <c r="D1408" s="82" t="n"/>
      <c r="E1408" s="81" t="n"/>
      <c r="F1408" s="82" t="n"/>
      <c r="G1408" s="82" t="n"/>
      <c r="H1408" s="82" t="n"/>
      <c r="I1408" s="82" t="n"/>
      <c r="J1408" s="82" t="n"/>
      <c r="K1408" s="82" t="n"/>
      <c r="L1408" s="82" t="n"/>
      <c r="M1408" s="82" t="n"/>
      <c r="N1408" s="82" t="n"/>
      <c r="O1408" s="82" t="n"/>
      <c r="P1408" s="82" t="n"/>
      <c r="Q1408" s="82" t="n"/>
      <c r="R1408" s="82" t="n"/>
      <c r="S1408" s="82" t="n"/>
      <c r="T1408" s="82" t="n"/>
      <c r="U1408" s="82" t="n"/>
      <c r="V1408" s="82" t="n"/>
      <c r="W1408" s="82" t="n"/>
      <c r="X1408" s="82" t="n"/>
      <c r="Y1408" s="82" t="n"/>
      <c r="Z1408" s="82" t="n"/>
    </row>
    <row r="1409" ht="15.75" customHeight="1" s="83">
      <c r="A1409" s="82" t="n"/>
      <c r="B1409" s="44" t="n"/>
      <c r="C1409" s="82" t="n"/>
      <c r="D1409" s="82" t="n"/>
      <c r="E1409" s="81" t="n"/>
      <c r="F1409" s="82" t="n"/>
      <c r="G1409" s="82" t="n"/>
      <c r="H1409" s="82" t="n"/>
      <c r="I1409" s="82" t="n"/>
      <c r="J1409" s="82" t="n"/>
      <c r="K1409" s="82" t="n"/>
      <c r="L1409" s="82" t="n"/>
      <c r="M1409" s="82" t="n"/>
      <c r="N1409" s="82" t="n"/>
      <c r="O1409" s="82" t="n"/>
      <c r="P1409" s="82" t="n"/>
      <c r="Q1409" s="82" t="n"/>
      <c r="R1409" s="82" t="n"/>
      <c r="S1409" s="82" t="n"/>
      <c r="T1409" s="82" t="n"/>
      <c r="U1409" s="82" t="n"/>
      <c r="V1409" s="82" t="n"/>
      <c r="W1409" s="82" t="n"/>
      <c r="X1409" s="82" t="n"/>
      <c r="Y1409" s="82" t="n"/>
      <c r="Z1409" s="82" t="n"/>
    </row>
    <row r="1410" ht="15.75" customHeight="1" s="83">
      <c r="A1410" s="82" t="n"/>
      <c r="B1410" s="44" t="n"/>
      <c r="C1410" s="82" t="n"/>
      <c r="D1410" s="82" t="n"/>
      <c r="E1410" s="81" t="n"/>
      <c r="F1410" s="82" t="n"/>
      <c r="G1410" s="82" t="n"/>
      <c r="H1410" s="82" t="n"/>
      <c r="I1410" s="82" t="n"/>
      <c r="J1410" s="82" t="n"/>
      <c r="K1410" s="82" t="n"/>
      <c r="L1410" s="82" t="n"/>
      <c r="M1410" s="82" t="n"/>
      <c r="N1410" s="82" t="n"/>
      <c r="O1410" s="82" t="n"/>
      <c r="P1410" s="82" t="n"/>
      <c r="Q1410" s="82" t="n"/>
      <c r="R1410" s="82" t="n"/>
      <c r="S1410" s="82" t="n"/>
      <c r="T1410" s="82" t="n"/>
      <c r="U1410" s="82" t="n"/>
      <c r="V1410" s="82" t="n"/>
      <c r="W1410" s="82" t="n"/>
      <c r="X1410" s="82" t="n"/>
      <c r="Y1410" s="82" t="n"/>
      <c r="Z1410" s="82" t="n"/>
    </row>
    <row r="1411" ht="15.75" customHeight="1" s="83">
      <c r="A1411" s="82" t="n"/>
      <c r="B1411" s="44" t="n"/>
      <c r="C1411" s="82" t="n"/>
      <c r="D1411" s="82" t="n"/>
      <c r="E1411" s="81" t="n"/>
      <c r="F1411" s="82" t="n"/>
      <c r="G1411" s="82" t="n"/>
      <c r="H1411" s="82" t="n"/>
      <c r="I1411" s="82" t="n"/>
      <c r="J1411" s="82" t="n"/>
      <c r="K1411" s="82" t="n"/>
      <c r="L1411" s="82" t="n"/>
      <c r="M1411" s="82" t="n"/>
      <c r="N1411" s="82" t="n"/>
      <c r="O1411" s="82" t="n"/>
      <c r="P1411" s="82" t="n"/>
      <c r="Q1411" s="82" t="n"/>
      <c r="R1411" s="82" t="n"/>
      <c r="S1411" s="82" t="n"/>
      <c r="T1411" s="82" t="n"/>
      <c r="U1411" s="82" t="n"/>
      <c r="V1411" s="82" t="n"/>
      <c r="W1411" s="82" t="n"/>
      <c r="X1411" s="82" t="n"/>
      <c r="Y1411" s="82" t="n"/>
      <c r="Z1411" s="82" t="n"/>
    </row>
    <row r="1412" ht="15.75" customHeight="1" s="83">
      <c r="A1412" s="82" t="n"/>
      <c r="B1412" s="44" t="n"/>
      <c r="C1412" s="82" t="n"/>
      <c r="D1412" s="82" t="n"/>
      <c r="E1412" s="81" t="n"/>
      <c r="F1412" s="82" t="n"/>
      <c r="G1412" s="82" t="n"/>
      <c r="H1412" s="82" t="n"/>
      <c r="I1412" s="82" t="n"/>
      <c r="J1412" s="82" t="n"/>
      <c r="K1412" s="82" t="n"/>
      <c r="L1412" s="82" t="n"/>
      <c r="M1412" s="82" t="n"/>
      <c r="N1412" s="82" t="n"/>
      <c r="O1412" s="82" t="n"/>
      <c r="P1412" s="82" t="n"/>
      <c r="Q1412" s="82" t="n"/>
      <c r="R1412" s="82" t="n"/>
      <c r="S1412" s="82" t="n"/>
      <c r="T1412" s="82" t="n"/>
      <c r="U1412" s="82" t="n"/>
      <c r="V1412" s="82" t="n"/>
      <c r="W1412" s="82" t="n"/>
      <c r="X1412" s="82" t="n"/>
      <c r="Y1412" s="82" t="n"/>
      <c r="Z1412" s="82" t="n"/>
    </row>
    <row r="1413" ht="15.75" customHeight="1" s="83">
      <c r="A1413" s="82" t="n"/>
      <c r="B1413" s="44" t="n"/>
      <c r="C1413" s="82" t="n"/>
      <c r="D1413" s="82" t="n"/>
      <c r="E1413" s="81" t="n"/>
      <c r="F1413" s="82" t="n"/>
      <c r="G1413" s="82" t="n"/>
      <c r="H1413" s="82" t="n"/>
      <c r="I1413" s="82" t="n"/>
      <c r="J1413" s="82" t="n"/>
      <c r="K1413" s="82" t="n"/>
      <c r="L1413" s="82" t="n"/>
      <c r="M1413" s="82" t="n"/>
      <c r="N1413" s="82" t="n"/>
      <c r="O1413" s="82" t="n"/>
      <c r="P1413" s="82" t="n"/>
      <c r="Q1413" s="82" t="n"/>
      <c r="R1413" s="82" t="n"/>
      <c r="S1413" s="82" t="n"/>
      <c r="T1413" s="82" t="n"/>
      <c r="U1413" s="82" t="n"/>
      <c r="V1413" s="82" t="n"/>
      <c r="W1413" s="82" t="n"/>
      <c r="X1413" s="82" t="n"/>
      <c r="Y1413" s="82" t="n"/>
      <c r="Z1413" s="82" t="n"/>
    </row>
    <row r="1414" ht="15.75" customHeight="1" s="83">
      <c r="A1414" s="82" t="n"/>
      <c r="B1414" s="44" t="n"/>
      <c r="C1414" s="82" t="n"/>
      <c r="D1414" s="82" t="n"/>
      <c r="E1414" s="81" t="n"/>
      <c r="F1414" s="82" t="n"/>
      <c r="G1414" s="82" t="n"/>
      <c r="H1414" s="82" t="n"/>
      <c r="I1414" s="82" t="n"/>
      <c r="J1414" s="82" t="n"/>
      <c r="K1414" s="82" t="n"/>
      <c r="L1414" s="82" t="n"/>
      <c r="M1414" s="82" t="n"/>
      <c r="N1414" s="82" t="n"/>
      <c r="O1414" s="82" t="n"/>
      <c r="P1414" s="82" t="n"/>
      <c r="Q1414" s="82" t="n"/>
      <c r="R1414" s="82" t="n"/>
      <c r="S1414" s="82" t="n"/>
      <c r="T1414" s="82" t="n"/>
      <c r="U1414" s="82" t="n"/>
      <c r="V1414" s="82" t="n"/>
      <c r="W1414" s="82" t="n"/>
      <c r="X1414" s="82" t="n"/>
      <c r="Y1414" s="82" t="n"/>
      <c r="Z1414" s="82" t="n"/>
    </row>
    <row r="1415" ht="15.75" customHeight="1" s="83">
      <c r="A1415" s="82" t="n"/>
      <c r="B1415" s="44" t="n"/>
      <c r="C1415" s="82" t="n"/>
      <c r="D1415" s="82" t="n"/>
      <c r="E1415" s="81" t="n"/>
      <c r="F1415" s="82" t="n"/>
      <c r="G1415" s="82" t="n"/>
      <c r="H1415" s="82" t="n"/>
      <c r="I1415" s="82" t="n"/>
      <c r="J1415" s="82" t="n"/>
      <c r="K1415" s="82" t="n"/>
      <c r="L1415" s="82" t="n"/>
      <c r="M1415" s="82" t="n"/>
      <c r="N1415" s="82" t="n"/>
      <c r="O1415" s="82" t="n"/>
      <c r="P1415" s="82" t="n"/>
      <c r="Q1415" s="82" t="n"/>
      <c r="R1415" s="82" t="n"/>
      <c r="S1415" s="82" t="n"/>
      <c r="T1415" s="82" t="n"/>
      <c r="U1415" s="82" t="n"/>
      <c r="V1415" s="82" t="n"/>
      <c r="W1415" s="82" t="n"/>
      <c r="X1415" s="82" t="n"/>
      <c r="Y1415" s="82" t="n"/>
      <c r="Z1415" s="82" t="n"/>
    </row>
    <row r="1416" ht="15.75" customHeight="1" s="83">
      <c r="A1416" s="82" t="n"/>
      <c r="B1416" s="44" t="n"/>
      <c r="C1416" s="82" t="n"/>
      <c r="D1416" s="82" t="n"/>
      <c r="E1416" s="81" t="n"/>
      <c r="F1416" s="82" t="n"/>
      <c r="G1416" s="82" t="n"/>
      <c r="H1416" s="82" t="n"/>
      <c r="I1416" s="82" t="n"/>
      <c r="J1416" s="82" t="n"/>
      <c r="K1416" s="82" t="n"/>
      <c r="L1416" s="82" t="n"/>
      <c r="M1416" s="82" t="n"/>
      <c r="N1416" s="82" t="n"/>
      <c r="O1416" s="82" t="n"/>
      <c r="P1416" s="82" t="n"/>
      <c r="Q1416" s="82" t="n"/>
      <c r="R1416" s="82" t="n"/>
      <c r="S1416" s="82" t="n"/>
      <c r="T1416" s="82" t="n"/>
      <c r="U1416" s="82" t="n"/>
      <c r="V1416" s="82" t="n"/>
      <c r="W1416" s="82" t="n"/>
      <c r="X1416" s="82" t="n"/>
      <c r="Y1416" s="82" t="n"/>
      <c r="Z1416" s="82" t="n"/>
    </row>
    <row r="1417" ht="15.75" customHeight="1" s="83">
      <c r="A1417" s="82" t="n"/>
      <c r="B1417" s="44" t="n"/>
      <c r="C1417" s="82" t="n"/>
      <c r="D1417" s="82" t="n"/>
      <c r="E1417" s="81" t="n"/>
      <c r="F1417" s="82" t="n"/>
      <c r="G1417" s="82" t="n"/>
      <c r="H1417" s="82" t="n"/>
      <c r="I1417" s="82" t="n"/>
      <c r="J1417" s="82" t="n"/>
      <c r="K1417" s="82" t="n"/>
      <c r="L1417" s="82" t="n"/>
      <c r="M1417" s="82" t="n"/>
      <c r="N1417" s="82" t="n"/>
      <c r="O1417" s="82" t="n"/>
      <c r="P1417" s="82" t="n"/>
      <c r="Q1417" s="82" t="n"/>
      <c r="R1417" s="82" t="n"/>
      <c r="S1417" s="82" t="n"/>
      <c r="T1417" s="82" t="n"/>
      <c r="U1417" s="82" t="n"/>
      <c r="V1417" s="82" t="n"/>
      <c r="W1417" s="82" t="n"/>
      <c r="X1417" s="82" t="n"/>
      <c r="Y1417" s="82" t="n"/>
      <c r="Z1417" s="82" t="n"/>
    </row>
    <row r="1418" ht="15.75" customHeight="1" s="83">
      <c r="A1418" s="82" t="n"/>
      <c r="B1418" s="44" t="n"/>
      <c r="C1418" s="82" t="n"/>
      <c r="D1418" s="82" t="n"/>
      <c r="E1418" s="81" t="n"/>
      <c r="F1418" s="82" t="n"/>
      <c r="G1418" s="82" t="n"/>
      <c r="H1418" s="82" t="n"/>
      <c r="I1418" s="82" t="n"/>
      <c r="J1418" s="82" t="n"/>
      <c r="K1418" s="82" t="n"/>
      <c r="L1418" s="82" t="n"/>
      <c r="M1418" s="82" t="n"/>
      <c r="N1418" s="82" t="n"/>
      <c r="O1418" s="82" t="n"/>
      <c r="P1418" s="82" t="n"/>
      <c r="Q1418" s="82" t="n"/>
      <c r="R1418" s="82" t="n"/>
      <c r="S1418" s="82" t="n"/>
      <c r="T1418" s="82" t="n"/>
      <c r="U1418" s="82" t="n"/>
      <c r="V1418" s="82" t="n"/>
      <c r="W1418" s="82" t="n"/>
      <c r="X1418" s="82" t="n"/>
      <c r="Y1418" s="82" t="n"/>
      <c r="Z1418" s="82" t="n"/>
    </row>
    <row r="1419" ht="15.75" customHeight="1" s="83">
      <c r="A1419" s="82" t="n"/>
      <c r="B1419" s="44" t="n"/>
      <c r="C1419" s="82" t="n"/>
      <c r="D1419" s="82" t="n"/>
      <c r="E1419" s="81" t="n"/>
      <c r="F1419" s="82" t="n"/>
      <c r="G1419" s="82" t="n"/>
      <c r="H1419" s="82" t="n"/>
      <c r="I1419" s="82" t="n"/>
      <c r="J1419" s="82" t="n"/>
      <c r="K1419" s="82" t="n"/>
      <c r="L1419" s="82" t="n"/>
      <c r="M1419" s="82" t="n"/>
      <c r="N1419" s="82" t="n"/>
      <c r="O1419" s="82" t="n"/>
      <c r="P1419" s="82" t="n"/>
      <c r="Q1419" s="82" t="n"/>
      <c r="R1419" s="82" t="n"/>
      <c r="S1419" s="82" t="n"/>
      <c r="T1419" s="82" t="n"/>
      <c r="U1419" s="82" t="n"/>
      <c r="V1419" s="82" t="n"/>
      <c r="W1419" s="82" t="n"/>
      <c r="X1419" s="82" t="n"/>
      <c r="Y1419" s="82" t="n"/>
      <c r="Z1419" s="82" t="n"/>
    </row>
    <row r="1420" ht="15.75" customHeight="1" s="83">
      <c r="A1420" s="82" t="n"/>
      <c r="B1420" s="44" t="n"/>
      <c r="C1420" s="82" t="n"/>
      <c r="D1420" s="82" t="n"/>
      <c r="E1420" s="81" t="n"/>
      <c r="F1420" s="82" t="n"/>
      <c r="G1420" s="82" t="n"/>
      <c r="H1420" s="82" t="n"/>
      <c r="I1420" s="82" t="n"/>
      <c r="J1420" s="82" t="n"/>
      <c r="K1420" s="82" t="n"/>
      <c r="L1420" s="82" t="n"/>
      <c r="M1420" s="82" t="n"/>
      <c r="N1420" s="82" t="n"/>
      <c r="O1420" s="82" t="n"/>
      <c r="P1420" s="82" t="n"/>
      <c r="Q1420" s="82" t="n"/>
      <c r="R1420" s="82" t="n"/>
      <c r="S1420" s="82" t="n"/>
      <c r="T1420" s="82" t="n"/>
      <c r="U1420" s="82" t="n"/>
      <c r="V1420" s="82" t="n"/>
      <c r="W1420" s="82" t="n"/>
      <c r="X1420" s="82" t="n"/>
      <c r="Y1420" s="82" t="n"/>
      <c r="Z1420" s="82" t="n"/>
    </row>
    <row r="1421" ht="15.75" customHeight="1" s="83">
      <c r="A1421" s="82" t="n"/>
      <c r="B1421" s="44" t="n"/>
      <c r="C1421" s="82" t="n"/>
      <c r="D1421" s="82" t="n"/>
      <c r="E1421" s="81" t="n"/>
      <c r="F1421" s="82" t="n"/>
      <c r="G1421" s="82" t="n"/>
      <c r="H1421" s="82" t="n"/>
      <c r="I1421" s="82" t="n"/>
      <c r="J1421" s="82" t="n"/>
      <c r="K1421" s="82" t="n"/>
      <c r="L1421" s="82" t="n"/>
      <c r="M1421" s="82" t="n"/>
      <c r="N1421" s="82" t="n"/>
      <c r="O1421" s="82" t="n"/>
      <c r="P1421" s="82" t="n"/>
      <c r="Q1421" s="82" t="n"/>
      <c r="R1421" s="82" t="n"/>
      <c r="S1421" s="82" t="n"/>
      <c r="T1421" s="82" t="n"/>
      <c r="U1421" s="82" t="n"/>
      <c r="V1421" s="82" t="n"/>
      <c r="W1421" s="82" t="n"/>
      <c r="X1421" s="82" t="n"/>
      <c r="Y1421" s="82" t="n"/>
      <c r="Z1421" s="82" t="n"/>
    </row>
    <row r="1422" ht="15.75" customHeight="1" s="83">
      <c r="A1422" s="82" t="n"/>
      <c r="B1422" s="44" t="n"/>
      <c r="C1422" s="82" t="n"/>
      <c r="D1422" s="82" t="n"/>
      <c r="E1422" s="81" t="n"/>
      <c r="F1422" s="82" t="n"/>
      <c r="G1422" s="82" t="n"/>
      <c r="H1422" s="82" t="n"/>
      <c r="I1422" s="82" t="n"/>
      <c r="J1422" s="82" t="n"/>
      <c r="K1422" s="82" t="n"/>
      <c r="L1422" s="82" t="n"/>
      <c r="M1422" s="82" t="n"/>
      <c r="N1422" s="82" t="n"/>
      <c r="O1422" s="82" t="n"/>
      <c r="P1422" s="82" t="n"/>
      <c r="Q1422" s="82" t="n"/>
      <c r="R1422" s="82" t="n"/>
      <c r="S1422" s="82" t="n"/>
      <c r="T1422" s="82" t="n"/>
      <c r="U1422" s="82" t="n"/>
      <c r="V1422" s="82" t="n"/>
      <c r="W1422" s="82" t="n"/>
      <c r="X1422" s="82" t="n"/>
      <c r="Y1422" s="82" t="n"/>
      <c r="Z1422" s="82" t="n"/>
    </row>
    <row r="1423" ht="15.75" customHeight="1" s="83">
      <c r="A1423" s="82" t="n"/>
      <c r="B1423" s="44" t="n"/>
      <c r="C1423" s="82" t="n"/>
      <c r="D1423" s="82" t="n"/>
      <c r="E1423" s="81" t="n"/>
      <c r="F1423" s="82" t="n"/>
      <c r="G1423" s="82" t="n"/>
      <c r="H1423" s="82" t="n"/>
      <c r="I1423" s="82" t="n"/>
      <c r="J1423" s="82" t="n"/>
      <c r="K1423" s="82" t="n"/>
      <c r="L1423" s="82" t="n"/>
      <c r="M1423" s="82" t="n"/>
      <c r="N1423" s="82" t="n"/>
      <c r="O1423" s="82" t="n"/>
      <c r="P1423" s="82" t="n"/>
      <c r="Q1423" s="82" t="n"/>
      <c r="R1423" s="82" t="n"/>
      <c r="S1423" s="82" t="n"/>
      <c r="T1423" s="82" t="n"/>
      <c r="U1423" s="82" t="n"/>
      <c r="V1423" s="82" t="n"/>
      <c r="W1423" s="82" t="n"/>
      <c r="X1423" s="82" t="n"/>
      <c r="Y1423" s="82" t="n"/>
      <c r="Z1423" s="82" t="n"/>
    </row>
    <row r="1424" ht="15.75" customHeight="1" s="83">
      <c r="A1424" s="82" t="n"/>
      <c r="B1424" s="44" t="n"/>
      <c r="C1424" s="82" t="n"/>
      <c r="D1424" s="82" t="n"/>
      <c r="E1424" s="81" t="n"/>
      <c r="F1424" s="82" t="n"/>
      <c r="G1424" s="82" t="n"/>
      <c r="H1424" s="82" t="n"/>
      <c r="I1424" s="82" t="n"/>
      <c r="J1424" s="82" t="n"/>
      <c r="K1424" s="82" t="n"/>
      <c r="L1424" s="82" t="n"/>
      <c r="M1424" s="82" t="n"/>
      <c r="N1424" s="82" t="n"/>
      <c r="O1424" s="82" t="n"/>
      <c r="P1424" s="82" t="n"/>
      <c r="Q1424" s="82" t="n"/>
      <c r="R1424" s="82" t="n"/>
      <c r="S1424" s="82" t="n"/>
      <c r="T1424" s="82" t="n"/>
      <c r="U1424" s="82" t="n"/>
      <c r="V1424" s="82" t="n"/>
      <c r="W1424" s="82" t="n"/>
      <c r="X1424" s="82" t="n"/>
      <c r="Y1424" s="82" t="n"/>
      <c r="Z1424" s="82" t="n"/>
    </row>
    <row r="1425" ht="15.75" customHeight="1" s="83">
      <c r="A1425" s="82" t="n"/>
      <c r="B1425" s="44" t="n"/>
      <c r="C1425" s="82" t="n"/>
      <c r="D1425" s="82" t="n"/>
      <c r="E1425" s="81" t="n"/>
      <c r="F1425" s="82" t="n"/>
      <c r="G1425" s="82" t="n"/>
      <c r="H1425" s="82" t="n"/>
      <c r="I1425" s="82" t="n"/>
      <c r="J1425" s="82" t="n"/>
      <c r="K1425" s="82" t="n"/>
      <c r="L1425" s="82" t="n"/>
      <c r="M1425" s="82" t="n"/>
      <c r="N1425" s="82" t="n"/>
      <c r="O1425" s="82" t="n"/>
      <c r="P1425" s="82" t="n"/>
      <c r="Q1425" s="82" t="n"/>
      <c r="R1425" s="82" t="n"/>
      <c r="S1425" s="82" t="n"/>
      <c r="T1425" s="82" t="n"/>
      <c r="U1425" s="82" t="n"/>
      <c r="V1425" s="82" t="n"/>
      <c r="W1425" s="82" t="n"/>
      <c r="X1425" s="82" t="n"/>
      <c r="Y1425" s="82" t="n"/>
      <c r="Z1425" s="82" t="n"/>
    </row>
    <row r="1426" ht="15.75" customHeight="1" s="83">
      <c r="A1426" s="82" t="n"/>
      <c r="B1426" s="44" t="n"/>
      <c r="C1426" s="82" t="n"/>
      <c r="D1426" s="82" t="n"/>
      <c r="E1426" s="81" t="n"/>
      <c r="F1426" s="82" t="n"/>
      <c r="G1426" s="82" t="n"/>
      <c r="H1426" s="82" t="n"/>
      <c r="I1426" s="82" t="n"/>
      <c r="J1426" s="82" t="n"/>
      <c r="K1426" s="82" t="n"/>
      <c r="L1426" s="82" t="n"/>
      <c r="M1426" s="82" t="n"/>
      <c r="N1426" s="82" t="n"/>
      <c r="O1426" s="82" t="n"/>
      <c r="P1426" s="82" t="n"/>
      <c r="Q1426" s="82" t="n"/>
      <c r="R1426" s="82" t="n"/>
      <c r="S1426" s="82" t="n"/>
      <c r="T1426" s="82" t="n"/>
      <c r="U1426" s="82" t="n"/>
      <c r="V1426" s="82" t="n"/>
      <c r="W1426" s="82" t="n"/>
      <c r="X1426" s="82" t="n"/>
      <c r="Y1426" s="82" t="n"/>
      <c r="Z1426" s="82" t="n"/>
    </row>
    <row r="1427" ht="15.75" customHeight="1" s="83">
      <c r="A1427" s="82" t="n"/>
      <c r="B1427" s="44" t="n"/>
      <c r="C1427" s="82" t="n"/>
      <c r="D1427" s="82" t="n"/>
      <c r="E1427" s="81" t="n"/>
      <c r="F1427" s="82" t="n"/>
      <c r="G1427" s="82" t="n"/>
      <c r="H1427" s="82" t="n"/>
      <c r="I1427" s="82" t="n"/>
      <c r="J1427" s="82" t="n"/>
      <c r="K1427" s="82" t="n"/>
      <c r="L1427" s="82" t="n"/>
      <c r="M1427" s="82" t="n"/>
      <c r="N1427" s="82" t="n"/>
      <c r="O1427" s="82" t="n"/>
      <c r="P1427" s="82" t="n"/>
      <c r="Q1427" s="82" t="n"/>
      <c r="R1427" s="82" t="n"/>
      <c r="S1427" s="82" t="n"/>
      <c r="T1427" s="82" t="n"/>
      <c r="U1427" s="82" t="n"/>
      <c r="V1427" s="82" t="n"/>
      <c r="W1427" s="82" t="n"/>
      <c r="X1427" s="82" t="n"/>
      <c r="Y1427" s="82" t="n"/>
      <c r="Z1427" s="82" t="n"/>
    </row>
    <row r="1428" ht="15.75" customHeight="1" s="83">
      <c r="A1428" s="82" t="n"/>
      <c r="B1428" s="44" t="n"/>
      <c r="C1428" s="82" t="n"/>
      <c r="D1428" s="82" t="n"/>
      <c r="E1428" s="81" t="n"/>
      <c r="F1428" s="82" t="n"/>
      <c r="G1428" s="82" t="n"/>
      <c r="H1428" s="82" t="n"/>
      <c r="I1428" s="82" t="n"/>
      <c r="J1428" s="82" t="n"/>
      <c r="K1428" s="82" t="n"/>
      <c r="L1428" s="82" t="n"/>
      <c r="M1428" s="82" t="n"/>
      <c r="N1428" s="82" t="n"/>
      <c r="O1428" s="82" t="n"/>
      <c r="P1428" s="82" t="n"/>
      <c r="Q1428" s="82" t="n"/>
      <c r="R1428" s="82" t="n"/>
      <c r="S1428" s="82" t="n"/>
      <c r="T1428" s="82" t="n"/>
      <c r="U1428" s="82" t="n"/>
      <c r="V1428" s="82" t="n"/>
      <c r="W1428" s="82" t="n"/>
      <c r="X1428" s="82" t="n"/>
      <c r="Y1428" s="82" t="n"/>
      <c r="Z1428" s="82" t="n"/>
    </row>
    <row r="1429" ht="15.75" customHeight="1" s="83">
      <c r="A1429" s="82" t="n"/>
      <c r="B1429" s="44" t="n"/>
      <c r="C1429" s="82" t="n"/>
      <c r="D1429" s="82" t="n"/>
      <c r="E1429" s="81" t="n"/>
      <c r="F1429" s="82" t="n"/>
      <c r="G1429" s="82" t="n"/>
      <c r="H1429" s="82" t="n"/>
      <c r="I1429" s="82" t="n"/>
      <c r="J1429" s="82" t="n"/>
      <c r="K1429" s="82" t="n"/>
      <c r="L1429" s="82" t="n"/>
      <c r="M1429" s="82" t="n"/>
      <c r="N1429" s="82" t="n"/>
      <c r="O1429" s="82" t="n"/>
      <c r="P1429" s="82" t="n"/>
      <c r="Q1429" s="82" t="n"/>
      <c r="R1429" s="82" t="n"/>
      <c r="S1429" s="82" t="n"/>
      <c r="T1429" s="82" t="n"/>
      <c r="U1429" s="82" t="n"/>
      <c r="V1429" s="82" t="n"/>
      <c r="W1429" s="82" t="n"/>
      <c r="X1429" s="82" t="n"/>
      <c r="Y1429" s="82" t="n"/>
      <c r="Z1429" s="82" t="n"/>
    </row>
    <row r="1430" ht="15.75" customHeight="1" s="83">
      <c r="A1430" s="82" t="n"/>
      <c r="B1430" s="44" t="n"/>
      <c r="C1430" s="82" t="n"/>
      <c r="D1430" s="82" t="n"/>
      <c r="E1430" s="81" t="n"/>
      <c r="F1430" s="82" t="n"/>
      <c r="G1430" s="82" t="n"/>
      <c r="H1430" s="82" t="n"/>
      <c r="I1430" s="82" t="n"/>
      <c r="J1430" s="82" t="n"/>
      <c r="K1430" s="82" t="n"/>
      <c r="L1430" s="82" t="n"/>
      <c r="M1430" s="82" t="n"/>
      <c r="N1430" s="82" t="n"/>
      <c r="O1430" s="82" t="n"/>
      <c r="P1430" s="82" t="n"/>
      <c r="Q1430" s="82" t="n"/>
      <c r="R1430" s="82" t="n"/>
      <c r="S1430" s="82" t="n"/>
      <c r="T1430" s="82" t="n"/>
      <c r="U1430" s="82" t="n"/>
      <c r="V1430" s="82" t="n"/>
      <c r="W1430" s="82" t="n"/>
      <c r="X1430" s="82" t="n"/>
      <c r="Y1430" s="82" t="n"/>
      <c r="Z1430" s="82" t="n"/>
    </row>
    <row r="1431" ht="15.75" customHeight="1" s="83">
      <c r="A1431" s="82" t="n"/>
      <c r="B1431" s="44" t="n"/>
      <c r="C1431" s="82" t="n"/>
      <c r="D1431" s="82" t="n"/>
      <c r="E1431" s="81" t="n"/>
      <c r="F1431" s="82" t="n"/>
      <c r="G1431" s="82" t="n"/>
      <c r="H1431" s="82" t="n"/>
      <c r="I1431" s="82" t="n"/>
      <c r="J1431" s="82" t="n"/>
      <c r="K1431" s="82" t="n"/>
      <c r="L1431" s="82" t="n"/>
      <c r="M1431" s="82" t="n"/>
      <c r="N1431" s="82" t="n"/>
      <c r="O1431" s="82" t="n"/>
      <c r="P1431" s="82" t="n"/>
      <c r="Q1431" s="82" t="n"/>
      <c r="R1431" s="82" t="n"/>
      <c r="S1431" s="82" t="n"/>
      <c r="T1431" s="82" t="n"/>
      <c r="U1431" s="82" t="n"/>
      <c r="V1431" s="82" t="n"/>
      <c r="W1431" s="82" t="n"/>
      <c r="X1431" s="82" t="n"/>
      <c r="Y1431" s="82" t="n"/>
      <c r="Z1431" s="82" t="n"/>
    </row>
    <row r="1432" ht="15.75" customHeight="1" s="83">
      <c r="A1432" s="82" t="n"/>
      <c r="B1432" s="44" t="n"/>
      <c r="C1432" s="82" t="n"/>
      <c r="D1432" s="82" t="n"/>
      <c r="E1432" s="81" t="n"/>
      <c r="F1432" s="82" t="n"/>
      <c r="G1432" s="82" t="n"/>
      <c r="H1432" s="82" t="n"/>
      <c r="I1432" s="82" t="n"/>
      <c r="J1432" s="82" t="n"/>
      <c r="K1432" s="82" t="n"/>
      <c r="L1432" s="82" t="n"/>
      <c r="M1432" s="82" t="n"/>
      <c r="N1432" s="82" t="n"/>
      <c r="O1432" s="82" t="n"/>
      <c r="P1432" s="82" t="n"/>
      <c r="Q1432" s="82" t="n"/>
      <c r="R1432" s="82" t="n"/>
      <c r="S1432" s="82" t="n"/>
      <c r="T1432" s="82" t="n"/>
      <c r="U1432" s="82" t="n"/>
      <c r="V1432" s="82" t="n"/>
      <c r="W1432" s="82" t="n"/>
      <c r="X1432" s="82" t="n"/>
      <c r="Y1432" s="82" t="n"/>
      <c r="Z1432" s="82" t="n"/>
    </row>
    <row r="1433" ht="15.75" customHeight="1" s="83">
      <c r="A1433" s="82" t="n"/>
      <c r="B1433" s="44" t="n"/>
      <c r="C1433" s="82" t="n"/>
      <c r="D1433" s="82" t="n"/>
      <c r="E1433" s="81" t="n"/>
      <c r="F1433" s="82" t="n"/>
      <c r="G1433" s="82" t="n"/>
      <c r="H1433" s="82" t="n"/>
      <c r="I1433" s="82" t="n"/>
      <c r="J1433" s="82" t="n"/>
      <c r="K1433" s="82" t="n"/>
      <c r="L1433" s="82" t="n"/>
      <c r="M1433" s="82" t="n"/>
      <c r="N1433" s="82" t="n"/>
      <c r="O1433" s="82" t="n"/>
      <c r="P1433" s="82" t="n"/>
      <c r="Q1433" s="82" t="n"/>
      <c r="R1433" s="82" t="n"/>
      <c r="S1433" s="82" t="n"/>
      <c r="T1433" s="82" t="n"/>
      <c r="U1433" s="82" t="n"/>
      <c r="V1433" s="82" t="n"/>
      <c r="W1433" s="82" t="n"/>
      <c r="X1433" s="82" t="n"/>
      <c r="Y1433" s="82" t="n"/>
      <c r="Z1433" s="82" t="n"/>
    </row>
    <row r="1434" ht="15.75" customHeight="1" s="83">
      <c r="A1434" s="82" t="n"/>
      <c r="B1434" s="44" t="n"/>
      <c r="C1434" s="82" t="n"/>
      <c r="D1434" s="82" t="n"/>
      <c r="E1434" s="81" t="n"/>
      <c r="F1434" s="82" t="n"/>
      <c r="G1434" s="82" t="n"/>
      <c r="H1434" s="82" t="n"/>
      <c r="I1434" s="82" t="n"/>
      <c r="J1434" s="82" t="n"/>
      <c r="K1434" s="82" t="n"/>
      <c r="L1434" s="82" t="n"/>
      <c r="M1434" s="82" t="n"/>
      <c r="N1434" s="82" t="n"/>
      <c r="O1434" s="82" t="n"/>
      <c r="P1434" s="82" t="n"/>
      <c r="Q1434" s="82" t="n"/>
      <c r="R1434" s="82" t="n"/>
      <c r="S1434" s="82" t="n"/>
      <c r="T1434" s="82" t="n"/>
      <c r="U1434" s="82" t="n"/>
      <c r="V1434" s="82" t="n"/>
      <c r="W1434" s="82" t="n"/>
      <c r="X1434" s="82" t="n"/>
      <c r="Y1434" s="82" t="n"/>
      <c r="Z1434" s="82" t="n"/>
    </row>
    <row r="1435" ht="15.75" customHeight="1" s="83">
      <c r="A1435" s="82" t="n"/>
      <c r="B1435" s="44" t="n"/>
      <c r="C1435" s="82" t="n"/>
      <c r="D1435" s="82" t="n"/>
      <c r="E1435" s="81" t="n"/>
      <c r="F1435" s="82" t="n"/>
      <c r="G1435" s="82" t="n"/>
      <c r="H1435" s="82" t="n"/>
      <c r="I1435" s="82" t="n"/>
      <c r="J1435" s="82" t="n"/>
      <c r="K1435" s="82" t="n"/>
      <c r="L1435" s="82" t="n"/>
      <c r="M1435" s="82" t="n"/>
      <c r="N1435" s="82" t="n"/>
      <c r="O1435" s="82" t="n"/>
      <c r="P1435" s="82" t="n"/>
      <c r="Q1435" s="82" t="n"/>
      <c r="R1435" s="82" t="n"/>
      <c r="S1435" s="82" t="n"/>
      <c r="T1435" s="82" t="n"/>
      <c r="U1435" s="82" t="n"/>
      <c r="V1435" s="82" t="n"/>
      <c r="W1435" s="82" t="n"/>
      <c r="X1435" s="82" t="n"/>
      <c r="Y1435" s="82" t="n"/>
      <c r="Z1435" s="82" t="n"/>
    </row>
    <row r="1436" ht="15.75" customHeight="1" s="83">
      <c r="A1436" s="82" t="n"/>
      <c r="B1436" s="44" t="n"/>
      <c r="C1436" s="82" t="n"/>
      <c r="D1436" s="82" t="n"/>
      <c r="E1436" s="81" t="n"/>
      <c r="F1436" s="82" t="n"/>
      <c r="G1436" s="82" t="n"/>
      <c r="H1436" s="82" t="n"/>
      <c r="I1436" s="82" t="n"/>
      <c r="J1436" s="82" t="n"/>
      <c r="K1436" s="82" t="n"/>
      <c r="L1436" s="82" t="n"/>
      <c r="M1436" s="82" t="n"/>
      <c r="N1436" s="82" t="n"/>
      <c r="O1436" s="82" t="n"/>
      <c r="P1436" s="82" t="n"/>
      <c r="Q1436" s="82" t="n"/>
      <c r="R1436" s="82" t="n"/>
      <c r="S1436" s="82" t="n"/>
      <c r="T1436" s="82" t="n"/>
      <c r="U1436" s="82" t="n"/>
      <c r="V1436" s="82" t="n"/>
      <c r="W1436" s="82" t="n"/>
      <c r="X1436" s="82" t="n"/>
      <c r="Y1436" s="82" t="n"/>
      <c r="Z1436" s="82" t="n"/>
    </row>
    <row r="1437" ht="15.75" customHeight="1" s="83">
      <c r="A1437" s="82" t="n"/>
      <c r="B1437" s="44" t="n"/>
      <c r="C1437" s="82" t="n"/>
      <c r="D1437" s="82" t="n"/>
      <c r="E1437" s="81" t="n"/>
      <c r="F1437" s="82" t="n"/>
      <c r="G1437" s="82" t="n"/>
      <c r="H1437" s="82" t="n"/>
      <c r="I1437" s="82" t="n"/>
      <c r="J1437" s="82" t="n"/>
      <c r="K1437" s="82" t="n"/>
      <c r="L1437" s="82" t="n"/>
      <c r="M1437" s="82" t="n"/>
      <c r="N1437" s="82" t="n"/>
      <c r="O1437" s="82" t="n"/>
      <c r="P1437" s="82" t="n"/>
      <c r="Q1437" s="82" t="n"/>
      <c r="R1437" s="82" t="n"/>
      <c r="S1437" s="82" t="n"/>
      <c r="T1437" s="82" t="n"/>
      <c r="U1437" s="82" t="n"/>
      <c r="V1437" s="82" t="n"/>
      <c r="W1437" s="82" t="n"/>
      <c r="X1437" s="82" t="n"/>
      <c r="Y1437" s="82" t="n"/>
      <c r="Z1437" s="82" t="n"/>
    </row>
    <row r="1438" ht="15.75" customHeight="1" s="83">
      <c r="A1438" s="82" t="n"/>
      <c r="B1438" s="44" t="n"/>
      <c r="C1438" s="82" t="n"/>
      <c r="D1438" s="82" t="n"/>
      <c r="E1438" s="81" t="n"/>
      <c r="F1438" s="82" t="n"/>
      <c r="G1438" s="82" t="n"/>
      <c r="H1438" s="82" t="n"/>
      <c r="I1438" s="82" t="n"/>
      <c r="J1438" s="82" t="n"/>
      <c r="K1438" s="82" t="n"/>
      <c r="L1438" s="82" t="n"/>
      <c r="M1438" s="82" t="n"/>
      <c r="N1438" s="82" t="n"/>
      <c r="O1438" s="82" t="n"/>
      <c r="P1438" s="82" t="n"/>
      <c r="Q1438" s="82" t="n"/>
      <c r="R1438" s="82" t="n"/>
      <c r="S1438" s="82" t="n"/>
      <c r="T1438" s="82" t="n"/>
      <c r="U1438" s="82" t="n"/>
      <c r="V1438" s="82" t="n"/>
      <c r="W1438" s="82" t="n"/>
      <c r="X1438" s="82" t="n"/>
      <c r="Y1438" s="82" t="n"/>
      <c r="Z1438" s="82" t="n"/>
    </row>
    <row r="1439" ht="15.75" customHeight="1" s="83">
      <c r="A1439" s="82" t="n"/>
      <c r="B1439" s="44" t="n"/>
      <c r="C1439" s="82" t="n"/>
      <c r="D1439" s="82" t="n"/>
      <c r="E1439" s="81" t="n"/>
      <c r="F1439" s="82" t="n"/>
      <c r="G1439" s="82" t="n"/>
      <c r="H1439" s="82" t="n"/>
      <c r="I1439" s="82" t="n"/>
      <c r="J1439" s="82" t="n"/>
      <c r="K1439" s="82" t="n"/>
      <c r="L1439" s="82" t="n"/>
      <c r="M1439" s="82" t="n"/>
      <c r="N1439" s="82" t="n"/>
      <c r="O1439" s="82" t="n"/>
      <c r="P1439" s="82" t="n"/>
      <c r="Q1439" s="82" t="n"/>
      <c r="R1439" s="82" t="n"/>
      <c r="S1439" s="82" t="n"/>
      <c r="T1439" s="82" t="n"/>
      <c r="U1439" s="82" t="n"/>
      <c r="V1439" s="82" t="n"/>
      <c r="W1439" s="82" t="n"/>
      <c r="X1439" s="82" t="n"/>
      <c r="Y1439" s="82" t="n"/>
      <c r="Z1439" s="82" t="n"/>
    </row>
    <row r="1440" ht="15.75" customHeight="1" s="83">
      <c r="A1440" s="82" t="n"/>
      <c r="B1440" s="44" t="n"/>
      <c r="C1440" s="82" t="n"/>
      <c r="D1440" s="82" t="n"/>
      <c r="E1440" s="81" t="n"/>
      <c r="F1440" s="82" t="n"/>
      <c r="G1440" s="82" t="n"/>
      <c r="H1440" s="82" t="n"/>
      <c r="I1440" s="82" t="n"/>
      <c r="J1440" s="82" t="n"/>
      <c r="K1440" s="82" t="n"/>
      <c r="L1440" s="82" t="n"/>
      <c r="M1440" s="82" t="n"/>
      <c r="N1440" s="82" t="n"/>
      <c r="O1440" s="82" t="n"/>
      <c r="P1440" s="82" t="n"/>
      <c r="Q1440" s="82" t="n"/>
      <c r="R1440" s="82" t="n"/>
      <c r="S1440" s="82" t="n"/>
      <c r="T1440" s="82" t="n"/>
      <c r="U1440" s="82" t="n"/>
      <c r="V1440" s="82" t="n"/>
      <c r="W1440" s="82" t="n"/>
      <c r="X1440" s="82" t="n"/>
      <c r="Y1440" s="82" t="n"/>
      <c r="Z1440" s="82" t="n"/>
    </row>
    <row r="1441" ht="15.75" customHeight="1" s="83">
      <c r="A1441" s="82" t="n"/>
      <c r="B1441" s="44" t="n"/>
      <c r="C1441" s="82" t="n"/>
      <c r="D1441" s="82" t="n"/>
      <c r="E1441" s="81" t="n"/>
      <c r="F1441" s="82" t="n"/>
      <c r="G1441" s="82" t="n"/>
      <c r="H1441" s="82" t="n"/>
      <c r="I1441" s="82" t="n"/>
      <c r="J1441" s="82" t="n"/>
      <c r="K1441" s="82" t="n"/>
      <c r="L1441" s="82" t="n"/>
      <c r="M1441" s="82" t="n"/>
      <c r="N1441" s="82" t="n"/>
      <c r="O1441" s="82" t="n"/>
      <c r="P1441" s="82" t="n"/>
      <c r="Q1441" s="82" t="n"/>
      <c r="R1441" s="82" t="n"/>
      <c r="S1441" s="82" t="n"/>
      <c r="T1441" s="82" t="n"/>
      <c r="U1441" s="82" t="n"/>
      <c r="V1441" s="82" t="n"/>
      <c r="W1441" s="82" t="n"/>
      <c r="X1441" s="82" t="n"/>
      <c r="Y1441" s="82" t="n"/>
      <c r="Z1441" s="82" t="n"/>
    </row>
    <row r="1442" ht="15.75" customHeight="1" s="83">
      <c r="A1442" s="82" t="n"/>
      <c r="B1442" s="44" t="n"/>
      <c r="C1442" s="82" t="n"/>
      <c r="D1442" s="82" t="n"/>
      <c r="E1442" s="81" t="n"/>
      <c r="F1442" s="82" t="n"/>
      <c r="G1442" s="82" t="n"/>
      <c r="H1442" s="82" t="n"/>
      <c r="I1442" s="82" t="n"/>
      <c r="J1442" s="82" t="n"/>
      <c r="K1442" s="82" t="n"/>
      <c r="L1442" s="82" t="n"/>
      <c r="M1442" s="82" t="n"/>
      <c r="N1442" s="82" t="n"/>
      <c r="O1442" s="82" t="n"/>
      <c r="P1442" s="82" t="n"/>
      <c r="Q1442" s="82" t="n"/>
      <c r="R1442" s="82" t="n"/>
      <c r="S1442" s="82" t="n"/>
      <c r="T1442" s="82" t="n"/>
      <c r="U1442" s="82" t="n"/>
      <c r="V1442" s="82" t="n"/>
      <c r="W1442" s="82" t="n"/>
      <c r="X1442" s="82" t="n"/>
      <c r="Y1442" s="82" t="n"/>
      <c r="Z1442" s="82" t="n"/>
    </row>
    <row r="1443" ht="15.75" customHeight="1" s="83">
      <c r="A1443" s="82" t="n"/>
      <c r="B1443" s="44" t="n"/>
      <c r="C1443" s="82" t="n"/>
      <c r="D1443" s="82" t="n"/>
      <c r="E1443" s="81" t="n"/>
      <c r="F1443" s="82" t="n"/>
      <c r="G1443" s="82" t="n"/>
      <c r="H1443" s="82" t="n"/>
      <c r="I1443" s="82" t="n"/>
      <c r="J1443" s="82" t="n"/>
      <c r="K1443" s="82" t="n"/>
      <c r="L1443" s="82" t="n"/>
      <c r="M1443" s="82" t="n"/>
      <c r="N1443" s="82" t="n"/>
      <c r="O1443" s="82" t="n"/>
      <c r="P1443" s="82" t="n"/>
      <c r="Q1443" s="82" t="n"/>
      <c r="R1443" s="82" t="n"/>
      <c r="S1443" s="82" t="n"/>
      <c r="T1443" s="82" t="n"/>
      <c r="U1443" s="82" t="n"/>
      <c r="V1443" s="82" t="n"/>
      <c r="W1443" s="82" t="n"/>
      <c r="X1443" s="82" t="n"/>
      <c r="Y1443" s="82" t="n"/>
      <c r="Z1443" s="82" t="n"/>
    </row>
    <row r="1444" ht="15.75" customHeight="1" s="83">
      <c r="A1444" s="82" t="n"/>
      <c r="B1444" s="44" t="n"/>
      <c r="C1444" s="82" t="n"/>
      <c r="D1444" s="82" t="n"/>
      <c r="E1444" s="81" t="n"/>
      <c r="F1444" s="82" t="n"/>
      <c r="G1444" s="82" t="n"/>
      <c r="H1444" s="82" t="n"/>
      <c r="I1444" s="82" t="n"/>
      <c r="J1444" s="82" t="n"/>
      <c r="K1444" s="82" t="n"/>
      <c r="L1444" s="82" t="n"/>
      <c r="M1444" s="82" t="n"/>
      <c r="N1444" s="82" t="n"/>
      <c r="O1444" s="82" t="n"/>
      <c r="P1444" s="82" t="n"/>
      <c r="Q1444" s="82" t="n"/>
      <c r="R1444" s="82" t="n"/>
      <c r="S1444" s="82" t="n"/>
      <c r="T1444" s="82" t="n"/>
      <c r="U1444" s="82" t="n"/>
      <c r="V1444" s="82" t="n"/>
      <c r="W1444" s="82" t="n"/>
      <c r="X1444" s="82" t="n"/>
      <c r="Y1444" s="82" t="n"/>
      <c r="Z1444" s="82" t="n"/>
    </row>
    <row r="1445" ht="15.75" customHeight="1" s="83">
      <c r="A1445" s="82" t="n"/>
      <c r="B1445" s="44" t="n"/>
      <c r="C1445" s="82" t="n"/>
      <c r="D1445" s="82" t="n"/>
      <c r="E1445" s="81" t="n"/>
      <c r="F1445" s="82" t="n"/>
      <c r="G1445" s="82" t="n"/>
      <c r="H1445" s="82" t="n"/>
      <c r="I1445" s="82" t="n"/>
      <c r="J1445" s="82" t="n"/>
      <c r="K1445" s="82" t="n"/>
      <c r="L1445" s="82" t="n"/>
      <c r="M1445" s="82" t="n"/>
      <c r="N1445" s="82" t="n"/>
      <c r="O1445" s="82" t="n"/>
      <c r="P1445" s="82" t="n"/>
      <c r="Q1445" s="82" t="n"/>
      <c r="R1445" s="82" t="n"/>
      <c r="S1445" s="82" t="n"/>
      <c r="T1445" s="82" t="n"/>
      <c r="U1445" s="82" t="n"/>
      <c r="V1445" s="82" t="n"/>
      <c r="W1445" s="82" t="n"/>
      <c r="X1445" s="82" t="n"/>
      <c r="Y1445" s="82" t="n"/>
      <c r="Z1445" s="82" t="n"/>
    </row>
    <row r="1446" ht="15.75" customHeight="1" s="83">
      <c r="A1446" s="82" t="n"/>
      <c r="B1446" s="44" t="n"/>
      <c r="C1446" s="82" t="n"/>
      <c r="D1446" s="82" t="n"/>
      <c r="E1446" s="81" t="n"/>
      <c r="F1446" s="82" t="n"/>
      <c r="G1446" s="82" t="n"/>
      <c r="H1446" s="82" t="n"/>
      <c r="I1446" s="82" t="n"/>
      <c r="J1446" s="82" t="n"/>
      <c r="K1446" s="82" t="n"/>
      <c r="L1446" s="82" t="n"/>
      <c r="M1446" s="82" t="n"/>
      <c r="N1446" s="82" t="n"/>
      <c r="O1446" s="82" t="n"/>
      <c r="P1446" s="82" t="n"/>
      <c r="Q1446" s="82" t="n"/>
      <c r="R1446" s="82" t="n"/>
      <c r="S1446" s="82" t="n"/>
      <c r="T1446" s="82" t="n"/>
      <c r="U1446" s="82" t="n"/>
      <c r="V1446" s="82" t="n"/>
      <c r="W1446" s="82" t="n"/>
      <c r="X1446" s="82" t="n"/>
      <c r="Y1446" s="82" t="n"/>
      <c r="Z1446" s="82" t="n"/>
    </row>
    <row r="1447" ht="15.75" customHeight="1" s="83">
      <c r="A1447" s="82" t="n"/>
      <c r="B1447" s="44" t="n"/>
      <c r="C1447" s="82" t="n"/>
      <c r="D1447" s="82" t="n"/>
      <c r="E1447" s="81" t="n"/>
      <c r="F1447" s="82" t="n"/>
      <c r="G1447" s="82" t="n"/>
      <c r="H1447" s="82" t="n"/>
      <c r="I1447" s="82" t="n"/>
      <c r="J1447" s="82" t="n"/>
      <c r="K1447" s="82" t="n"/>
      <c r="L1447" s="82" t="n"/>
      <c r="M1447" s="82" t="n"/>
      <c r="N1447" s="82" t="n"/>
      <c r="O1447" s="82" t="n"/>
      <c r="P1447" s="82" t="n"/>
      <c r="Q1447" s="82" t="n"/>
      <c r="R1447" s="82" t="n"/>
      <c r="S1447" s="82" t="n"/>
      <c r="T1447" s="82" t="n"/>
      <c r="U1447" s="82" t="n"/>
      <c r="V1447" s="82" t="n"/>
      <c r="W1447" s="82" t="n"/>
      <c r="X1447" s="82" t="n"/>
      <c r="Y1447" s="82" t="n"/>
      <c r="Z1447" s="82" t="n"/>
    </row>
    <row r="1448" ht="15.75" customHeight="1" s="83">
      <c r="A1448" s="82" t="n"/>
      <c r="B1448" s="44" t="n"/>
      <c r="C1448" s="82" t="n"/>
      <c r="D1448" s="82" t="n"/>
      <c r="E1448" s="81" t="n"/>
      <c r="F1448" s="82" t="n"/>
      <c r="G1448" s="82" t="n"/>
      <c r="H1448" s="82" t="n"/>
      <c r="I1448" s="82" t="n"/>
      <c r="J1448" s="82" t="n"/>
      <c r="K1448" s="82" t="n"/>
      <c r="L1448" s="82" t="n"/>
      <c r="M1448" s="82" t="n"/>
      <c r="N1448" s="82" t="n"/>
      <c r="O1448" s="82" t="n"/>
      <c r="P1448" s="82" t="n"/>
      <c r="Q1448" s="82" t="n"/>
      <c r="R1448" s="82" t="n"/>
      <c r="S1448" s="82" t="n"/>
      <c r="T1448" s="82" t="n"/>
      <c r="U1448" s="82" t="n"/>
      <c r="V1448" s="82" t="n"/>
      <c r="W1448" s="82" t="n"/>
      <c r="X1448" s="82" t="n"/>
      <c r="Y1448" s="82" t="n"/>
      <c r="Z1448" s="82" t="n"/>
    </row>
    <row r="1449" ht="15.75" customHeight="1" s="83">
      <c r="A1449" s="82" t="n"/>
      <c r="B1449" s="44" t="n"/>
      <c r="C1449" s="82" t="n"/>
      <c r="D1449" s="82" t="n"/>
      <c r="E1449" s="81" t="n"/>
      <c r="F1449" s="82" t="n"/>
      <c r="G1449" s="82" t="n"/>
      <c r="H1449" s="82" t="n"/>
      <c r="I1449" s="82" t="n"/>
      <c r="J1449" s="82" t="n"/>
      <c r="K1449" s="82" t="n"/>
      <c r="L1449" s="82" t="n"/>
      <c r="M1449" s="82" t="n"/>
      <c r="N1449" s="82" t="n"/>
      <c r="O1449" s="82" t="n"/>
      <c r="P1449" s="82" t="n"/>
      <c r="Q1449" s="82" t="n"/>
      <c r="R1449" s="82" t="n"/>
      <c r="S1449" s="82" t="n"/>
      <c r="T1449" s="82" t="n"/>
      <c r="U1449" s="82" t="n"/>
      <c r="V1449" s="82" t="n"/>
      <c r="W1449" s="82" t="n"/>
      <c r="X1449" s="82" t="n"/>
      <c r="Y1449" s="82" t="n"/>
      <c r="Z1449" s="82" t="n"/>
    </row>
    <row r="1450" ht="15.75" customHeight="1" s="83">
      <c r="A1450" s="82" t="n"/>
      <c r="B1450" s="44" t="n"/>
      <c r="C1450" s="82" t="n"/>
      <c r="D1450" s="82" t="n"/>
      <c r="E1450" s="81" t="n"/>
      <c r="F1450" s="82" t="n"/>
      <c r="G1450" s="82" t="n"/>
      <c r="H1450" s="82" t="n"/>
      <c r="I1450" s="82" t="n"/>
      <c r="J1450" s="82" t="n"/>
      <c r="K1450" s="82" t="n"/>
      <c r="L1450" s="82" t="n"/>
      <c r="M1450" s="82" t="n"/>
      <c r="N1450" s="82" t="n"/>
      <c r="O1450" s="82" t="n"/>
      <c r="P1450" s="82" t="n"/>
      <c r="Q1450" s="82" t="n"/>
      <c r="R1450" s="82" t="n"/>
      <c r="S1450" s="82" t="n"/>
      <c r="T1450" s="82" t="n"/>
      <c r="U1450" s="82" t="n"/>
      <c r="V1450" s="82" t="n"/>
      <c r="W1450" s="82" t="n"/>
      <c r="X1450" s="82" t="n"/>
      <c r="Y1450" s="82" t="n"/>
      <c r="Z1450" s="82" t="n"/>
    </row>
    <row r="1451" ht="15.75" customHeight="1" s="83">
      <c r="A1451" s="82" t="n"/>
      <c r="B1451" s="44" t="n"/>
      <c r="C1451" s="82" t="n"/>
      <c r="D1451" s="82" t="n"/>
      <c r="E1451" s="81" t="n"/>
      <c r="F1451" s="82" t="n"/>
      <c r="G1451" s="82" t="n"/>
      <c r="H1451" s="82" t="n"/>
      <c r="I1451" s="82" t="n"/>
      <c r="J1451" s="82" t="n"/>
      <c r="K1451" s="82" t="n"/>
      <c r="L1451" s="82" t="n"/>
      <c r="M1451" s="82" t="n"/>
      <c r="N1451" s="82" t="n"/>
      <c r="O1451" s="82" t="n"/>
      <c r="P1451" s="82" t="n"/>
      <c r="Q1451" s="82" t="n"/>
      <c r="R1451" s="82" t="n"/>
      <c r="S1451" s="82" t="n"/>
      <c r="T1451" s="82" t="n"/>
      <c r="U1451" s="82" t="n"/>
      <c r="V1451" s="82" t="n"/>
      <c r="W1451" s="82" t="n"/>
      <c r="X1451" s="82" t="n"/>
      <c r="Y1451" s="82" t="n"/>
      <c r="Z1451" s="82" t="n"/>
    </row>
    <row r="1452" ht="15.75" customHeight="1" s="83">
      <c r="A1452" s="82" t="n"/>
      <c r="B1452" s="44" t="n"/>
      <c r="C1452" s="82" t="n"/>
      <c r="D1452" s="82" t="n"/>
      <c r="E1452" s="81" t="n"/>
      <c r="F1452" s="82" t="n"/>
      <c r="G1452" s="82" t="n"/>
      <c r="H1452" s="82" t="n"/>
      <c r="I1452" s="82" t="n"/>
      <c r="J1452" s="82" t="n"/>
      <c r="K1452" s="82" t="n"/>
      <c r="L1452" s="82" t="n"/>
      <c r="M1452" s="82" t="n"/>
      <c r="N1452" s="82" t="n"/>
      <c r="O1452" s="82" t="n"/>
      <c r="P1452" s="82" t="n"/>
      <c r="Q1452" s="82" t="n"/>
      <c r="R1452" s="82" t="n"/>
      <c r="S1452" s="82" t="n"/>
      <c r="T1452" s="82" t="n"/>
      <c r="U1452" s="82" t="n"/>
      <c r="V1452" s="82" t="n"/>
      <c r="W1452" s="82" t="n"/>
      <c r="X1452" s="82" t="n"/>
      <c r="Y1452" s="82" t="n"/>
      <c r="Z1452" s="82" t="n"/>
    </row>
    <row r="1453" ht="15.75" customHeight="1" s="83">
      <c r="A1453" s="82" t="n"/>
      <c r="B1453" s="44" t="n"/>
      <c r="C1453" s="82" t="n"/>
      <c r="D1453" s="82" t="n"/>
      <c r="E1453" s="81" t="n"/>
      <c r="F1453" s="82" t="n"/>
      <c r="G1453" s="82" t="n"/>
      <c r="H1453" s="82" t="n"/>
      <c r="I1453" s="82" t="n"/>
      <c r="J1453" s="82" t="n"/>
      <c r="K1453" s="82" t="n"/>
      <c r="L1453" s="82" t="n"/>
      <c r="M1453" s="82" t="n"/>
      <c r="N1453" s="82" t="n"/>
      <c r="O1453" s="82" t="n"/>
      <c r="P1453" s="82" t="n"/>
      <c r="Q1453" s="82" t="n"/>
      <c r="R1453" s="82" t="n"/>
      <c r="S1453" s="82" t="n"/>
      <c r="T1453" s="82" t="n"/>
      <c r="U1453" s="82" t="n"/>
      <c r="V1453" s="82" t="n"/>
      <c r="W1453" s="82" t="n"/>
      <c r="X1453" s="82" t="n"/>
      <c r="Y1453" s="82" t="n"/>
      <c r="Z1453" s="82" t="n"/>
    </row>
    <row r="1454" ht="15.75" customHeight="1" s="83">
      <c r="A1454" s="82" t="n"/>
      <c r="B1454" s="44" t="n"/>
      <c r="C1454" s="82" t="n"/>
      <c r="D1454" s="82" t="n"/>
      <c r="E1454" s="81" t="n"/>
      <c r="F1454" s="82" t="n"/>
      <c r="G1454" s="82" t="n"/>
      <c r="H1454" s="82" t="n"/>
      <c r="I1454" s="82" t="n"/>
      <c r="J1454" s="82" t="n"/>
      <c r="K1454" s="82" t="n"/>
      <c r="L1454" s="82" t="n"/>
      <c r="M1454" s="82" t="n"/>
      <c r="N1454" s="82" t="n"/>
      <c r="O1454" s="82" t="n"/>
      <c r="P1454" s="82" t="n"/>
      <c r="Q1454" s="82" t="n"/>
      <c r="R1454" s="82" t="n"/>
      <c r="S1454" s="82" t="n"/>
      <c r="T1454" s="82" t="n"/>
      <c r="U1454" s="82" t="n"/>
      <c r="V1454" s="82" t="n"/>
      <c r="W1454" s="82" t="n"/>
      <c r="X1454" s="82" t="n"/>
      <c r="Y1454" s="82" t="n"/>
      <c r="Z1454" s="82" t="n"/>
    </row>
    <row r="1455" ht="15.75" customHeight="1" s="83">
      <c r="A1455" s="82" t="n"/>
      <c r="B1455" s="44" t="n"/>
      <c r="C1455" s="82" t="n"/>
      <c r="D1455" s="82" t="n"/>
      <c r="E1455" s="81" t="n"/>
      <c r="F1455" s="82" t="n"/>
      <c r="G1455" s="82" t="n"/>
      <c r="H1455" s="82" t="n"/>
      <c r="I1455" s="82" t="n"/>
      <c r="J1455" s="82" t="n"/>
      <c r="K1455" s="82" t="n"/>
      <c r="L1455" s="82" t="n"/>
      <c r="M1455" s="82" t="n"/>
      <c r="N1455" s="82" t="n"/>
      <c r="O1455" s="82" t="n"/>
      <c r="P1455" s="82" t="n"/>
      <c r="Q1455" s="82" t="n"/>
      <c r="R1455" s="82" t="n"/>
      <c r="S1455" s="82" t="n"/>
      <c r="T1455" s="82" t="n"/>
      <c r="U1455" s="82" t="n"/>
      <c r="V1455" s="82" t="n"/>
      <c r="W1455" s="82" t="n"/>
      <c r="X1455" s="82" t="n"/>
      <c r="Y1455" s="82" t="n"/>
      <c r="Z1455" s="82" t="n"/>
    </row>
    <row r="1456" ht="15.75" customHeight="1" s="83">
      <c r="A1456" s="82" t="n"/>
      <c r="B1456" s="44" t="n"/>
      <c r="C1456" s="82" t="n"/>
      <c r="D1456" s="82" t="n"/>
      <c r="E1456" s="81" t="n"/>
      <c r="F1456" s="82" t="n"/>
      <c r="G1456" s="82" t="n"/>
      <c r="H1456" s="82" t="n"/>
      <c r="I1456" s="82" t="n"/>
      <c r="J1456" s="82" t="n"/>
      <c r="K1456" s="82" t="n"/>
      <c r="L1456" s="82" t="n"/>
      <c r="M1456" s="82" t="n"/>
      <c r="N1456" s="82" t="n"/>
      <c r="O1456" s="82" t="n"/>
      <c r="P1456" s="82" t="n"/>
      <c r="Q1456" s="82" t="n"/>
      <c r="R1456" s="82" t="n"/>
      <c r="S1456" s="82" t="n"/>
      <c r="T1456" s="82" t="n"/>
      <c r="U1456" s="82" t="n"/>
      <c r="V1456" s="82" t="n"/>
      <c r="W1456" s="82" t="n"/>
      <c r="X1456" s="82" t="n"/>
      <c r="Y1456" s="82" t="n"/>
      <c r="Z1456" s="82" t="n"/>
    </row>
    <row r="1457" ht="15.75" customHeight="1" s="83">
      <c r="A1457" s="82" t="n"/>
      <c r="B1457" s="44" t="n"/>
      <c r="C1457" s="82" t="n"/>
      <c r="D1457" s="82" t="n"/>
      <c r="E1457" s="81" t="n"/>
      <c r="F1457" s="82" t="n"/>
      <c r="G1457" s="82" t="n"/>
      <c r="H1457" s="82" t="n"/>
      <c r="I1457" s="82" t="n"/>
      <c r="J1457" s="82" t="n"/>
      <c r="K1457" s="82" t="n"/>
      <c r="L1457" s="82" t="n"/>
      <c r="M1457" s="82" t="n"/>
      <c r="N1457" s="82" t="n"/>
      <c r="O1457" s="82" t="n"/>
      <c r="P1457" s="82" t="n"/>
      <c r="Q1457" s="82" t="n"/>
      <c r="R1457" s="82" t="n"/>
      <c r="S1457" s="82" t="n"/>
      <c r="T1457" s="82" t="n"/>
      <c r="U1457" s="82" t="n"/>
      <c r="V1457" s="82" t="n"/>
      <c r="W1457" s="82" t="n"/>
      <c r="X1457" s="82" t="n"/>
      <c r="Y1457" s="82" t="n"/>
      <c r="Z1457" s="82" t="n"/>
    </row>
    <row r="1458" ht="15.75" customHeight="1" s="83">
      <c r="A1458" s="82" t="n"/>
      <c r="B1458" s="44" t="n"/>
      <c r="C1458" s="82" t="n"/>
      <c r="D1458" s="82" t="n"/>
      <c r="E1458" s="81" t="n"/>
      <c r="F1458" s="82" t="n"/>
      <c r="G1458" s="82" t="n"/>
      <c r="H1458" s="82" t="n"/>
      <c r="I1458" s="82" t="n"/>
      <c r="J1458" s="82" t="n"/>
      <c r="K1458" s="82" t="n"/>
      <c r="L1458" s="82" t="n"/>
      <c r="M1458" s="82" t="n"/>
      <c r="N1458" s="82" t="n"/>
      <c r="O1458" s="82" t="n"/>
      <c r="P1458" s="82" t="n"/>
      <c r="Q1458" s="82" t="n"/>
      <c r="R1458" s="82" t="n"/>
      <c r="S1458" s="82" t="n"/>
      <c r="T1458" s="82" t="n"/>
      <c r="U1458" s="82" t="n"/>
      <c r="V1458" s="82" t="n"/>
      <c r="W1458" s="82" t="n"/>
      <c r="X1458" s="82" t="n"/>
      <c r="Y1458" s="82" t="n"/>
      <c r="Z1458" s="82" t="n"/>
    </row>
    <row r="1459" ht="15.75" customHeight="1" s="83">
      <c r="A1459" s="82" t="n"/>
      <c r="B1459" s="44" t="n"/>
      <c r="C1459" s="82" t="n"/>
      <c r="D1459" s="82" t="n"/>
      <c r="E1459" s="81" t="n"/>
      <c r="F1459" s="82" t="n"/>
      <c r="G1459" s="82" t="n"/>
      <c r="H1459" s="82" t="n"/>
      <c r="I1459" s="82" t="n"/>
      <c r="J1459" s="82" t="n"/>
      <c r="K1459" s="82" t="n"/>
      <c r="L1459" s="82" t="n"/>
      <c r="M1459" s="82" t="n"/>
      <c r="N1459" s="82" t="n"/>
      <c r="O1459" s="82" t="n"/>
      <c r="P1459" s="82" t="n"/>
      <c r="Q1459" s="82" t="n"/>
      <c r="R1459" s="82" t="n"/>
      <c r="S1459" s="82" t="n"/>
      <c r="T1459" s="82" t="n"/>
      <c r="U1459" s="82" t="n"/>
      <c r="V1459" s="82" t="n"/>
      <c r="W1459" s="82" t="n"/>
      <c r="X1459" s="82" t="n"/>
      <c r="Y1459" s="82" t="n"/>
      <c r="Z1459" s="82" t="n"/>
    </row>
    <row r="1460" ht="15.75" customHeight="1" s="83">
      <c r="A1460" s="82" t="n"/>
      <c r="B1460" s="44" t="n"/>
      <c r="C1460" s="82" t="n"/>
      <c r="D1460" s="82" t="n"/>
      <c r="E1460" s="81" t="n"/>
      <c r="F1460" s="82" t="n"/>
      <c r="G1460" s="82" t="n"/>
      <c r="H1460" s="82" t="n"/>
      <c r="I1460" s="82" t="n"/>
      <c r="J1460" s="82" t="n"/>
      <c r="K1460" s="82" t="n"/>
      <c r="L1460" s="82" t="n"/>
      <c r="M1460" s="82" t="n"/>
      <c r="N1460" s="82" t="n"/>
      <c r="O1460" s="82" t="n"/>
      <c r="P1460" s="82" t="n"/>
      <c r="Q1460" s="82" t="n"/>
      <c r="R1460" s="82" t="n"/>
      <c r="S1460" s="82" t="n"/>
      <c r="T1460" s="82" t="n"/>
      <c r="U1460" s="82" t="n"/>
      <c r="V1460" s="82" t="n"/>
      <c r="W1460" s="82" t="n"/>
      <c r="X1460" s="82" t="n"/>
      <c r="Y1460" s="82" t="n"/>
      <c r="Z1460" s="82" t="n"/>
    </row>
    <row r="1461" ht="15.75" customHeight="1" s="83">
      <c r="A1461" s="82" t="n"/>
      <c r="B1461" s="44" t="n"/>
      <c r="C1461" s="82" t="n"/>
      <c r="D1461" s="82" t="n"/>
      <c r="E1461" s="81" t="n"/>
      <c r="F1461" s="82" t="n"/>
      <c r="G1461" s="82" t="n"/>
      <c r="H1461" s="82" t="n"/>
      <c r="I1461" s="82" t="n"/>
      <c r="J1461" s="82" t="n"/>
      <c r="K1461" s="82" t="n"/>
      <c r="L1461" s="82" t="n"/>
      <c r="M1461" s="82" t="n"/>
      <c r="N1461" s="82" t="n"/>
      <c r="O1461" s="82" t="n"/>
      <c r="P1461" s="82" t="n"/>
      <c r="Q1461" s="82" t="n"/>
      <c r="R1461" s="82" t="n"/>
      <c r="S1461" s="82" t="n"/>
      <c r="T1461" s="82" t="n"/>
      <c r="U1461" s="82" t="n"/>
      <c r="V1461" s="82" t="n"/>
      <c r="W1461" s="82" t="n"/>
      <c r="X1461" s="82" t="n"/>
      <c r="Y1461" s="82" t="n"/>
      <c r="Z1461" s="82" t="n"/>
    </row>
    <row r="1462" ht="15.75" customHeight="1" s="83">
      <c r="A1462" s="82" t="n"/>
      <c r="B1462" s="44" t="n"/>
      <c r="C1462" s="82" t="n"/>
      <c r="D1462" s="82" t="n"/>
      <c r="E1462" s="81" t="n"/>
      <c r="F1462" s="82" t="n"/>
      <c r="G1462" s="82" t="n"/>
      <c r="H1462" s="82" t="n"/>
      <c r="I1462" s="82" t="n"/>
      <c r="J1462" s="82" t="n"/>
      <c r="K1462" s="82" t="n"/>
      <c r="L1462" s="82" t="n"/>
      <c r="M1462" s="82" t="n"/>
      <c r="N1462" s="82" t="n"/>
      <c r="O1462" s="82" t="n"/>
      <c r="P1462" s="82" t="n"/>
      <c r="Q1462" s="82" t="n"/>
      <c r="R1462" s="82" t="n"/>
      <c r="S1462" s="82" t="n"/>
      <c r="T1462" s="82" t="n"/>
      <c r="U1462" s="82" t="n"/>
      <c r="V1462" s="82" t="n"/>
      <c r="W1462" s="82" t="n"/>
      <c r="X1462" s="82" t="n"/>
      <c r="Y1462" s="82" t="n"/>
      <c r="Z1462" s="82" t="n"/>
    </row>
    <row r="1463" ht="15.75" customHeight="1" s="83">
      <c r="A1463" s="82" t="n"/>
      <c r="B1463" s="44" t="n"/>
      <c r="C1463" s="82" t="n"/>
      <c r="D1463" s="82" t="n"/>
      <c r="E1463" s="81" t="n"/>
      <c r="F1463" s="82" t="n"/>
      <c r="G1463" s="82" t="n"/>
      <c r="H1463" s="82" t="n"/>
      <c r="I1463" s="82" t="n"/>
      <c r="J1463" s="82" t="n"/>
      <c r="K1463" s="82" t="n"/>
      <c r="L1463" s="82" t="n"/>
      <c r="M1463" s="82" t="n"/>
      <c r="N1463" s="82" t="n"/>
      <c r="O1463" s="82" t="n"/>
      <c r="P1463" s="82" t="n"/>
      <c r="Q1463" s="82" t="n"/>
      <c r="R1463" s="82" t="n"/>
      <c r="S1463" s="82" t="n"/>
      <c r="T1463" s="82" t="n"/>
      <c r="U1463" s="82" t="n"/>
      <c r="V1463" s="82" t="n"/>
      <c r="W1463" s="82" t="n"/>
      <c r="X1463" s="82" t="n"/>
      <c r="Y1463" s="82" t="n"/>
      <c r="Z1463" s="82" t="n"/>
    </row>
    <row r="1464" ht="15.75" customHeight="1" s="83">
      <c r="A1464" s="82" t="n"/>
      <c r="B1464" s="44" t="n"/>
      <c r="C1464" s="82" t="n"/>
      <c r="D1464" s="82" t="n"/>
      <c r="E1464" s="81" t="n"/>
      <c r="F1464" s="82" t="n"/>
      <c r="G1464" s="82" t="n"/>
      <c r="H1464" s="82" t="n"/>
      <c r="I1464" s="82" t="n"/>
      <c r="J1464" s="82" t="n"/>
      <c r="K1464" s="82" t="n"/>
      <c r="L1464" s="82" t="n"/>
      <c r="M1464" s="82" t="n"/>
      <c r="N1464" s="82" t="n"/>
      <c r="O1464" s="82" t="n"/>
      <c r="P1464" s="82" t="n"/>
      <c r="Q1464" s="82" t="n"/>
      <c r="R1464" s="82" t="n"/>
      <c r="S1464" s="82" t="n"/>
      <c r="T1464" s="82" t="n"/>
      <c r="U1464" s="82" t="n"/>
      <c r="V1464" s="82" t="n"/>
      <c r="W1464" s="82" t="n"/>
      <c r="X1464" s="82" t="n"/>
      <c r="Y1464" s="82" t="n"/>
      <c r="Z1464" s="82" t="n"/>
    </row>
    <row r="1465" ht="15.75" customHeight="1" s="83">
      <c r="A1465" s="82" t="n"/>
      <c r="B1465" s="44" t="n"/>
      <c r="C1465" s="82" t="n"/>
      <c r="D1465" s="82" t="n"/>
      <c r="E1465" s="81" t="n"/>
      <c r="F1465" s="82" t="n"/>
      <c r="G1465" s="82" t="n"/>
      <c r="H1465" s="82" t="n"/>
      <c r="I1465" s="82" t="n"/>
      <c r="J1465" s="82" t="n"/>
      <c r="K1465" s="82" t="n"/>
      <c r="L1465" s="82" t="n"/>
      <c r="M1465" s="82" t="n"/>
      <c r="N1465" s="82" t="n"/>
      <c r="O1465" s="82" t="n"/>
      <c r="P1465" s="82" t="n"/>
      <c r="Q1465" s="82" t="n"/>
      <c r="R1465" s="82" t="n"/>
      <c r="S1465" s="82" t="n"/>
      <c r="T1465" s="82" t="n"/>
      <c r="U1465" s="82" t="n"/>
      <c r="V1465" s="82" t="n"/>
      <c r="W1465" s="82" t="n"/>
      <c r="X1465" s="82" t="n"/>
      <c r="Y1465" s="82" t="n"/>
      <c r="Z1465" s="82" t="n"/>
    </row>
    <row r="1466" ht="15.75" customHeight="1" s="83">
      <c r="A1466" s="82" t="n"/>
      <c r="B1466" s="44" t="n"/>
      <c r="C1466" s="82" t="n"/>
      <c r="D1466" s="82" t="n"/>
      <c r="E1466" s="81" t="n"/>
      <c r="F1466" s="82" t="n"/>
      <c r="G1466" s="82" t="n"/>
      <c r="H1466" s="82" t="n"/>
      <c r="I1466" s="82" t="n"/>
      <c r="J1466" s="82" t="n"/>
      <c r="K1466" s="82" t="n"/>
      <c r="L1466" s="82" t="n"/>
      <c r="M1466" s="82" t="n"/>
      <c r="N1466" s="82" t="n"/>
      <c r="O1466" s="82" t="n"/>
      <c r="P1466" s="82" t="n"/>
      <c r="Q1466" s="82" t="n"/>
      <c r="R1466" s="82" t="n"/>
      <c r="S1466" s="82" t="n"/>
      <c r="T1466" s="82" t="n"/>
      <c r="U1466" s="82" t="n"/>
      <c r="V1466" s="82" t="n"/>
      <c r="W1466" s="82" t="n"/>
      <c r="X1466" s="82" t="n"/>
      <c r="Y1466" s="82" t="n"/>
      <c r="Z1466" s="82" t="n"/>
    </row>
    <row r="1467" ht="15.75" customHeight="1" s="83">
      <c r="A1467" s="82" t="n"/>
      <c r="B1467" s="44" t="n"/>
      <c r="C1467" s="82" t="n"/>
      <c r="D1467" s="82" t="n"/>
      <c r="E1467" s="81" t="n"/>
      <c r="F1467" s="82" t="n"/>
      <c r="G1467" s="82" t="n"/>
      <c r="H1467" s="82" t="n"/>
      <c r="I1467" s="82" t="n"/>
      <c r="J1467" s="82" t="n"/>
      <c r="K1467" s="82" t="n"/>
      <c r="L1467" s="82" t="n"/>
      <c r="M1467" s="82" t="n"/>
      <c r="N1467" s="82" t="n"/>
      <c r="O1467" s="82" t="n"/>
      <c r="P1467" s="82" t="n"/>
      <c r="Q1467" s="82" t="n"/>
      <c r="R1467" s="82" t="n"/>
      <c r="S1467" s="82" t="n"/>
      <c r="T1467" s="82" t="n"/>
      <c r="U1467" s="82" t="n"/>
      <c r="V1467" s="82" t="n"/>
      <c r="W1467" s="82" t="n"/>
      <c r="X1467" s="82" t="n"/>
      <c r="Y1467" s="82" t="n"/>
      <c r="Z1467" s="82" t="n"/>
    </row>
    <row r="1468" ht="15.75" customHeight="1" s="83">
      <c r="A1468" s="82" t="n"/>
      <c r="B1468" s="44" t="n"/>
      <c r="C1468" s="82" t="n"/>
      <c r="D1468" s="82" t="n"/>
      <c r="E1468" s="81" t="n"/>
      <c r="F1468" s="82" t="n"/>
      <c r="G1468" s="82" t="n"/>
      <c r="H1468" s="82" t="n"/>
      <c r="I1468" s="82" t="n"/>
      <c r="J1468" s="82" t="n"/>
      <c r="K1468" s="82" t="n"/>
      <c r="L1468" s="82" t="n"/>
      <c r="M1468" s="82" t="n"/>
      <c r="N1468" s="82" t="n"/>
      <c r="O1468" s="82" t="n"/>
      <c r="P1468" s="82" t="n"/>
      <c r="Q1468" s="82" t="n"/>
      <c r="R1468" s="82" t="n"/>
      <c r="S1468" s="82" t="n"/>
      <c r="T1468" s="82" t="n"/>
      <c r="U1468" s="82" t="n"/>
      <c r="V1468" s="82" t="n"/>
      <c r="W1468" s="82" t="n"/>
      <c r="X1468" s="82" t="n"/>
      <c r="Y1468" s="82" t="n"/>
      <c r="Z1468" s="82" t="n"/>
    </row>
    <row r="1469" ht="15.75" customHeight="1" s="83">
      <c r="A1469" s="82" t="n"/>
      <c r="B1469" s="44" t="n"/>
      <c r="C1469" s="82" t="n"/>
      <c r="D1469" s="82" t="n"/>
      <c r="E1469" s="81" t="n"/>
      <c r="F1469" s="82" t="n"/>
      <c r="G1469" s="82" t="n"/>
      <c r="H1469" s="82" t="n"/>
      <c r="I1469" s="82" t="n"/>
      <c r="J1469" s="82" t="n"/>
      <c r="K1469" s="82" t="n"/>
      <c r="L1469" s="82" t="n"/>
      <c r="M1469" s="82" t="n"/>
      <c r="N1469" s="82" t="n"/>
      <c r="O1469" s="82" t="n"/>
      <c r="P1469" s="82" t="n"/>
      <c r="Q1469" s="82" t="n"/>
      <c r="R1469" s="82" t="n"/>
      <c r="S1469" s="82" t="n"/>
      <c r="T1469" s="82" t="n"/>
      <c r="U1469" s="82" t="n"/>
      <c r="V1469" s="82" t="n"/>
      <c r="W1469" s="82" t="n"/>
      <c r="X1469" s="82" t="n"/>
      <c r="Y1469" s="82" t="n"/>
      <c r="Z1469" s="82" t="n"/>
    </row>
    <row r="1470" ht="15.75" customHeight="1" s="83">
      <c r="A1470" s="82" t="n"/>
      <c r="B1470" s="44" t="n"/>
      <c r="C1470" s="82" t="n"/>
      <c r="D1470" s="82" t="n"/>
      <c r="E1470" s="81" t="n"/>
      <c r="F1470" s="82" t="n"/>
      <c r="G1470" s="82" t="n"/>
      <c r="H1470" s="82" t="n"/>
      <c r="I1470" s="82" t="n"/>
      <c r="J1470" s="82" t="n"/>
      <c r="K1470" s="82" t="n"/>
      <c r="L1470" s="82" t="n"/>
      <c r="M1470" s="82" t="n"/>
      <c r="N1470" s="82" t="n"/>
      <c r="O1470" s="82" t="n"/>
      <c r="P1470" s="82" t="n"/>
      <c r="Q1470" s="82" t="n"/>
      <c r="R1470" s="82" t="n"/>
      <c r="S1470" s="82" t="n"/>
      <c r="T1470" s="82" t="n"/>
      <c r="U1470" s="82" t="n"/>
      <c r="V1470" s="82" t="n"/>
      <c r="W1470" s="82" t="n"/>
      <c r="X1470" s="82" t="n"/>
      <c r="Y1470" s="82" t="n"/>
      <c r="Z1470" s="82" t="n"/>
    </row>
    <row r="1471" ht="15.75" customHeight="1" s="83">
      <c r="A1471" s="82" t="n"/>
      <c r="B1471" s="44" t="n"/>
      <c r="C1471" s="82" t="n"/>
      <c r="D1471" s="82" t="n"/>
      <c r="E1471" s="81" t="n"/>
      <c r="F1471" s="82" t="n"/>
      <c r="G1471" s="82" t="n"/>
      <c r="H1471" s="82" t="n"/>
      <c r="I1471" s="82" t="n"/>
      <c r="J1471" s="82" t="n"/>
      <c r="K1471" s="82" t="n"/>
      <c r="L1471" s="82" t="n"/>
      <c r="M1471" s="82" t="n"/>
      <c r="N1471" s="82" t="n"/>
      <c r="O1471" s="82" t="n"/>
      <c r="P1471" s="82" t="n"/>
      <c r="Q1471" s="82" t="n"/>
      <c r="R1471" s="82" t="n"/>
      <c r="S1471" s="82" t="n"/>
      <c r="T1471" s="82" t="n"/>
      <c r="U1471" s="82" t="n"/>
      <c r="V1471" s="82" t="n"/>
      <c r="W1471" s="82" t="n"/>
      <c r="X1471" s="82" t="n"/>
      <c r="Y1471" s="82" t="n"/>
      <c r="Z1471" s="82" t="n"/>
    </row>
    <row r="1472" ht="15.75" customHeight="1" s="83">
      <c r="A1472" s="82" t="n"/>
      <c r="B1472" s="44" t="n"/>
      <c r="C1472" s="82" t="n"/>
      <c r="D1472" s="82" t="n"/>
      <c r="E1472" s="81" t="n"/>
      <c r="F1472" s="82" t="n"/>
      <c r="G1472" s="82" t="n"/>
      <c r="H1472" s="82" t="n"/>
      <c r="I1472" s="82" t="n"/>
      <c r="J1472" s="82" t="n"/>
      <c r="K1472" s="82" t="n"/>
      <c r="L1472" s="82" t="n"/>
      <c r="M1472" s="82" t="n"/>
      <c r="N1472" s="82" t="n"/>
      <c r="O1472" s="82" t="n"/>
      <c r="P1472" s="82" t="n"/>
      <c r="Q1472" s="82" t="n"/>
      <c r="R1472" s="82" t="n"/>
      <c r="S1472" s="82" t="n"/>
      <c r="T1472" s="82" t="n"/>
      <c r="U1472" s="82" t="n"/>
      <c r="V1472" s="82" t="n"/>
      <c r="W1472" s="82" t="n"/>
      <c r="X1472" s="82" t="n"/>
      <c r="Y1472" s="82" t="n"/>
      <c r="Z1472" s="82" t="n"/>
    </row>
    <row r="1473" ht="15.75" customHeight="1" s="83">
      <c r="A1473" s="82" t="n"/>
      <c r="B1473" s="44" t="n"/>
      <c r="C1473" s="82" t="n"/>
      <c r="D1473" s="82" t="n"/>
      <c r="E1473" s="81" t="n"/>
      <c r="F1473" s="82" t="n"/>
      <c r="G1473" s="82" t="n"/>
      <c r="H1473" s="82" t="n"/>
      <c r="I1473" s="82" t="n"/>
      <c r="J1473" s="82" t="n"/>
      <c r="K1473" s="82" t="n"/>
      <c r="L1473" s="82" t="n"/>
      <c r="M1473" s="82" t="n"/>
      <c r="N1473" s="82" t="n"/>
      <c r="O1473" s="82" t="n"/>
      <c r="P1473" s="82" t="n"/>
      <c r="Q1473" s="82" t="n"/>
      <c r="R1473" s="82" t="n"/>
      <c r="S1473" s="82" t="n"/>
      <c r="T1473" s="82" t="n"/>
      <c r="U1473" s="82" t="n"/>
      <c r="V1473" s="82" t="n"/>
      <c r="W1473" s="82" t="n"/>
      <c r="X1473" s="82" t="n"/>
      <c r="Y1473" s="82" t="n"/>
      <c r="Z1473" s="82" t="n"/>
    </row>
    <row r="1474" ht="15.75" customHeight="1" s="83">
      <c r="A1474" s="82" t="n"/>
      <c r="B1474" s="44" t="n"/>
      <c r="C1474" s="82" t="n"/>
      <c r="D1474" s="82" t="n"/>
      <c r="E1474" s="81" t="n"/>
      <c r="F1474" s="82" t="n"/>
      <c r="G1474" s="82" t="n"/>
      <c r="H1474" s="82" t="n"/>
      <c r="I1474" s="82" t="n"/>
      <c r="J1474" s="82" t="n"/>
      <c r="K1474" s="82" t="n"/>
      <c r="L1474" s="82" t="n"/>
      <c r="M1474" s="82" t="n"/>
      <c r="N1474" s="82" t="n"/>
      <c r="O1474" s="82" t="n"/>
      <c r="P1474" s="82" t="n"/>
      <c r="Q1474" s="82" t="n"/>
      <c r="R1474" s="82" t="n"/>
      <c r="S1474" s="82" t="n"/>
      <c r="T1474" s="82" t="n"/>
      <c r="U1474" s="82" t="n"/>
      <c r="V1474" s="82" t="n"/>
      <c r="W1474" s="82" t="n"/>
      <c r="X1474" s="82" t="n"/>
      <c r="Y1474" s="82" t="n"/>
      <c r="Z1474" s="82" t="n"/>
    </row>
    <row r="1475" ht="15.75" customHeight="1" s="83">
      <c r="A1475" s="82" t="n"/>
      <c r="B1475" s="44" t="n"/>
      <c r="C1475" s="82" t="n"/>
      <c r="D1475" s="82" t="n"/>
      <c r="E1475" s="81" t="n"/>
      <c r="F1475" s="82" t="n"/>
      <c r="G1475" s="82" t="n"/>
      <c r="H1475" s="82" t="n"/>
      <c r="I1475" s="82" t="n"/>
      <c r="J1475" s="82" t="n"/>
      <c r="K1475" s="82" t="n"/>
      <c r="L1475" s="82" t="n"/>
      <c r="M1475" s="82" t="n"/>
      <c r="N1475" s="82" t="n"/>
      <c r="O1475" s="82" t="n"/>
      <c r="P1475" s="82" t="n"/>
      <c r="Q1475" s="82" t="n"/>
      <c r="R1475" s="82" t="n"/>
      <c r="S1475" s="82" t="n"/>
      <c r="T1475" s="82" t="n"/>
      <c r="U1475" s="82" t="n"/>
      <c r="V1475" s="82" t="n"/>
      <c r="W1475" s="82" t="n"/>
      <c r="X1475" s="82" t="n"/>
      <c r="Y1475" s="82" t="n"/>
      <c r="Z1475" s="82" t="n"/>
    </row>
    <row r="1476" ht="15.75" customHeight="1" s="83">
      <c r="A1476" s="82" t="n"/>
      <c r="B1476" s="44" t="n"/>
      <c r="C1476" s="82" t="n"/>
      <c r="D1476" s="82" t="n"/>
      <c r="E1476" s="81" t="n"/>
      <c r="F1476" s="82" t="n"/>
      <c r="G1476" s="82" t="n"/>
      <c r="H1476" s="82" t="n"/>
      <c r="I1476" s="82" t="n"/>
      <c r="J1476" s="82" t="n"/>
      <c r="K1476" s="82" t="n"/>
      <c r="L1476" s="82" t="n"/>
      <c r="M1476" s="82" t="n"/>
      <c r="N1476" s="82" t="n"/>
      <c r="O1476" s="82" t="n"/>
      <c r="P1476" s="82" t="n"/>
      <c r="Q1476" s="82" t="n"/>
      <c r="R1476" s="82" t="n"/>
      <c r="S1476" s="82" t="n"/>
      <c r="T1476" s="82" t="n"/>
      <c r="U1476" s="82" t="n"/>
      <c r="V1476" s="82" t="n"/>
      <c r="W1476" s="82" t="n"/>
      <c r="X1476" s="82" t="n"/>
      <c r="Y1476" s="82" t="n"/>
      <c r="Z1476" s="82" t="n"/>
    </row>
    <row r="1477" ht="15.75" customHeight="1" s="83">
      <c r="A1477" s="82" t="n"/>
      <c r="B1477" s="44" t="n"/>
      <c r="C1477" s="82" t="n"/>
      <c r="D1477" s="82" t="n"/>
      <c r="E1477" s="81" t="n"/>
      <c r="F1477" s="82" t="n"/>
      <c r="G1477" s="82" t="n"/>
      <c r="H1477" s="82" t="n"/>
      <c r="I1477" s="82" t="n"/>
      <c r="J1477" s="82" t="n"/>
      <c r="K1477" s="82" t="n"/>
      <c r="L1477" s="82" t="n"/>
      <c r="M1477" s="82" t="n"/>
      <c r="N1477" s="82" t="n"/>
      <c r="O1477" s="82" t="n"/>
      <c r="P1477" s="82" t="n"/>
      <c r="Q1477" s="82" t="n"/>
      <c r="R1477" s="82" t="n"/>
      <c r="S1477" s="82" t="n"/>
      <c r="T1477" s="82" t="n"/>
      <c r="U1477" s="82" t="n"/>
      <c r="V1477" s="82" t="n"/>
      <c r="W1477" s="82" t="n"/>
      <c r="X1477" s="82" t="n"/>
      <c r="Y1477" s="82" t="n"/>
      <c r="Z1477" s="82" t="n"/>
    </row>
    <row r="1478" ht="15.75" customHeight="1" s="83">
      <c r="A1478" s="82" t="n"/>
      <c r="B1478" s="44" t="n"/>
      <c r="C1478" s="82" t="n"/>
      <c r="D1478" s="82" t="n"/>
      <c r="E1478" s="81" t="n"/>
      <c r="F1478" s="82" t="n"/>
      <c r="G1478" s="82" t="n"/>
      <c r="H1478" s="82" t="n"/>
      <c r="I1478" s="82" t="n"/>
      <c r="J1478" s="82" t="n"/>
      <c r="K1478" s="82" t="n"/>
      <c r="L1478" s="82" t="n"/>
      <c r="M1478" s="82" t="n"/>
      <c r="N1478" s="82" t="n"/>
      <c r="O1478" s="82" t="n"/>
      <c r="P1478" s="82" t="n"/>
      <c r="Q1478" s="82" t="n"/>
      <c r="R1478" s="82" t="n"/>
      <c r="S1478" s="82" t="n"/>
      <c r="T1478" s="82" t="n"/>
      <c r="U1478" s="82" t="n"/>
      <c r="V1478" s="82" t="n"/>
      <c r="W1478" s="82" t="n"/>
      <c r="X1478" s="82" t="n"/>
      <c r="Y1478" s="82" t="n"/>
      <c r="Z1478" s="82" t="n"/>
    </row>
    <row r="1479" ht="15.75" customHeight="1" s="83">
      <c r="A1479" s="82" t="n"/>
      <c r="B1479" s="44" t="n"/>
      <c r="C1479" s="82" t="n"/>
      <c r="D1479" s="82" t="n"/>
      <c r="E1479" s="81" t="n"/>
      <c r="F1479" s="82" t="n"/>
      <c r="G1479" s="82" t="n"/>
      <c r="H1479" s="82" t="n"/>
      <c r="I1479" s="82" t="n"/>
      <c r="J1479" s="82" t="n"/>
      <c r="K1479" s="82" t="n"/>
      <c r="L1479" s="82" t="n"/>
      <c r="M1479" s="82" t="n"/>
      <c r="N1479" s="82" t="n"/>
      <c r="O1479" s="82" t="n"/>
      <c r="P1479" s="82" t="n"/>
      <c r="Q1479" s="82" t="n"/>
      <c r="R1479" s="82" t="n"/>
      <c r="S1479" s="82" t="n"/>
      <c r="T1479" s="82" t="n"/>
      <c r="U1479" s="82" t="n"/>
      <c r="V1479" s="82" t="n"/>
      <c r="W1479" s="82" t="n"/>
      <c r="X1479" s="82" t="n"/>
      <c r="Y1479" s="82" t="n"/>
      <c r="Z1479" s="82" t="n"/>
    </row>
    <row r="1480" ht="15.75" customHeight="1" s="83">
      <c r="A1480" s="82" t="n"/>
      <c r="B1480" s="44" t="n"/>
      <c r="C1480" s="82" t="n"/>
      <c r="D1480" s="82" t="n"/>
      <c r="E1480" s="81" t="n"/>
      <c r="F1480" s="82" t="n"/>
      <c r="G1480" s="82" t="n"/>
      <c r="H1480" s="82" t="n"/>
      <c r="I1480" s="82" t="n"/>
      <c r="J1480" s="82" t="n"/>
      <c r="K1480" s="82" t="n"/>
      <c r="L1480" s="82" t="n"/>
      <c r="M1480" s="82" t="n"/>
      <c r="N1480" s="82" t="n"/>
      <c r="O1480" s="82" t="n"/>
      <c r="P1480" s="82" t="n"/>
      <c r="Q1480" s="82" t="n"/>
      <c r="R1480" s="82" t="n"/>
      <c r="S1480" s="82" t="n"/>
      <c r="T1480" s="82" t="n"/>
      <c r="U1480" s="82" t="n"/>
      <c r="V1480" s="82" t="n"/>
      <c r="W1480" s="82" t="n"/>
      <c r="X1480" s="82" t="n"/>
      <c r="Y1480" s="82" t="n"/>
      <c r="Z1480" s="82" t="n"/>
    </row>
    <row r="1481" ht="15.75" customHeight="1" s="83">
      <c r="A1481" s="82" t="n"/>
      <c r="B1481" s="44" t="n"/>
      <c r="C1481" s="82" t="n"/>
      <c r="D1481" s="82" t="n"/>
      <c r="E1481" s="81" t="n"/>
      <c r="F1481" s="82" t="n"/>
      <c r="G1481" s="82" t="n"/>
      <c r="H1481" s="82" t="n"/>
      <c r="I1481" s="82" t="n"/>
      <c r="J1481" s="82" t="n"/>
      <c r="K1481" s="82" t="n"/>
      <c r="L1481" s="82" t="n"/>
      <c r="M1481" s="82" t="n"/>
      <c r="N1481" s="82" t="n"/>
      <c r="O1481" s="82" t="n"/>
      <c r="P1481" s="82" t="n"/>
      <c r="Q1481" s="82" t="n"/>
      <c r="R1481" s="82" t="n"/>
      <c r="S1481" s="82" t="n"/>
      <c r="T1481" s="82" t="n"/>
      <c r="U1481" s="82" t="n"/>
      <c r="V1481" s="82" t="n"/>
      <c r="W1481" s="82" t="n"/>
      <c r="X1481" s="82" t="n"/>
      <c r="Y1481" s="82" t="n"/>
      <c r="Z1481" s="82" t="n"/>
    </row>
    <row r="1482" ht="15.75" customHeight="1" s="83">
      <c r="A1482" s="82" t="n"/>
      <c r="B1482" s="44" t="n"/>
      <c r="C1482" s="82" t="n"/>
      <c r="D1482" s="82" t="n"/>
      <c r="E1482" s="81" t="n"/>
      <c r="F1482" s="82" t="n"/>
      <c r="G1482" s="82" t="n"/>
      <c r="H1482" s="82" t="n"/>
      <c r="I1482" s="82" t="n"/>
      <c r="J1482" s="82" t="n"/>
      <c r="K1482" s="82" t="n"/>
      <c r="L1482" s="82" t="n"/>
      <c r="M1482" s="82" t="n"/>
      <c r="N1482" s="82" t="n"/>
      <c r="O1482" s="82" t="n"/>
      <c r="P1482" s="82" t="n"/>
      <c r="Q1482" s="82" t="n"/>
      <c r="R1482" s="82" t="n"/>
      <c r="S1482" s="82" t="n"/>
      <c r="T1482" s="82" t="n"/>
      <c r="U1482" s="82" t="n"/>
      <c r="V1482" s="82" t="n"/>
      <c r="W1482" s="82" t="n"/>
      <c r="X1482" s="82" t="n"/>
      <c r="Y1482" s="82" t="n"/>
      <c r="Z1482" s="82" t="n"/>
    </row>
    <row r="1483" ht="15.75" customHeight="1" s="83">
      <c r="A1483" s="82" t="n"/>
      <c r="B1483" s="44" t="n"/>
      <c r="C1483" s="82" t="n"/>
      <c r="D1483" s="82" t="n"/>
      <c r="E1483" s="81" t="n"/>
      <c r="F1483" s="82" t="n"/>
      <c r="G1483" s="82" t="n"/>
      <c r="H1483" s="82" t="n"/>
      <c r="I1483" s="82" t="n"/>
      <c r="J1483" s="82" t="n"/>
      <c r="K1483" s="82" t="n"/>
      <c r="L1483" s="82" t="n"/>
      <c r="M1483" s="82" t="n"/>
      <c r="N1483" s="82" t="n"/>
      <c r="O1483" s="82" t="n"/>
      <c r="P1483" s="82" t="n"/>
      <c r="Q1483" s="82" t="n"/>
      <c r="R1483" s="82" t="n"/>
      <c r="S1483" s="82" t="n"/>
      <c r="T1483" s="82" t="n"/>
      <c r="U1483" s="82" t="n"/>
      <c r="V1483" s="82" t="n"/>
      <c r="W1483" s="82" t="n"/>
      <c r="X1483" s="82" t="n"/>
      <c r="Y1483" s="82" t="n"/>
      <c r="Z1483" s="82" t="n"/>
    </row>
    <row r="1484" ht="15.75" customHeight="1" s="83">
      <c r="A1484" s="82" t="n"/>
      <c r="B1484" s="44" t="n"/>
      <c r="C1484" s="82" t="n"/>
      <c r="D1484" s="82" t="n"/>
      <c r="E1484" s="81" t="n"/>
      <c r="F1484" s="82" t="n"/>
      <c r="G1484" s="82" t="n"/>
      <c r="H1484" s="82" t="n"/>
      <c r="I1484" s="82" t="n"/>
      <c r="J1484" s="82" t="n"/>
      <c r="K1484" s="82" t="n"/>
      <c r="L1484" s="82" t="n"/>
      <c r="M1484" s="82" t="n"/>
      <c r="N1484" s="82" t="n"/>
      <c r="O1484" s="82" t="n"/>
      <c r="P1484" s="82" t="n"/>
      <c r="Q1484" s="82" t="n"/>
      <c r="R1484" s="82" t="n"/>
      <c r="S1484" s="82" t="n"/>
      <c r="T1484" s="82" t="n"/>
      <c r="U1484" s="82" t="n"/>
      <c r="V1484" s="82" t="n"/>
      <c r="W1484" s="82" t="n"/>
      <c r="X1484" s="82" t="n"/>
      <c r="Y1484" s="82" t="n"/>
      <c r="Z1484" s="82" t="n"/>
    </row>
    <row r="1485" ht="15.75" customHeight="1" s="83">
      <c r="A1485" s="82" t="n"/>
      <c r="B1485" s="44" t="n"/>
      <c r="C1485" s="82" t="n"/>
      <c r="D1485" s="82" t="n"/>
      <c r="E1485" s="81" t="n"/>
      <c r="F1485" s="82" t="n"/>
      <c r="G1485" s="82" t="n"/>
      <c r="H1485" s="82" t="n"/>
      <c r="I1485" s="82" t="n"/>
      <c r="J1485" s="82" t="n"/>
      <c r="K1485" s="82" t="n"/>
      <c r="L1485" s="82" t="n"/>
      <c r="M1485" s="82" t="n"/>
      <c r="N1485" s="82" t="n"/>
      <c r="O1485" s="82" t="n"/>
      <c r="P1485" s="82" t="n"/>
      <c r="Q1485" s="82" t="n"/>
      <c r="R1485" s="82" t="n"/>
      <c r="S1485" s="82" t="n"/>
      <c r="T1485" s="82" t="n"/>
      <c r="U1485" s="82" t="n"/>
      <c r="V1485" s="82" t="n"/>
      <c r="W1485" s="82" t="n"/>
      <c r="X1485" s="82" t="n"/>
      <c r="Y1485" s="82" t="n"/>
      <c r="Z1485" s="82" t="n"/>
    </row>
    <row r="1486" ht="15.75" customHeight="1" s="83">
      <c r="A1486" s="82" t="n"/>
      <c r="B1486" s="44" t="n"/>
      <c r="C1486" s="82" t="n"/>
      <c r="D1486" s="82" t="n"/>
      <c r="E1486" s="81" t="n"/>
      <c r="F1486" s="82" t="n"/>
      <c r="G1486" s="82" t="n"/>
      <c r="H1486" s="82" t="n"/>
      <c r="I1486" s="82" t="n"/>
      <c r="J1486" s="82" t="n"/>
      <c r="K1486" s="82" t="n"/>
      <c r="L1486" s="82" t="n"/>
      <c r="M1486" s="82" t="n"/>
      <c r="N1486" s="82" t="n"/>
      <c r="O1486" s="82" t="n"/>
      <c r="P1486" s="82" t="n"/>
      <c r="Q1486" s="82" t="n"/>
      <c r="R1486" s="82" t="n"/>
      <c r="S1486" s="82" t="n"/>
      <c r="T1486" s="82" t="n"/>
      <c r="U1486" s="82" t="n"/>
      <c r="V1486" s="82" t="n"/>
      <c r="W1486" s="82" t="n"/>
      <c r="X1486" s="82" t="n"/>
      <c r="Y1486" s="82" t="n"/>
      <c r="Z1486" s="82" t="n"/>
    </row>
    <row r="1487" ht="15.75" customHeight="1" s="83">
      <c r="A1487" s="82" t="n"/>
      <c r="B1487" s="44" t="n"/>
      <c r="C1487" s="82" t="n"/>
      <c r="D1487" s="82" t="n"/>
      <c r="E1487" s="81" t="n"/>
      <c r="F1487" s="82" t="n"/>
      <c r="G1487" s="82" t="n"/>
      <c r="H1487" s="82" t="n"/>
      <c r="I1487" s="82" t="n"/>
      <c r="J1487" s="82" t="n"/>
      <c r="K1487" s="82" t="n"/>
      <c r="L1487" s="82" t="n"/>
      <c r="M1487" s="82" t="n"/>
      <c r="N1487" s="82" t="n"/>
      <c r="O1487" s="82" t="n"/>
      <c r="P1487" s="82" t="n"/>
      <c r="Q1487" s="82" t="n"/>
      <c r="R1487" s="82" t="n"/>
      <c r="S1487" s="82" t="n"/>
      <c r="T1487" s="82" t="n"/>
      <c r="U1487" s="82" t="n"/>
      <c r="V1487" s="82" t="n"/>
      <c r="W1487" s="82" t="n"/>
      <c r="X1487" s="82" t="n"/>
      <c r="Y1487" s="82" t="n"/>
      <c r="Z1487" s="82" t="n"/>
    </row>
    <row r="1488" ht="15.75" customHeight="1" s="83">
      <c r="A1488" s="82" t="n"/>
      <c r="B1488" s="44" t="n"/>
      <c r="C1488" s="82" t="n"/>
      <c r="D1488" s="82" t="n"/>
      <c r="E1488" s="81" t="n"/>
      <c r="F1488" s="82" t="n"/>
      <c r="G1488" s="82" t="n"/>
      <c r="H1488" s="82" t="n"/>
      <c r="I1488" s="82" t="n"/>
      <c r="J1488" s="82" t="n"/>
      <c r="K1488" s="82" t="n"/>
      <c r="L1488" s="82" t="n"/>
      <c r="M1488" s="82" t="n"/>
      <c r="N1488" s="82" t="n"/>
      <c r="O1488" s="82" t="n"/>
      <c r="P1488" s="82" t="n"/>
      <c r="Q1488" s="82" t="n"/>
      <c r="R1488" s="82" t="n"/>
      <c r="S1488" s="82" t="n"/>
      <c r="T1488" s="82" t="n"/>
      <c r="U1488" s="82" t="n"/>
      <c r="V1488" s="82" t="n"/>
      <c r="W1488" s="82" t="n"/>
      <c r="X1488" s="82" t="n"/>
      <c r="Y1488" s="82" t="n"/>
      <c r="Z1488" s="82" t="n"/>
    </row>
    <row r="1489" ht="15.75" customHeight="1" s="83">
      <c r="A1489" s="82" t="n"/>
      <c r="B1489" s="44" t="n"/>
      <c r="C1489" s="82" t="n"/>
      <c r="D1489" s="82" t="n"/>
      <c r="E1489" s="81" t="n"/>
      <c r="F1489" s="82" t="n"/>
      <c r="G1489" s="82" t="n"/>
      <c r="H1489" s="82" t="n"/>
      <c r="I1489" s="82" t="n"/>
      <c r="J1489" s="82" t="n"/>
      <c r="K1489" s="82" t="n"/>
      <c r="L1489" s="82" t="n"/>
      <c r="M1489" s="82" t="n"/>
      <c r="N1489" s="82" t="n"/>
      <c r="O1489" s="82" t="n"/>
      <c r="P1489" s="82" t="n"/>
      <c r="Q1489" s="82" t="n"/>
      <c r="R1489" s="82" t="n"/>
      <c r="S1489" s="82" t="n"/>
      <c r="T1489" s="82" t="n"/>
      <c r="U1489" s="82" t="n"/>
      <c r="V1489" s="82" t="n"/>
      <c r="W1489" s="82" t="n"/>
      <c r="X1489" s="82" t="n"/>
      <c r="Y1489" s="82" t="n"/>
      <c r="Z1489" s="82" t="n"/>
    </row>
    <row r="1490" ht="15.75" customHeight="1" s="83">
      <c r="A1490" s="82" t="n"/>
      <c r="B1490" s="44" t="n"/>
      <c r="C1490" s="82" t="n"/>
      <c r="D1490" s="82" t="n"/>
      <c r="E1490" s="81" t="n"/>
      <c r="F1490" s="82" t="n"/>
      <c r="G1490" s="82" t="n"/>
      <c r="H1490" s="82" t="n"/>
      <c r="I1490" s="82" t="n"/>
      <c r="J1490" s="82" t="n"/>
      <c r="K1490" s="82" t="n"/>
      <c r="L1490" s="82" t="n"/>
      <c r="M1490" s="82" t="n"/>
      <c r="N1490" s="82" t="n"/>
      <c r="O1490" s="82" t="n"/>
      <c r="P1490" s="82" t="n"/>
      <c r="Q1490" s="82" t="n"/>
      <c r="R1490" s="82" t="n"/>
      <c r="S1490" s="82" t="n"/>
      <c r="T1490" s="82" t="n"/>
      <c r="U1490" s="82" t="n"/>
      <c r="V1490" s="82" t="n"/>
      <c r="W1490" s="82" t="n"/>
      <c r="X1490" s="82" t="n"/>
      <c r="Y1490" s="82" t="n"/>
      <c r="Z1490" s="82" t="n"/>
    </row>
    <row r="1491" ht="15.75" customHeight="1" s="83">
      <c r="A1491" s="82" t="n"/>
      <c r="B1491" s="44" t="n"/>
      <c r="C1491" s="82" t="n"/>
      <c r="D1491" s="82" t="n"/>
      <c r="E1491" s="81" t="n"/>
      <c r="F1491" s="82" t="n"/>
      <c r="G1491" s="82" t="n"/>
      <c r="H1491" s="82" t="n"/>
      <c r="I1491" s="82" t="n"/>
      <c r="J1491" s="82" t="n"/>
      <c r="K1491" s="82" t="n"/>
      <c r="L1491" s="82" t="n"/>
      <c r="M1491" s="82" t="n"/>
      <c r="N1491" s="82" t="n"/>
      <c r="O1491" s="82" t="n"/>
      <c r="P1491" s="82" t="n"/>
      <c r="Q1491" s="82" t="n"/>
      <c r="R1491" s="82" t="n"/>
      <c r="S1491" s="82" t="n"/>
      <c r="T1491" s="82" t="n"/>
      <c r="U1491" s="82" t="n"/>
      <c r="V1491" s="82" t="n"/>
      <c r="W1491" s="82" t="n"/>
      <c r="X1491" s="82" t="n"/>
      <c r="Y1491" s="82" t="n"/>
      <c r="Z1491" s="82" t="n"/>
    </row>
    <row r="1492" ht="15.75" customHeight="1" s="83">
      <c r="A1492" s="82" t="n"/>
      <c r="B1492" s="44" t="n"/>
      <c r="C1492" s="82" t="n"/>
      <c r="D1492" s="82" t="n"/>
      <c r="E1492" s="81" t="n"/>
      <c r="F1492" s="82" t="n"/>
      <c r="G1492" s="82" t="n"/>
      <c r="H1492" s="82" t="n"/>
      <c r="I1492" s="82" t="n"/>
      <c r="J1492" s="82" t="n"/>
      <c r="K1492" s="82" t="n"/>
      <c r="L1492" s="82" t="n"/>
      <c r="M1492" s="82" t="n"/>
      <c r="N1492" s="82" t="n"/>
      <c r="O1492" s="82" t="n"/>
      <c r="P1492" s="82" t="n"/>
      <c r="Q1492" s="82" t="n"/>
      <c r="R1492" s="82" t="n"/>
      <c r="S1492" s="82" t="n"/>
      <c r="T1492" s="82" t="n"/>
      <c r="U1492" s="82" t="n"/>
      <c r="V1492" s="82" t="n"/>
      <c r="W1492" s="82" t="n"/>
      <c r="X1492" s="82" t="n"/>
      <c r="Y1492" s="82" t="n"/>
      <c r="Z1492" s="82" t="n"/>
    </row>
    <row r="1493" ht="15.75" customHeight="1" s="83">
      <c r="A1493" s="82" t="n"/>
      <c r="B1493" s="44" t="n"/>
      <c r="C1493" s="82" t="n"/>
      <c r="D1493" s="82" t="n"/>
      <c r="E1493" s="81" t="n"/>
      <c r="F1493" s="82" t="n"/>
      <c r="G1493" s="82" t="n"/>
      <c r="H1493" s="82" t="n"/>
      <c r="I1493" s="82" t="n"/>
      <c r="J1493" s="82" t="n"/>
      <c r="K1493" s="82" t="n"/>
      <c r="L1493" s="82" t="n"/>
      <c r="M1493" s="82" t="n"/>
      <c r="N1493" s="82" t="n"/>
      <c r="O1493" s="82" t="n"/>
      <c r="P1493" s="82" t="n"/>
      <c r="Q1493" s="82" t="n"/>
      <c r="R1493" s="82" t="n"/>
      <c r="S1493" s="82" t="n"/>
      <c r="T1493" s="82" t="n"/>
      <c r="U1493" s="82" t="n"/>
      <c r="V1493" s="82" t="n"/>
      <c r="W1493" s="82" t="n"/>
      <c r="X1493" s="82" t="n"/>
      <c r="Y1493" s="82" t="n"/>
      <c r="Z1493" s="82" t="n"/>
    </row>
    <row r="1494" ht="15.75" customHeight="1" s="83">
      <c r="A1494" s="82" t="n"/>
      <c r="B1494" s="44" t="n"/>
      <c r="C1494" s="82" t="n"/>
      <c r="D1494" s="82" t="n"/>
      <c r="E1494" s="81" t="n"/>
      <c r="F1494" s="82" t="n"/>
      <c r="G1494" s="82" t="n"/>
      <c r="H1494" s="82" t="n"/>
      <c r="I1494" s="82" t="n"/>
      <c r="J1494" s="82" t="n"/>
      <c r="K1494" s="82" t="n"/>
      <c r="L1494" s="82" t="n"/>
      <c r="M1494" s="82" t="n"/>
      <c r="N1494" s="82" t="n"/>
      <c r="O1494" s="82" t="n"/>
      <c r="P1494" s="82" t="n"/>
      <c r="Q1494" s="82" t="n"/>
      <c r="R1494" s="82" t="n"/>
      <c r="S1494" s="82" t="n"/>
      <c r="T1494" s="82" t="n"/>
      <c r="U1494" s="82" t="n"/>
      <c r="V1494" s="82" t="n"/>
      <c r="W1494" s="82" t="n"/>
      <c r="X1494" s="82" t="n"/>
      <c r="Y1494" s="82" t="n"/>
      <c r="Z1494" s="82" t="n"/>
    </row>
    <row r="1495" ht="15.75" customHeight="1" s="83">
      <c r="A1495" s="82" t="n"/>
      <c r="B1495" s="44" t="n"/>
      <c r="C1495" s="82" t="n"/>
      <c r="D1495" s="82" t="n"/>
      <c r="E1495" s="81" t="n"/>
      <c r="F1495" s="82" t="n"/>
      <c r="G1495" s="82" t="n"/>
      <c r="H1495" s="82" t="n"/>
      <c r="I1495" s="82" t="n"/>
      <c r="J1495" s="82" t="n"/>
      <c r="K1495" s="82" t="n"/>
      <c r="L1495" s="82" t="n"/>
      <c r="M1495" s="82" t="n"/>
      <c r="N1495" s="82" t="n"/>
      <c r="O1495" s="82" t="n"/>
      <c r="P1495" s="82" t="n"/>
      <c r="Q1495" s="82" t="n"/>
      <c r="R1495" s="82" t="n"/>
      <c r="S1495" s="82" t="n"/>
      <c r="T1495" s="82" t="n"/>
      <c r="U1495" s="82" t="n"/>
      <c r="V1495" s="82" t="n"/>
      <c r="W1495" s="82" t="n"/>
      <c r="X1495" s="82" t="n"/>
      <c r="Y1495" s="82" t="n"/>
      <c r="Z1495" s="82" t="n"/>
    </row>
    <row r="1496" ht="15.75" customHeight="1" s="83">
      <c r="A1496" s="82" t="n"/>
      <c r="B1496" s="44" t="n"/>
      <c r="C1496" s="82" t="n"/>
      <c r="D1496" s="82" t="n"/>
      <c r="E1496" s="81" t="n"/>
      <c r="F1496" s="82" t="n"/>
      <c r="G1496" s="82" t="n"/>
      <c r="H1496" s="82" t="n"/>
      <c r="I1496" s="82" t="n"/>
      <c r="J1496" s="82" t="n"/>
      <c r="K1496" s="82" t="n"/>
      <c r="L1496" s="82" t="n"/>
      <c r="M1496" s="82" t="n"/>
      <c r="N1496" s="82" t="n"/>
      <c r="O1496" s="82" t="n"/>
      <c r="P1496" s="82" t="n"/>
      <c r="Q1496" s="82" t="n"/>
      <c r="R1496" s="82" t="n"/>
      <c r="S1496" s="82" t="n"/>
      <c r="T1496" s="82" t="n"/>
      <c r="U1496" s="82" t="n"/>
      <c r="V1496" s="82" t="n"/>
      <c r="W1496" s="82" t="n"/>
      <c r="X1496" s="82" t="n"/>
      <c r="Y1496" s="82" t="n"/>
      <c r="Z1496" s="82" t="n"/>
    </row>
    <row r="1497" ht="15.75" customHeight="1" s="83">
      <c r="A1497" s="82" t="n"/>
      <c r="B1497" s="44" t="n"/>
      <c r="C1497" s="82" t="n"/>
      <c r="D1497" s="82" t="n"/>
      <c r="E1497" s="81" t="n"/>
      <c r="F1497" s="82" t="n"/>
      <c r="G1497" s="82" t="n"/>
      <c r="H1497" s="82" t="n"/>
      <c r="I1497" s="82" t="n"/>
      <c r="J1497" s="82" t="n"/>
      <c r="K1497" s="82" t="n"/>
      <c r="L1497" s="82" t="n"/>
      <c r="M1497" s="82" t="n"/>
      <c r="N1497" s="82" t="n"/>
      <c r="O1497" s="82" t="n"/>
      <c r="P1497" s="82" t="n"/>
      <c r="Q1497" s="82" t="n"/>
      <c r="R1497" s="82" t="n"/>
      <c r="S1497" s="82" t="n"/>
      <c r="T1497" s="82" t="n"/>
      <c r="U1497" s="82" t="n"/>
      <c r="V1497" s="82" t="n"/>
      <c r="W1497" s="82" t="n"/>
      <c r="X1497" s="82" t="n"/>
      <c r="Y1497" s="82" t="n"/>
      <c r="Z1497" s="82" t="n"/>
    </row>
    <row r="1498" ht="15.75" customHeight="1" s="83">
      <c r="A1498" s="82" t="n"/>
      <c r="B1498" s="44" t="n"/>
      <c r="C1498" s="82" t="n"/>
      <c r="D1498" s="82" t="n"/>
      <c r="E1498" s="81" t="n"/>
      <c r="F1498" s="82" t="n"/>
      <c r="G1498" s="82" t="n"/>
      <c r="H1498" s="82" t="n"/>
      <c r="I1498" s="82" t="n"/>
      <c r="J1498" s="82" t="n"/>
      <c r="K1498" s="82" t="n"/>
      <c r="L1498" s="82" t="n"/>
      <c r="M1498" s="82" t="n"/>
      <c r="N1498" s="82" t="n"/>
      <c r="O1498" s="82" t="n"/>
      <c r="P1498" s="82" t="n"/>
      <c r="Q1498" s="82" t="n"/>
      <c r="R1498" s="82" t="n"/>
      <c r="S1498" s="82" t="n"/>
      <c r="T1498" s="82" t="n"/>
      <c r="U1498" s="82" t="n"/>
      <c r="V1498" s="82" t="n"/>
      <c r="W1498" s="82" t="n"/>
      <c r="X1498" s="82" t="n"/>
      <c r="Y1498" s="82" t="n"/>
      <c r="Z1498" s="82" t="n"/>
    </row>
    <row r="1499" ht="15.75" customHeight="1" s="83">
      <c r="A1499" s="82" t="n"/>
      <c r="B1499" s="44" t="n"/>
      <c r="C1499" s="82" t="n"/>
      <c r="D1499" s="82" t="n"/>
      <c r="E1499" s="81" t="n"/>
      <c r="F1499" s="82" t="n"/>
      <c r="G1499" s="82" t="n"/>
      <c r="H1499" s="82" t="n"/>
      <c r="I1499" s="82" t="n"/>
      <c r="J1499" s="82" t="n"/>
      <c r="K1499" s="82" t="n"/>
      <c r="L1499" s="82" t="n"/>
      <c r="M1499" s="82" t="n"/>
      <c r="N1499" s="82" t="n"/>
      <c r="O1499" s="82" t="n"/>
      <c r="P1499" s="82" t="n"/>
      <c r="Q1499" s="82" t="n"/>
      <c r="R1499" s="82" t="n"/>
      <c r="S1499" s="82" t="n"/>
      <c r="T1499" s="82" t="n"/>
      <c r="U1499" s="82" t="n"/>
      <c r="V1499" s="82" t="n"/>
      <c r="W1499" s="82" t="n"/>
      <c r="X1499" s="82" t="n"/>
      <c r="Y1499" s="82" t="n"/>
      <c r="Z1499" s="82" t="n"/>
    </row>
    <row r="1500" ht="15.75" customHeight="1" s="83">
      <c r="A1500" s="82" t="n"/>
      <c r="B1500" s="44" t="n"/>
      <c r="C1500" s="82" t="n"/>
      <c r="D1500" s="82" t="n"/>
      <c r="E1500" s="81" t="n"/>
      <c r="F1500" s="82" t="n"/>
      <c r="G1500" s="82" t="n"/>
      <c r="H1500" s="82" t="n"/>
      <c r="I1500" s="82" t="n"/>
      <c r="J1500" s="82" t="n"/>
      <c r="K1500" s="82" t="n"/>
      <c r="L1500" s="82" t="n"/>
      <c r="M1500" s="82" t="n"/>
      <c r="N1500" s="82" t="n"/>
      <c r="O1500" s="82" t="n"/>
      <c r="P1500" s="82" t="n"/>
      <c r="Q1500" s="82" t="n"/>
      <c r="R1500" s="82" t="n"/>
      <c r="S1500" s="82" t="n"/>
      <c r="T1500" s="82" t="n"/>
      <c r="U1500" s="82" t="n"/>
      <c r="V1500" s="82" t="n"/>
      <c r="W1500" s="82" t="n"/>
      <c r="X1500" s="82" t="n"/>
      <c r="Y1500" s="82" t="n"/>
      <c r="Z1500" s="82" t="n"/>
    </row>
    <row r="1501" ht="15.75" customHeight="1" s="83">
      <c r="A1501" s="82" t="n"/>
      <c r="B1501" s="44" t="n"/>
      <c r="C1501" s="82" t="n"/>
      <c r="D1501" s="82" t="n"/>
      <c r="E1501" s="81" t="n"/>
      <c r="F1501" s="82" t="n"/>
      <c r="G1501" s="82" t="n"/>
      <c r="H1501" s="82" t="n"/>
      <c r="I1501" s="82" t="n"/>
      <c r="J1501" s="82" t="n"/>
      <c r="K1501" s="82" t="n"/>
      <c r="L1501" s="82" t="n"/>
      <c r="M1501" s="82" t="n"/>
      <c r="N1501" s="82" t="n"/>
      <c r="O1501" s="82" t="n"/>
      <c r="P1501" s="82" t="n"/>
      <c r="Q1501" s="82" t="n"/>
      <c r="R1501" s="82" t="n"/>
      <c r="S1501" s="82" t="n"/>
      <c r="T1501" s="82" t="n"/>
      <c r="U1501" s="82" t="n"/>
      <c r="V1501" s="82" t="n"/>
      <c r="W1501" s="82" t="n"/>
      <c r="X1501" s="82" t="n"/>
      <c r="Y1501" s="82" t="n"/>
      <c r="Z1501" s="82" t="n"/>
    </row>
    <row r="1502" ht="15.75" customHeight="1" s="83">
      <c r="A1502" s="82" t="n"/>
      <c r="B1502" s="44" t="n"/>
      <c r="C1502" s="82" t="n"/>
      <c r="D1502" s="82" t="n"/>
      <c r="E1502" s="81" t="n"/>
      <c r="F1502" s="82" t="n"/>
      <c r="G1502" s="82" t="n"/>
      <c r="H1502" s="82" t="n"/>
      <c r="I1502" s="82" t="n"/>
      <c r="J1502" s="82" t="n"/>
      <c r="K1502" s="82" t="n"/>
      <c r="L1502" s="82" t="n"/>
      <c r="M1502" s="82" t="n"/>
      <c r="N1502" s="82" t="n"/>
      <c r="O1502" s="82" t="n"/>
      <c r="P1502" s="82" t="n"/>
      <c r="Q1502" s="82" t="n"/>
      <c r="R1502" s="82" t="n"/>
      <c r="S1502" s="82" t="n"/>
      <c r="T1502" s="82" t="n"/>
      <c r="U1502" s="82" t="n"/>
      <c r="V1502" s="82" t="n"/>
      <c r="W1502" s="82" t="n"/>
      <c r="X1502" s="82" t="n"/>
      <c r="Y1502" s="82" t="n"/>
      <c r="Z1502" s="82" t="n"/>
    </row>
    <row r="1503" ht="15.75" customHeight="1" s="83">
      <c r="A1503" s="82" t="n"/>
      <c r="B1503" s="44" t="n"/>
      <c r="C1503" s="82" t="n"/>
      <c r="D1503" s="82" t="n"/>
      <c r="E1503" s="81" t="n"/>
      <c r="F1503" s="82" t="n"/>
      <c r="G1503" s="82" t="n"/>
      <c r="H1503" s="82" t="n"/>
      <c r="I1503" s="82" t="n"/>
      <c r="J1503" s="82" t="n"/>
      <c r="K1503" s="82" t="n"/>
      <c r="L1503" s="82" t="n"/>
      <c r="M1503" s="82" t="n"/>
      <c r="N1503" s="82" t="n"/>
      <c r="O1503" s="82" t="n"/>
      <c r="P1503" s="82" t="n"/>
      <c r="Q1503" s="82" t="n"/>
      <c r="R1503" s="82" t="n"/>
      <c r="S1503" s="82" t="n"/>
      <c r="T1503" s="82" t="n"/>
      <c r="U1503" s="82" t="n"/>
      <c r="V1503" s="82" t="n"/>
      <c r="W1503" s="82" t="n"/>
      <c r="X1503" s="82" t="n"/>
      <c r="Y1503" s="82" t="n"/>
      <c r="Z1503" s="82" t="n"/>
    </row>
    <row r="1504" ht="15.75" customHeight="1" s="83">
      <c r="A1504" s="82" t="n"/>
      <c r="B1504" s="44" t="n"/>
      <c r="C1504" s="82" t="n"/>
      <c r="D1504" s="82" t="n"/>
      <c r="E1504" s="81" t="n"/>
      <c r="F1504" s="82" t="n"/>
      <c r="G1504" s="82" t="n"/>
      <c r="H1504" s="82" t="n"/>
      <c r="I1504" s="82" t="n"/>
      <c r="J1504" s="82" t="n"/>
      <c r="K1504" s="82" t="n"/>
      <c r="L1504" s="82" t="n"/>
      <c r="M1504" s="82" t="n"/>
      <c r="N1504" s="82" t="n"/>
      <c r="O1504" s="82" t="n"/>
      <c r="P1504" s="82" t="n"/>
      <c r="Q1504" s="82" t="n"/>
      <c r="R1504" s="82" t="n"/>
      <c r="S1504" s="82" t="n"/>
      <c r="T1504" s="82" t="n"/>
      <c r="U1504" s="82" t="n"/>
      <c r="V1504" s="82" t="n"/>
      <c r="W1504" s="82" t="n"/>
      <c r="X1504" s="82" t="n"/>
      <c r="Y1504" s="82" t="n"/>
      <c r="Z1504" s="82" t="n"/>
    </row>
    <row r="1505" ht="15.75" customHeight="1" s="83">
      <c r="A1505" s="82" t="n"/>
      <c r="B1505" s="44" t="n"/>
      <c r="C1505" s="82" t="n"/>
      <c r="D1505" s="82" t="n"/>
      <c r="E1505" s="81" t="n"/>
      <c r="F1505" s="82" t="n"/>
      <c r="G1505" s="82" t="n"/>
      <c r="H1505" s="82" t="n"/>
      <c r="I1505" s="82" t="n"/>
      <c r="J1505" s="82" t="n"/>
      <c r="K1505" s="82" t="n"/>
      <c r="L1505" s="82" t="n"/>
      <c r="M1505" s="82" t="n"/>
      <c r="N1505" s="82" t="n"/>
      <c r="O1505" s="82" t="n"/>
      <c r="P1505" s="82" t="n"/>
      <c r="Q1505" s="82" t="n"/>
      <c r="R1505" s="82" t="n"/>
      <c r="S1505" s="82" t="n"/>
      <c r="T1505" s="82" t="n"/>
      <c r="U1505" s="82" t="n"/>
      <c r="V1505" s="82" t="n"/>
      <c r="W1505" s="82" t="n"/>
      <c r="X1505" s="82" t="n"/>
      <c r="Y1505" s="82" t="n"/>
      <c r="Z1505" s="82" t="n"/>
    </row>
    <row r="1506" ht="15.75" customHeight="1" s="83">
      <c r="A1506" s="82" t="n"/>
      <c r="B1506" s="44" t="n"/>
      <c r="C1506" s="82" t="n"/>
      <c r="D1506" s="82" t="n"/>
      <c r="E1506" s="81" t="n"/>
      <c r="F1506" s="82" t="n"/>
      <c r="G1506" s="82" t="n"/>
      <c r="H1506" s="82" t="n"/>
      <c r="I1506" s="82" t="n"/>
      <c r="J1506" s="82" t="n"/>
      <c r="K1506" s="82" t="n"/>
      <c r="L1506" s="82" t="n"/>
      <c r="M1506" s="82" t="n"/>
      <c r="N1506" s="82" t="n"/>
      <c r="O1506" s="82" t="n"/>
      <c r="P1506" s="82" t="n"/>
      <c r="Q1506" s="82" t="n"/>
      <c r="R1506" s="82" t="n"/>
      <c r="S1506" s="82" t="n"/>
      <c r="T1506" s="82" t="n"/>
      <c r="U1506" s="82" t="n"/>
      <c r="V1506" s="82" t="n"/>
      <c r="W1506" s="82" t="n"/>
      <c r="X1506" s="82" t="n"/>
      <c r="Y1506" s="82" t="n"/>
      <c r="Z1506" s="82" t="n"/>
    </row>
    <row r="1507" ht="15.75" customHeight="1" s="83">
      <c r="A1507" s="82" t="n"/>
      <c r="B1507" s="44" t="n"/>
      <c r="C1507" s="82" t="n"/>
      <c r="D1507" s="82" t="n"/>
      <c r="E1507" s="81" t="n"/>
      <c r="F1507" s="82" t="n"/>
      <c r="G1507" s="82" t="n"/>
      <c r="H1507" s="82" t="n"/>
      <c r="I1507" s="82" t="n"/>
      <c r="J1507" s="82" t="n"/>
      <c r="K1507" s="82" t="n"/>
      <c r="L1507" s="82" t="n"/>
      <c r="M1507" s="82" t="n"/>
      <c r="N1507" s="82" t="n"/>
      <c r="O1507" s="82" t="n"/>
      <c r="P1507" s="82" t="n"/>
      <c r="Q1507" s="82" t="n"/>
      <c r="R1507" s="82" t="n"/>
      <c r="S1507" s="82" t="n"/>
      <c r="T1507" s="82" t="n"/>
      <c r="U1507" s="82" t="n"/>
      <c r="V1507" s="82" t="n"/>
      <c r="W1507" s="82" t="n"/>
      <c r="X1507" s="82" t="n"/>
      <c r="Y1507" s="82" t="n"/>
      <c r="Z1507" s="82" t="n"/>
    </row>
    <row r="1508" ht="15.75" customHeight="1" s="83">
      <c r="A1508" s="82" t="n"/>
      <c r="B1508" s="44" t="n"/>
      <c r="C1508" s="82" t="n"/>
      <c r="D1508" s="82" t="n"/>
      <c r="E1508" s="81" t="n"/>
      <c r="F1508" s="82" t="n"/>
      <c r="G1508" s="82" t="n"/>
      <c r="H1508" s="82" t="n"/>
      <c r="I1508" s="82" t="n"/>
      <c r="J1508" s="82" t="n"/>
      <c r="K1508" s="82" t="n"/>
      <c r="L1508" s="82" t="n"/>
      <c r="M1508" s="82" t="n"/>
      <c r="N1508" s="82" t="n"/>
      <c r="O1508" s="82" t="n"/>
      <c r="P1508" s="82" t="n"/>
      <c r="Q1508" s="82" t="n"/>
      <c r="R1508" s="82" t="n"/>
      <c r="S1508" s="82" t="n"/>
      <c r="T1508" s="82" t="n"/>
      <c r="U1508" s="82" t="n"/>
      <c r="V1508" s="82" t="n"/>
      <c r="W1508" s="82" t="n"/>
      <c r="X1508" s="82" t="n"/>
      <c r="Y1508" s="82" t="n"/>
      <c r="Z1508" s="82" t="n"/>
    </row>
    <row r="1509" ht="15.75" customHeight="1" s="83">
      <c r="A1509" s="82" t="n"/>
      <c r="B1509" s="44" t="n"/>
      <c r="C1509" s="82" t="n"/>
      <c r="D1509" s="82" t="n"/>
      <c r="E1509" s="81" t="n"/>
      <c r="F1509" s="82" t="n"/>
      <c r="G1509" s="82" t="n"/>
      <c r="H1509" s="82" t="n"/>
      <c r="I1509" s="82" t="n"/>
      <c r="J1509" s="82" t="n"/>
      <c r="K1509" s="82" t="n"/>
      <c r="L1509" s="82" t="n"/>
      <c r="M1509" s="82" t="n"/>
      <c r="N1509" s="82" t="n"/>
      <c r="O1509" s="82" t="n"/>
      <c r="P1509" s="82" t="n"/>
      <c r="Q1509" s="82" t="n"/>
      <c r="R1509" s="82" t="n"/>
      <c r="S1509" s="82" t="n"/>
      <c r="T1509" s="82" t="n"/>
      <c r="U1509" s="82" t="n"/>
      <c r="V1509" s="82" t="n"/>
      <c r="W1509" s="82" t="n"/>
      <c r="X1509" s="82" t="n"/>
      <c r="Y1509" s="82" t="n"/>
      <c r="Z1509" s="82" t="n"/>
    </row>
    <row r="1510" ht="15.75" customHeight="1" s="83">
      <c r="A1510" s="82" t="n"/>
      <c r="B1510" s="44" t="n"/>
      <c r="C1510" s="82" t="n"/>
      <c r="D1510" s="82" t="n"/>
      <c r="E1510" s="81" t="n"/>
      <c r="F1510" s="82" t="n"/>
      <c r="G1510" s="82" t="n"/>
      <c r="H1510" s="82" t="n"/>
      <c r="I1510" s="82" t="n"/>
      <c r="J1510" s="82" t="n"/>
      <c r="K1510" s="82" t="n"/>
      <c r="L1510" s="82" t="n"/>
      <c r="M1510" s="82" t="n"/>
      <c r="N1510" s="82" t="n"/>
      <c r="O1510" s="82" t="n"/>
      <c r="P1510" s="82" t="n"/>
      <c r="Q1510" s="82" t="n"/>
      <c r="R1510" s="82" t="n"/>
      <c r="S1510" s="82" t="n"/>
      <c r="T1510" s="82" t="n"/>
      <c r="U1510" s="82" t="n"/>
      <c r="V1510" s="82" t="n"/>
      <c r="W1510" s="82" t="n"/>
      <c r="X1510" s="82" t="n"/>
      <c r="Y1510" s="82" t="n"/>
      <c r="Z1510" s="82" t="n"/>
    </row>
    <row r="1511" ht="15.75" customHeight="1" s="83">
      <c r="A1511" s="82" t="n"/>
      <c r="B1511" s="44" t="n"/>
      <c r="C1511" s="82" t="n"/>
      <c r="D1511" s="82" t="n"/>
      <c r="E1511" s="81" t="n"/>
      <c r="F1511" s="82" t="n"/>
      <c r="G1511" s="82" t="n"/>
      <c r="H1511" s="82" t="n"/>
      <c r="I1511" s="82" t="n"/>
      <c r="J1511" s="82" t="n"/>
      <c r="K1511" s="82" t="n"/>
      <c r="L1511" s="82" t="n"/>
      <c r="M1511" s="82" t="n"/>
      <c r="N1511" s="82" t="n"/>
      <c r="O1511" s="82" t="n"/>
      <c r="P1511" s="82" t="n"/>
      <c r="Q1511" s="82" t="n"/>
      <c r="R1511" s="82" t="n"/>
      <c r="S1511" s="82" t="n"/>
      <c r="T1511" s="82" t="n"/>
      <c r="U1511" s="82" t="n"/>
      <c r="V1511" s="82" t="n"/>
      <c r="W1511" s="82" t="n"/>
      <c r="X1511" s="82" t="n"/>
      <c r="Y1511" s="82" t="n"/>
      <c r="Z1511" s="82" t="n"/>
    </row>
    <row r="1512" ht="15.75" customHeight="1" s="83">
      <c r="A1512" s="82" t="n"/>
      <c r="B1512" s="44" t="n"/>
      <c r="C1512" s="82" t="n"/>
      <c r="D1512" s="82" t="n"/>
      <c r="E1512" s="81" t="n"/>
      <c r="F1512" s="82" t="n"/>
      <c r="G1512" s="82" t="n"/>
      <c r="H1512" s="82" t="n"/>
      <c r="I1512" s="82" t="n"/>
      <c r="J1512" s="82" t="n"/>
      <c r="K1512" s="82" t="n"/>
      <c r="L1512" s="82" t="n"/>
      <c r="M1512" s="82" t="n"/>
      <c r="N1512" s="82" t="n"/>
      <c r="O1512" s="82" t="n"/>
      <c r="P1512" s="82" t="n"/>
      <c r="Q1512" s="82" t="n"/>
      <c r="R1512" s="82" t="n"/>
      <c r="S1512" s="82" t="n"/>
      <c r="T1512" s="82" t="n"/>
      <c r="U1512" s="82" t="n"/>
      <c r="V1512" s="82" t="n"/>
      <c r="W1512" s="82" t="n"/>
      <c r="X1512" s="82" t="n"/>
      <c r="Y1512" s="82" t="n"/>
      <c r="Z1512" s="82" t="n"/>
    </row>
    <row r="1513" ht="15.75" customHeight="1" s="83">
      <c r="A1513" s="82" t="n"/>
      <c r="B1513" s="44" t="n"/>
      <c r="C1513" s="82" t="n"/>
      <c r="D1513" s="82" t="n"/>
      <c r="E1513" s="81" t="n"/>
      <c r="F1513" s="82" t="n"/>
      <c r="G1513" s="82" t="n"/>
      <c r="H1513" s="82" t="n"/>
      <c r="I1513" s="82" t="n"/>
      <c r="J1513" s="82" t="n"/>
      <c r="K1513" s="82" t="n"/>
      <c r="L1513" s="82" t="n"/>
      <c r="M1513" s="82" t="n"/>
      <c r="N1513" s="82" t="n"/>
      <c r="O1513" s="82" t="n"/>
      <c r="P1513" s="82" t="n"/>
      <c r="Q1513" s="82" t="n"/>
      <c r="R1513" s="82" t="n"/>
      <c r="S1513" s="82" t="n"/>
      <c r="T1513" s="82" t="n"/>
      <c r="U1513" s="82" t="n"/>
      <c r="V1513" s="82" t="n"/>
      <c r="W1513" s="82" t="n"/>
      <c r="X1513" s="82" t="n"/>
      <c r="Y1513" s="82" t="n"/>
      <c r="Z1513" s="82" t="n"/>
    </row>
    <row r="1514" ht="15.75" customHeight="1" s="83">
      <c r="A1514" s="82" t="n"/>
      <c r="B1514" s="44" t="n"/>
      <c r="C1514" s="82" t="n"/>
      <c r="D1514" s="82" t="n"/>
      <c r="E1514" s="81" t="n"/>
      <c r="F1514" s="82" t="n"/>
      <c r="G1514" s="82" t="n"/>
      <c r="H1514" s="82" t="n"/>
      <c r="I1514" s="82" t="n"/>
      <c r="J1514" s="82" t="n"/>
      <c r="K1514" s="82" t="n"/>
      <c r="L1514" s="82" t="n"/>
      <c r="M1514" s="82" t="n"/>
      <c r="N1514" s="82" t="n"/>
      <c r="O1514" s="82" t="n"/>
      <c r="P1514" s="82" t="n"/>
      <c r="Q1514" s="82" t="n"/>
      <c r="R1514" s="82" t="n"/>
      <c r="S1514" s="82" t="n"/>
      <c r="T1514" s="82" t="n"/>
      <c r="U1514" s="82" t="n"/>
      <c r="V1514" s="82" t="n"/>
      <c r="W1514" s="82" t="n"/>
      <c r="X1514" s="82" t="n"/>
      <c r="Y1514" s="82" t="n"/>
      <c r="Z1514" s="82" t="n"/>
    </row>
    <row r="1515" ht="15.75" customHeight="1" s="83">
      <c r="A1515" s="82" t="n"/>
      <c r="B1515" s="44" t="n"/>
      <c r="C1515" s="82" t="n"/>
      <c r="D1515" s="82" t="n"/>
      <c r="E1515" s="81" t="n"/>
      <c r="F1515" s="82" t="n"/>
      <c r="G1515" s="82" t="n"/>
      <c r="H1515" s="82" t="n"/>
      <c r="I1515" s="82" t="n"/>
      <c r="J1515" s="82" t="n"/>
      <c r="K1515" s="82" t="n"/>
      <c r="L1515" s="82" t="n"/>
      <c r="M1515" s="82" t="n"/>
      <c r="N1515" s="82" t="n"/>
      <c r="O1515" s="82" t="n"/>
      <c r="P1515" s="82" t="n"/>
      <c r="Q1515" s="82" t="n"/>
      <c r="R1515" s="82" t="n"/>
      <c r="S1515" s="82" t="n"/>
      <c r="T1515" s="82" t="n"/>
      <c r="U1515" s="82" t="n"/>
      <c r="V1515" s="82" t="n"/>
      <c r="W1515" s="82" t="n"/>
      <c r="X1515" s="82" t="n"/>
      <c r="Y1515" s="82" t="n"/>
      <c r="Z1515" s="82" t="n"/>
    </row>
    <row r="1516" ht="15.75" customHeight="1" s="83">
      <c r="A1516" s="82" t="n"/>
      <c r="B1516" s="44" t="n"/>
      <c r="C1516" s="82" t="n"/>
      <c r="D1516" s="82" t="n"/>
      <c r="E1516" s="81" t="n"/>
      <c r="F1516" s="82" t="n"/>
      <c r="G1516" s="82" t="n"/>
      <c r="H1516" s="82" t="n"/>
      <c r="I1516" s="82" t="n"/>
      <c r="J1516" s="82" t="n"/>
      <c r="K1516" s="82" t="n"/>
      <c r="L1516" s="82" t="n"/>
      <c r="M1516" s="82" t="n"/>
      <c r="N1516" s="82" t="n"/>
      <c r="O1516" s="82" t="n"/>
      <c r="P1516" s="82" t="n"/>
      <c r="Q1516" s="82" t="n"/>
      <c r="R1516" s="82" t="n"/>
      <c r="S1516" s="82" t="n"/>
      <c r="T1516" s="82" t="n"/>
      <c r="U1516" s="82" t="n"/>
      <c r="V1516" s="82" t="n"/>
      <c r="W1516" s="82" t="n"/>
      <c r="X1516" s="82" t="n"/>
      <c r="Y1516" s="82" t="n"/>
      <c r="Z1516" s="82" t="n"/>
    </row>
    <row r="1517" ht="15.75" customHeight="1" s="83">
      <c r="A1517" s="82" t="n"/>
      <c r="B1517" s="44" t="n"/>
      <c r="C1517" s="82" t="n"/>
      <c r="D1517" s="82" t="n"/>
      <c r="E1517" s="81" t="n"/>
      <c r="F1517" s="82" t="n"/>
      <c r="G1517" s="82" t="n"/>
      <c r="H1517" s="82" t="n"/>
      <c r="I1517" s="82" t="n"/>
      <c r="J1517" s="82" t="n"/>
      <c r="K1517" s="82" t="n"/>
      <c r="L1517" s="82" t="n"/>
      <c r="M1517" s="82" t="n"/>
      <c r="N1517" s="82" t="n"/>
      <c r="O1517" s="82" t="n"/>
      <c r="P1517" s="82" t="n"/>
      <c r="Q1517" s="82" t="n"/>
      <c r="R1517" s="82" t="n"/>
      <c r="S1517" s="82" t="n"/>
      <c r="T1517" s="82" t="n"/>
      <c r="U1517" s="82" t="n"/>
      <c r="V1517" s="82" t="n"/>
      <c r="W1517" s="82" t="n"/>
      <c r="X1517" s="82" t="n"/>
      <c r="Y1517" s="82" t="n"/>
      <c r="Z1517" s="82" t="n"/>
    </row>
    <row r="1518" ht="15.75" customHeight="1" s="83">
      <c r="A1518" s="82" t="n"/>
      <c r="B1518" s="44" t="n"/>
      <c r="C1518" s="82" t="n"/>
      <c r="D1518" s="82" t="n"/>
      <c r="E1518" s="81" t="n"/>
      <c r="F1518" s="82" t="n"/>
      <c r="G1518" s="82" t="n"/>
      <c r="H1518" s="82" t="n"/>
      <c r="I1518" s="82" t="n"/>
      <c r="J1518" s="82" t="n"/>
      <c r="K1518" s="82" t="n"/>
      <c r="L1518" s="82" t="n"/>
      <c r="M1518" s="82" t="n"/>
      <c r="N1518" s="82" t="n"/>
      <c r="O1518" s="82" t="n"/>
      <c r="P1518" s="82" t="n"/>
      <c r="Q1518" s="82" t="n"/>
      <c r="R1518" s="82" t="n"/>
      <c r="S1518" s="82" t="n"/>
      <c r="T1518" s="82" t="n"/>
      <c r="U1518" s="82" t="n"/>
      <c r="V1518" s="82" t="n"/>
      <c r="W1518" s="82" t="n"/>
      <c r="X1518" s="82" t="n"/>
      <c r="Y1518" s="82" t="n"/>
      <c r="Z1518" s="82" t="n"/>
    </row>
    <row r="1519" ht="15.75" customHeight="1" s="83">
      <c r="A1519" s="82" t="n"/>
      <c r="B1519" s="44" t="n"/>
      <c r="C1519" s="82" t="n"/>
      <c r="D1519" s="82" t="n"/>
      <c r="E1519" s="81" t="n"/>
      <c r="F1519" s="82" t="n"/>
      <c r="G1519" s="82" t="n"/>
      <c r="H1519" s="82" t="n"/>
      <c r="I1519" s="82" t="n"/>
      <c r="J1519" s="82" t="n"/>
      <c r="K1519" s="82" t="n"/>
      <c r="L1519" s="82" t="n"/>
      <c r="M1519" s="82" t="n"/>
      <c r="N1519" s="82" t="n"/>
      <c r="O1519" s="82" t="n"/>
      <c r="P1519" s="82" t="n"/>
      <c r="Q1519" s="82" t="n"/>
      <c r="R1519" s="82" t="n"/>
      <c r="S1519" s="82" t="n"/>
      <c r="T1519" s="82" t="n"/>
      <c r="U1519" s="82" t="n"/>
      <c r="V1519" s="82" t="n"/>
      <c r="W1519" s="82" t="n"/>
      <c r="X1519" s="82" t="n"/>
      <c r="Y1519" s="82" t="n"/>
      <c r="Z1519" s="82" t="n"/>
    </row>
    <row r="1520" ht="15.75" customHeight="1" s="83">
      <c r="A1520" s="82" t="n"/>
      <c r="B1520" s="44" t="n"/>
      <c r="C1520" s="82" t="n"/>
      <c r="D1520" s="82" t="n"/>
      <c r="E1520" s="81" t="n"/>
      <c r="F1520" s="82" t="n"/>
      <c r="G1520" s="82" t="n"/>
      <c r="H1520" s="82" t="n"/>
      <c r="I1520" s="82" t="n"/>
      <c r="J1520" s="82" t="n"/>
      <c r="K1520" s="82" t="n"/>
      <c r="L1520" s="82" t="n"/>
      <c r="M1520" s="82" t="n"/>
      <c r="N1520" s="82" t="n"/>
      <c r="O1520" s="82" t="n"/>
      <c r="P1520" s="82" t="n"/>
      <c r="Q1520" s="82" t="n"/>
      <c r="R1520" s="82" t="n"/>
      <c r="S1520" s="82" t="n"/>
      <c r="T1520" s="82" t="n"/>
      <c r="U1520" s="82" t="n"/>
      <c r="V1520" s="82" t="n"/>
      <c r="W1520" s="82" t="n"/>
      <c r="X1520" s="82" t="n"/>
      <c r="Y1520" s="82" t="n"/>
      <c r="Z1520" s="82" t="n"/>
    </row>
    <row r="1521" ht="15.75" customHeight="1" s="83">
      <c r="A1521" s="82" t="n"/>
      <c r="B1521" s="44" t="n"/>
      <c r="C1521" s="82" t="n"/>
      <c r="D1521" s="82" t="n"/>
      <c r="E1521" s="81" t="n"/>
      <c r="F1521" s="82" t="n"/>
      <c r="G1521" s="82" t="n"/>
      <c r="H1521" s="82" t="n"/>
      <c r="I1521" s="82" t="n"/>
      <c r="J1521" s="82" t="n"/>
      <c r="K1521" s="82" t="n"/>
      <c r="L1521" s="82" t="n"/>
      <c r="M1521" s="82" t="n"/>
      <c r="N1521" s="82" t="n"/>
      <c r="O1521" s="82" t="n"/>
      <c r="P1521" s="82" t="n"/>
      <c r="Q1521" s="82" t="n"/>
      <c r="R1521" s="82" t="n"/>
      <c r="S1521" s="82" t="n"/>
      <c r="T1521" s="82" t="n"/>
      <c r="U1521" s="82" t="n"/>
      <c r="V1521" s="82" t="n"/>
      <c r="W1521" s="82" t="n"/>
      <c r="X1521" s="82" t="n"/>
      <c r="Y1521" s="82" t="n"/>
      <c r="Z1521" s="82" t="n"/>
    </row>
    <row r="1522" ht="15.75" customHeight="1" s="83">
      <c r="A1522" s="82" t="n"/>
      <c r="B1522" s="44" t="n"/>
      <c r="C1522" s="82" t="n"/>
      <c r="D1522" s="82" t="n"/>
      <c r="E1522" s="81" t="n"/>
      <c r="F1522" s="82" t="n"/>
      <c r="G1522" s="82" t="n"/>
      <c r="H1522" s="82" t="n"/>
      <c r="I1522" s="82" t="n"/>
      <c r="J1522" s="82" t="n"/>
      <c r="K1522" s="82" t="n"/>
      <c r="L1522" s="82" t="n"/>
      <c r="M1522" s="82" t="n"/>
      <c r="N1522" s="82" t="n"/>
      <c r="O1522" s="82" t="n"/>
      <c r="P1522" s="82" t="n"/>
      <c r="Q1522" s="82" t="n"/>
      <c r="R1522" s="82" t="n"/>
      <c r="S1522" s="82" t="n"/>
      <c r="T1522" s="82" t="n"/>
      <c r="U1522" s="82" t="n"/>
      <c r="V1522" s="82" t="n"/>
      <c r="W1522" s="82" t="n"/>
      <c r="X1522" s="82" t="n"/>
      <c r="Y1522" s="82" t="n"/>
      <c r="Z1522" s="82" t="n"/>
    </row>
    <row r="1523" ht="15.75" customHeight="1" s="83">
      <c r="A1523" s="82" t="n"/>
      <c r="B1523" s="44" t="n"/>
      <c r="C1523" s="82" t="n"/>
      <c r="D1523" s="82" t="n"/>
      <c r="E1523" s="81" t="n"/>
      <c r="F1523" s="82" t="n"/>
      <c r="G1523" s="82" t="n"/>
      <c r="H1523" s="82" t="n"/>
      <c r="I1523" s="82" t="n"/>
      <c r="J1523" s="82" t="n"/>
      <c r="K1523" s="82" t="n"/>
      <c r="L1523" s="82" t="n"/>
      <c r="M1523" s="82" t="n"/>
      <c r="N1523" s="82" t="n"/>
      <c r="O1523" s="82" t="n"/>
      <c r="P1523" s="82" t="n"/>
      <c r="Q1523" s="82" t="n"/>
      <c r="R1523" s="82" t="n"/>
      <c r="S1523" s="82" t="n"/>
      <c r="T1523" s="82" t="n"/>
      <c r="U1523" s="82" t="n"/>
      <c r="V1523" s="82" t="n"/>
      <c r="W1523" s="82" t="n"/>
      <c r="X1523" s="82" t="n"/>
      <c r="Y1523" s="82" t="n"/>
      <c r="Z1523" s="82" t="n"/>
    </row>
    <row r="1524" ht="15.75" customHeight="1" s="83">
      <c r="A1524" s="82" t="n"/>
      <c r="B1524" s="44" t="n"/>
      <c r="C1524" s="82" t="n"/>
      <c r="D1524" s="82" t="n"/>
      <c r="E1524" s="81" t="n"/>
      <c r="F1524" s="82" t="n"/>
      <c r="G1524" s="82" t="n"/>
      <c r="H1524" s="82" t="n"/>
      <c r="I1524" s="82" t="n"/>
      <c r="J1524" s="82" t="n"/>
      <c r="K1524" s="82" t="n"/>
      <c r="L1524" s="82" t="n"/>
      <c r="M1524" s="82" t="n"/>
      <c r="N1524" s="82" t="n"/>
      <c r="O1524" s="82" t="n"/>
      <c r="P1524" s="82" t="n"/>
      <c r="Q1524" s="82" t="n"/>
      <c r="R1524" s="82" t="n"/>
      <c r="S1524" s="82" t="n"/>
      <c r="T1524" s="82" t="n"/>
      <c r="U1524" s="82" t="n"/>
      <c r="V1524" s="82" t="n"/>
      <c r="W1524" s="82" t="n"/>
      <c r="X1524" s="82" t="n"/>
      <c r="Y1524" s="82" t="n"/>
      <c r="Z1524" s="82" t="n"/>
    </row>
    <row r="1525" ht="15.75" customHeight="1" s="83">
      <c r="A1525" s="82" t="n"/>
      <c r="B1525" s="44" t="n"/>
      <c r="C1525" s="82" t="n"/>
      <c r="D1525" s="82" t="n"/>
      <c r="E1525" s="81" t="n"/>
      <c r="F1525" s="82" t="n"/>
      <c r="G1525" s="82" t="n"/>
      <c r="H1525" s="82" t="n"/>
      <c r="I1525" s="82" t="n"/>
      <c r="J1525" s="82" t="n"/>
      <c r="K1525" s="82" t="n"/>
      <c r="L1525" s="82" t="n"/>
      <c r="M1525" s="82" t="n"/>
      <c r="N1525" s="82" t="n"/>
      <c r="O1525" s="82" t="n"/>
      <c r="P1525" s="82" t="n"/>
      <c r="Q1525" s="82" t="n"/>
      <c r="R1525" s="82" t="n"/>
      <c r="S1525" s="82" t="n"/>
      <c r="T1525" s="82" t="n"/>
      <c r="U1525" s="82" t="n"/>
      <c r="V1525" s="82" t="n"/>
      <c r="W1525" s="82" t="n"/>
      <c r="X1525" s="82" t="n"/>
      <c r="Y1525" s="82" t="n"/>
      <c r="Z1525" s="82" t="n"/>
    </row>
    <row r="1526" ht="15.75" customHeight="1" s="83">
      <c r="A1526" s="82" t="n"/>
      <c r="B1526" s="44" t="n"/>
      <c r="C1526" s="82" t="n"/>
      <c r="D1526" s="82" t="n"/>
      <c r="E1526" s="81" t="n"/>
      <c r="F1526" s="82" t="n"/>
      <c r="G1526" s="82" t="n"/>
      <c r="H1526" s="82" t="n"/>
      <c r="I1526" s="82" t="n"/>
      <c r="J1526" s="82" t="n"/>
      <c r="K1526" s="82" t="n"/>
      <c r="L1526" s="82" t="n"/>
      <c r="M1526" s="82" t="n"/>
      <c r="N1526" s="82" t="n"/>
      <c r="O1526" s="82" t="n"/>
      <c r="P1526" s="82" t="n"/>
      <c r="Q1526" s="82" t="n"/>
      <c r="R1526" s="82" t="n"/>
      <c r="S1526" s="82" t="n"/>
      <c r="T1526" s="82" t="n"/>
      <c r="U1526" s="82" t="n"/>
      <c r="V1526" s="82" t="n"/>
      <c r="W1526" s="82" t="n"/>
      <c r="X1526" s="82" t="n"/>
      <c r="Y1526" s="82" t="n"/>
      <c r="Z1526" s="82" t="n"/>
    </row>
    <row r="1527" ht="15.75" customHeight="1" s="83">
      <c r="A1527" s="82" t="n"/>
      <c r="B1527" s="44" t="n"/>
      <c r="C1527" s="82" t="n"/>
      <c r="D1527" s="82" t="n"/>
      <c r="E1527" s="81" t="n"/>
      <c r="F1527" s="82" t="n"/>
      <c r="G1527" s="82" t="n"/>
      <c r="H1527" s="82" t="n"/>
      <c r="I1527" s="82" t="n"/>
      <c r="J1527" s="82" t="n"/>
      <c r="K1527" s="82" t="n"/>
      <c r="L1527" s="82" t="n"/>
      <c r="M1527" s="82" t="n"/>
      <c r="N1527" s="82" t="n"/>
      <c r="O1527" s="82" t="n"/>
      <c r="P1527" s="82" t="n"/>
      <c r="Q1527" s="82" t="n"/>
      <c r="R1527" s="82" t="n"/>
      <c r="S1527" s="82" t="n"/>
      <c r="T1527" s="82" t="n"/>
      <c r="U1527" s="82" t="n"/>
      <c r="V1527" s="82" t="n"/>
      <c r="W1527" s="82" t="n"/>
      <c r="X1527" s="82" t="n"/>
      <c r="Y1527" s="82" t="n"/>
      <c r="Z1527" s="82" t="n"/>
    </row>
    <row r="1528" ht="15.75" customHeight="1" s="83">
      <c r="A1528" s="82" t="n"/>
      <c r="B1528" s="44" t="n"/>
      <c r="C1528" s="82" t="n"/>
      <c r="D1528" s="82" t="n"/>
      <c r="E1528" s="81" t="n"/>
      <c r="F1528" s="82" t="n"/>
      <c r="G1528" s="82" t="n"/>
      <c r="H1528" s="82" t="n"/>
      <c r="I1528" s="82" t="n"/>
      <c r="J1528" s="82" t="n"/>
      <c r="K1528" s="82" t="n"/>
      <c r="L1528" s="82" t="n"/>
      <c r="M1528" s="82" t="n"/>
      <c r="N1528" s="82" t="n"/>
      <c r="O1528" s="82" t="n"/>
      <c r="P1528" s="82" t="n"/>
      <c r="Q1528" s="82" t="n"/>
      <c r="R1528" s="82" t="n"/>
      <c r="S1528" s="82" t="n"/>
      <c r="T1528" s="82" t="n"/>
      <c r="U1528" s="82" t="n"/>
      <c r="V1528" s="82" t="n"/>
      <c r="W1528" s="82" t="n"/>
      <c r="X1528" s="82" t="n"/>
      <c r="Y1528" s="82" t="n"/>
      <c r="Z1528" s="82" t="n"/>
    </row>
    <row r="1529" ht="15.75" customHeight="1" s="83">
      <c r="A1529" s="82" t="n"/>
      <c r="B1529" s="44" t="n"/>
      <c r="C1529" s="82" t="n"/>
      <c r="D1529" s="82" t="n"/>
      <c r="E1529" s="81" t="n"/>
      <c r="F1529" s="82" t="n"/>
      <c r="G1529" s="82" t="n"/>
      <c r="H1529" s="82" t="n"/>
      <c r="I1529" s="82" t="n"/>
      <c r="J1529" s="82" t="n"/>
      <c r="K1529" s="82" t="n"/>
      <c r="L1529" s="82" t="n"/>
      <c r="M1529" s="82" t="n"/>
      <c r="N1529" s="82" t="n"/>
      <c r="O1529" s="82" t="n"/>
      <c r="P1529" s="82" t="n"/>
      <c r="Q1529" s="82" t="n"/>
      <c r="R1529" s="82" t="n"/>
      <c r="S1529" s="82" t="n"/>
      <c r="T1529" s="82" t="n"/>
      <c r="U1529" s="82" t="n"/>
      <c r="V1529" s="82" t="n"/>
      <c r="W1529" s="82" t="n"/>
      <c r="X1529" s="82" t="n"/>
      <c r="Y1529" s="82" t="n"/>
      <c r="Z1529" s="82" t="n"/>
    </row>
    <row r="1530" ht="15.75" customHeight="1" s="83">
      <c r="A1530" s="82" t="n"/>
      <c r="B1530" s="44" t="n"/>
      <c r="C1530" s="82" t="n"/>
      <c r="D1530" s="82" t="n"/>
      <c r="E1530" s="81" t="n"/>
      <c r="F1530" s="82" t="n"/>
      <c r="G1530" s="82" t="n"/>
      <c r="H1530" s="82" t="n"/>
      <c r="I1530" s="82" t="n"/>
      <c r="J1530" s="82" t="n"/>
      <c r="K1530" s="82" t="n"/>
      <c r="L1530" s="82" t="n"/>
      <c r="M1530" s="82" t="n"/>
      <c r="N1530" s="82" t="n"/>
      <c r="O1530" s="82" t="n"/>
      <c r="P1530" s="82" t="n"/>
      <c r="Q1530" s="82" t="n"/>
      <c r="R1530" s="82" t="n"/>
      <c r="S1530" s="82" t="n"/>
      <c r="T1530" s="82" t="n"/>
      <c r="U1530" s="82" t="n"/>
      <c r="V1530" s="82" t="n"/>
      <c r="W1530" s="82" t="n"/>
      <c r="X1530" s="82" t="n"/>
      <c r="Y1530" s="82" t="n"/>
      <c r="Z1530" s="82" t="n"/>
    </row>
    <row r="1531" ht="15.75" customHeight="1" s="83">
      <c r="A1531" s="82" t="n"/>
      <c r="B1531" s="44" t="n"/>
      <c r="C1531" s="82" t="n"/>
      <c r="D1531" s="82" t="n"/>
      <c r="E1531" s="81" t="n"/>
      <c r="F1531" s="82" t="n"/>
      <c r="G1531" s="82" t="n"/>
      <c r="H1531" s="82" t="n"/>
      <c r="I1531" s="82" t="n"/>
      <c r="J1531" s="82" t="n"/>
      <c r="K1531" s="82" t="n"/>
      <c r="L1531" s="82" t="n"/>
      <c r="M1531" s="82" t="n"/>
      <c r="N1531" s="82" t="n"/>
      <c r="O1531" s="82" t="n"/>
      <c r="P1531" s="82" t="n"/>
      <c r="Q1531" s="82" t="n"/>
      <c r="R1531" s="82" t="n"/>
      <c r="S1531" s="82" t="n"/>
      <c r="T1531" s="82" t="n"/>
      <c r="U1531" s="82" t="n"/>
      <c r="V1531" s="82" t="n"/>
      <c r="W1531" s="82" t="n"/>
      <c r="X1531" s="82" t="n"/>
      <c r="Y1531" s="82" t="n"/>
      <c r="Z1531" s="82" t="n"/>
    </row>
    <row r="1532" ht="15.75" customHeight="1" s="83">
      <c r="A1532" s="82" t="n"/>
      <c r="B1532" s="44" t="n"/>
      <c r="C1532" s="82" t="n"/>
      <c r="D1532" s="82" t="n"/>
      <c r="E1532" s="81" t="n"/>
      <c r="F1532" s="82" t="n"/>
      <c r="G1532" s="82" t="n"/>
      <c r="H1532" s="82" t="n"/>
      <c r="I1532" s="82" t="n"/>
      <c r="J1532" s="82" t="n"/>
      <c r="K1532" s="82" t="n"/>
      <c r="L1532" s="82" t="n"/>
      <c r="M1532" s="82" t="n"/>
      <c r="N1532" s="82" t="n"/>
      <c r="O1532" s="82" t="n"/>
      <c r="P1532" s="82" t="n"/>
      <c r="Q1532" s="82" t="n"/>
      <c r="R1532" s="82" t="n"/>
      <c r="S1532" s="82" t="n"/>
      <c r="T1532" s="82" t="n"/>
      <c r="U1532" s="82" t="n"/>
      <c r="V1532" s="82" t="n"/>
      <c r="W1532" s="82" t="n"/>
      <c r="X1532" s="82" t="n"/>
      <c r="Y1532" s="82" t="n"/>
      <c r="Z1532" s="82" t="n"/>
    </row>
    <row r="1533" ht="15.75" customHeight="1" s="83">
      <c r="A1533" s="82" t="n"/>
      <c r="B1533" s="44" t="n"/>
      <c r="C1533" s="82" t="n"/>
      <c r="D1533" s="82" t="n"/>
      <c r="E1533" s="81" t="n"/>
      <c r="F1533" s="82" t="n"/>
      <c r="G1533" s="82" t="n"/>
      <c r="H1533" s="82" t="n"/>
      <c r="I1533" s="82" t="n"/>
      <c r="J1533" s="82" t="n"/>
      <c r="K1533" s="82" t="n"/>
      <c r="L1533" s="82" t="n"/>
      <c r="M1533" s="82" t="n"/>
      <c r="N1533" s="82" t="n"/>
      <c r="O1533" s="82" t="n"/>
      <c r="P1533" s="82" t="n"/>
      <c r="Q1533" s="82" t="n"/>
      <c r="R1533" s="82" t="n"/>
      <c r="S1533" s="82" t="n"/>
      <c r="T1533" s="82" t="n"/>
      <c r="U1533" s="82" t="n"/>
      <c r="V1533" s="82" t="n"/>
      <c r="W1533" s="82" t="n"/>
      <c r="X1533" s="82" t="n"/>
      <c r="Y1533" s="82" t="n"/>
      <c r="Z1533" s="82" t="n"/>
    </row>
    <row r="1534" ht="15.75" customHeight="1" s="83">
      <c r="A1534" s="82" t="n"/>
      <c r="B1534" s="44" t="n"/>
      <c r="C1534" s="82" t="n"/>
      <c r="D1534" s="82" t="n"/>
      <c r="E1534" s="81" t="n"/>
      <c r="F1534" s="82" t="n"/>
      <c r="G1534" s="82" t="n"/>
      <c r="H1534" s="82" t="n"/>
      <c r="I1534" s="82" t="n"/>
      <c r="J1534" s="82" t="n"/>
      <c r="K1534" s="82" t="n"/>
      <c r="L1534" s="82" t="n"/>
      <c r="M1534" s="82" t="n"/>
      <c r="N1534" s="82" t="n"/>
      <c r="O1534" s="82" t="n"/>
      <c r="P1534" s="82" t="n"/>
      <c r="Q1534" s="82" t="n"/>
      <c r="R1534" s="82" t="n"/>
      <c r="S1534" s="82" t="n"/>
      <c r="T1534" s="82" t="n"/>
      <c r="U1534" s="82" t="n"/>
      <c r="V1534" s="82" t="n"/>
      <c r="W1534" s="82" t="n"/>
      <c r="X1534" s="82" t="n"/>
      <c r="Y1534" s="82" t="n"/>
      <c r="Z1534" s="82" t="n"/>
    </row>
    <row r="1535" ht="15.75" customHeight="1" s="83">
      <c r="A1535" s="82" t="n"/>
      <c r="B1535" s="44" t="n"/>
      <c r="C1535" s="82" t="n"/>
      <c r="D1535" s="82" t="n"/>
      <c r="E1535" s="81" t="n"/>
      <c r="F1535" s="82" t="n"/>
      <c r="G1535" s="82" t="n"/>
      <c r="H1535" s="82" t="n"/>
      <c r="I1535" s="82" t="n"/>
      <c r="J1535" s="82" t="n"/>
      <c r="K1535" s="82" t="n"/>
      <c r="L1535" s="82" t="n"/>
      <c r="M1535" s="82" t="n"/>
      <c r="N1535" s="82" t="n"/>
      <c r="O1535" s="82" t="n"/>
      <c r="P1535" s="82" t="n"/>
      <c r="Q1535" s="82" t="n"/>
      <c r="R1535" s="82" t="n"/>
      <c r="S1535" s="82" t="n"/>
      <c r="T1535" s="82" t="n"/>
      <c r="U1535" s="82" t="n"/>
      <c r="V1535" s="82" t="n"/>
      <c r="W1535" s="82" t="n"/>
      <c r="X1535" s="82" t="n"/>
      <c r="Y1535" s="82" t="n"/>
      <c r="Z1535" s="82" t="n"/>
    </row>
    <row r="1536" ht="15.75" customHeight="1" s="83">
      <c r="A1536" s="82" t="n"/>
      <c r="B1536" s="44" t="n"/>
      <c r="C1536" s="82" t="n"/>
      <c r="D1536" s="82" t="n"/>
      <c r="E1536" s="81" t="n"/>
      <c r="F1536" s="82" t="n"/>
      <c r="G1536" s="82" t="n"/>
      <c r="H1536" s="82" t="n"/>
      <c r="I1536" s="82" t="n"/>
      <c r="J1536" s="82" t="n"/>
      <c r="K1536" s="82" t="n"/>
      <c r="L1536" s="82" t="n"/>
      <c r="M1536" s="82" t="n"/>
      <c r="N1536" s="82" t="n"/>
      <c r="O1536" s="82" t="n"/>
      <c r="P1536" s="82" t="n"/>
      <c r="Q1536" s="82" t="n"/>
      <c r="R1536" s="82" t="n"/>
      <c r="S1536" s="82" t="n"/>
      <c r="T1536" s="82" t="n"/>
      <c r="U1536" s="82" t="n"/>
      <c r="V1536" s="82" t="n"/>
      <c r="W1536" s="82" t="n"/>
      <c r="X1536" s="82" t="n"/>
      <c r="Y1536" s="82" t="n"/>
      <c r="Z1536" s="82" t="n"/>
    </row>
    <row r="1537" ht="15.75" customHeight="1" s="83">
      <c r="A1537" s="82" t="n"/>
      <c r="B1537" s="44" t="n"/>
      <c r="C1537" s="82" t="n"/>
      <c r="D1537" s="82" t="n"/>
      <c r="E1537" s="81" t="n"/>
      <c r="F1537" s="82" t="n"/>
      <c r="G1537" s="82" t="n"/>
      <c r="H1537" s="82" t="n"/>
      <c r="I1537" s="82" t="n"/>
      <c r="J1537" s="82" t="n"/>
      <c r="K1537" s="82" t="n"/>
      <c r="L1537" s="82" t="n"/>
      <c r="M1537" s="82" t="n"/>
      <c r="N1537" s="82" t="n"/>
      <c r="O1537" s="82" t="n"/>
      <c r="P1537" s="82" t="n"/>
      <c r="Q1537" s="82" t="n"/>
      <c r="R1537" s="82" t="n"/>
      <c r="S1537" s="82" t="n"/>
      <c r="T1537" s="82" t="n"/>
      <c r="U1537" s="82" t="n"/>
      <c r="V1537" s="82" t="n"/>
      <c r="W1537" s="82" t="n"/>
      <c r="X1537" s="82" t="n"/>
      <c r="Y1537" s="82" t="n"/>
      <c r="Z1537" s="82" t="n"/>
    </row>
    <row r="1538" ht="15.75" customHeight="1" s="83">
      <c r="A1538" s="82" t="n"/>
      <c r="B1538" s="44" t="n"/>
      <c r="C1538" s="82" t="n"/>
      <c r="D1538" s="82" t="n"/>
      <c r="E1538" s="81" t="n"/>
      <c r="F1538" s="82" t="n"/>
      <c r="G1538" s="82" t="n"/>
      <c r="H1538" s="82" t="n"/>
      <c r="I1538" s="82" t="n"/>
      <c r="J1538" s="82" t="n"/>
      <c r="K1538" s="82" t="n"/>
      <c r="L1538" s="82" t="n"/>
      <c r="M1538" s="82" t="n"/>
      <c r="N1538" s="82" t="n"/>
      <c r="O1538" s="82" t="n"/>
      <c r="P1538" s="82" t="n"/>
      <c r="Q1538" s="82" t="n"/>
      <c r="R1538" s="82" t="n"/>
      <c r="S1538" s="82" t="n"/>
      <c r="T1538" s="82" t="n"/>
      <c r="U1538" s="82" t="n"/>
      <c r="V1538" s="82" t="n"/>
      <c r="W1538" s="82" t="n"/>
      <c r="X1538" s="82" t="n"/>
      <c r="Y1538" s="82" t="n"/>
      <c r="Z1538" s="82" t="n"/>
    </row>
    <row r="1539" ht="15.75" customHeight="1" s="83">
      <c r="A1539" s="82" t="n"/>
      <c r="B1539" s="44" t="n"/>
      <c r="C1539" s="82" t="n"/>
      <c r="D1539" s="82" t="n"/>
      <c r="E1539" s="81" t="n"/>
      <c r="F1539" s="82" t="n"/>
      <c r="G1539" s="82" t="n"/>
      <c r="H1539" s="82" t="n"/>
      <c r="I1539" s="82" t="n"/>
      <c r="J1539" s="82" t="n"/>
      <c r="K1539" s="82" t="n"/>
      <c r="L1539" s="82" t="n"/>
      <c r="M1539" s="82" t="n"/>
      <c r="N1539" s="82" t="n"/>
      <c r="O1539" s="82" t="n"/>
      <c r="P1539" s="82" t="n"/>
      <c r="Q1539" s="82" t="n"/>
      <c r="R1539" s="82" t="n"/>
      <c r="S1539" s="82" t="n"/>
      <c r="T1539" s="82" t="n"/>
      <c r="U1539" s="82" t="n"/>
      <c r="V1539" s="82" t="n"/>
      <c r="W1539" s="82" t="n"/>
      <c r="X1539" s="82" t="n"/>
      <c r="Y1539" s="82" t="n"/>
      <c r="Z1539" s="82" t="n"/>
    </row>
    <row r="1540" ht="15.75" customHeight="1" s="83">
      <c r="A1540" s="82" t="n"/>
      <c r="B1540" s="44" t="n"/>
      <c r="C1540" s="82" t="n"/>
      <c r="D1540" s="82" t="n"/>
      <c r="E1540" s="81" t="n"/>
      <c r="F1540" s="82" t="n"/>
      <c r="G1540" s="82" t="n"/>
      <c r="H1540" s="82" t="n"/>
      <c r="I1540" s="82" t="n"/>
      <c r="J1540" s="82" t="n"/>
      <c r="K1540" s="82" t="n"/>
      <c r="L1540" s="82" t="n"/>
      <c r="M1540" s="82" t="n"/>
      <c r="N1540" s="82" t="n"/>
      <c r="O1540" s="82" t="n"/>
      <c r="P1540" s="82" t="n"/>
      <c r="Q1540" s="82" t="n"/>
      <c r="R1540" s="82" t="n"/>
      <c r="S1540" s="82" t="n"/>
      <c r="T1540" s="82" t="n"/>
      <c r="U1540" s="82" t="n"/>
      <c r="V1540" s="82" t="n"/>
      <c r="W1540" s="82" t="n"/>
      <c r="X1540" s="82" t="n"/>
      <c r="Y1540" s="82" t="n"/>
      <c r="Z1540" s="82" t="n"/>
    </row>
    <row r="1541" ht="15.75" customHeight="1" s="83">
      <c r="A1541" s="82" t="n"/>
      <c r="B1541" s="44" t="n"/>
      <c r="C1541" s="82" t="n"/>
      <c r="D1541" s="82" t="n"/>
      <c r="E1541" s="81" t="n"/>
      <c r="F1541" s="82" t="n"/>
      <c r="G1541" s="82" t="n"/>
      <c r="H1541" s="82" t="n"/>
      <c r="I1541" s="82" t="n"/>
      <c r="J1541" s="82" t="n"/>
      <c r="K1541" s="82" t="n"/>
      <c r="L1541" s="82" t="n"/>
      <c r="M1541" s="82" t="n"/>
      <c r="N1541" s="82" t="n"/>
      <c r="O1541" s="82" t="n"/>
      <c r="P1541" s="82" t="n"/>
      <c r="Q1541" s="82" t="n"/>
      <c r="R1541" s="82" t="n"/>
      <c r="S1541" s="82" t="n"/>
      <c r="T1541" s="82" t="n"/>
      <c r="U1541" s="82" t="n"/>
      <c r="V1541" s="82" t="n"/>
      <c r="W1541" s="82" t="n"/>
      <c r="X1541" s="82" t="n"/>
      <c r="Y1541" s="82" t="n"/>
      <c r="Z1541" s="82" t="n"/>
    </row>
    <row r="1542" ht="15.75" customHeight="1" s="83">
      <c r="A1542" s="82" t="n"/>
      <c r="B1542" s="44" t="n"/>
      <c r="C1542" s="82" t="n"/>
      <c r="D1542" s="82" t="n"/>
      <c r="E1542" s="81" t="n"/>
      <c r="F1542" s="82" t="n"/>
      <c r="G1542" s="82" t="n"/>
      <c r="H1542" s="82" t="n"/>
      <c r="I1542" s="82" t="n"/>
      <c r="J1542" s="82" t="n"/>
      <c r="K1542" s="82" t="n"/>
      <c r="L1542" s="82" t="n"/>
      <c r="M1542" s="82" t="n"/>
      <c r="N1542" s="82" t="n"/>
      <c r="O1542" s="82" t="n"/>
      <c r="P1542" s="82" t="n"/>
      <c r="Q1542" s="82" t="n"/>
      <c r="R1542" s="82" t="n"/>
      <c r="S1542" s="82" t="n"/>
      <c r="T1542" s="82" t="n"/>
      <c r="U1542" s="82" t="n"/>
      <c r="V1542" s="82" t="n"/>
      <c r="W1542" s="82" t="n"/>
      <c r="X1542" s="82" t="n"/>
      <c r="Y1542" s="82" t="n"/>
      <c r="Z1542" s="82" t="n"/>
    </row>
    <row r="1543" ht="15.75" customHeight="1" s="83">
      <c r="A1543" s="82" t="n"/>
      <c r="B1543" s="44" t="n"/>
      <c r="C1543" s="82" t="n"/>
      <c r="D1543" s="82" t="n"/>
      <c r="E1543" s="81" t="n"/>
      <c r="F1543" s="82" t="n"/>
      <c r="G1543" s="82" t="n"/>
      <c r="H1543" s="82" t="n"/>
      <c r="I1543" s="82" t="n"/>
      <c r="J1543" s="82" t="n"/>
      <c r="K1543" s="82" t="n"/>
      <c r="L1543" s="82" t="n"/>
      <c r="M1543" s="82" t="n"/>
      <c r="N1543" s="82" t="n"/>
      <c r="O1543" s="82" t="n"/>
      <c r="P1543" s="82" t="n"/>
      <c r="Q1543" s="82" t="n"/>
      <c r="R1543" s="82" t="n"/>
      <c r="S1543" s="82" t="n"/>
      <c r="T1543" s="82" t="n"/>
      <c r="U1543" s="82" t="n"/>
      <c r="V1543" s="82" t="n"/>
      <c r="W1543" s="82" t="n"/>
      <c r="X1543" s="82" t="n"/>
      <c r="Y1543" s="82" t="n"/>
      <c r="Z1543" s="82" t="n"/>
    </row>
    <row r="1544" ht="15.75" customHeight="1" s="83">
      <c r="A1544" s="82" t="n"/>
      <c r="B1544" s="44" t="n"/>
      <c r="C1544" s="82" t="n"/>
      <c r="D1544" s="82" t="n"/>
      <c r="E1544" s="81" t="n"/>
      <c r="F1544" s="82" t="n"/>
      <c r="G1544" s="82" t="n"/>
      <c r="H1544" s="82" t="n"/>
      <c r="I1544" s="82" t="n"/>
      <c r="J1544" s="82" t="n"/>
      <c r="K1544" s="82" t="n"/>
      <c r="L1544" s="82" t="n"/>
      <c r="M1544" s="82" t="n"/>
      <c r="N1544" s="82" t="n"/>
      <c r="O1544" s="82" t="n"/>
      <c r="P1544" s="82" t="n"/>
      <c r="Q1544" s="82" t="n"/>
      <c r="R1544" s="82" t="n"/>
      <c r="S1544" s="82" t="n"/>
      <c r="T1544" s="82" t="n"/>
      <c r="U1544" s="82" t="n"/>
      <c r="V1544" s="82" t="n"/>
      <c r="W1544" s="82" t="n"/>
      <c r="X1544" s="82" t="n"/>
      <c r="Y1544" s="82" t="n"/>
      <c r="Z1544" s="82" t="n"/>
    </row>
    <row r="1545" ht="15.75" customHeight="1" s="83">
      <c r="A1545" s="82" t="n"/>
      <c r="B1545" s="44" t="n"/>
      <c r="C1545" s="82" t="n"/>
      <c r="D1545" s="82" t="n"/>
      <c r="E1545" s="81" t="n"/>
      <c r="F1545" s="82" t="n"/>
      <c r="G1545" s="82" t="n"/>
      <c r="H1545" s="82" t="n"/>
      <c r="I1545" s="82" t="n"/>
      <c r="J1545" s="82" t="n"/>
      <c r="K1545" s="82" t="n"/>
      <c r="L1545" s="82" t="n"/>
      <c r="M1545" s="82" t="n"/>
      <c r="N1545" s="82" t="n"/>
      <c r="O1545" s="82" t="n"/>
      <c r="P1545" s="82" t="n"/>
      <c r="Q1545" s="82" t="n"/>
      <c r="R1545" s="82" t="n"/>
      <c r="S1545" s="82" t="n"/>
      <c r="T1545" s="82" t="n"/>
      <c r="U1545" s="82" t="n"/>
      <c r="V1545" s="82" t="n"/>
      <c r="W1545" s="82" t="n"/>
      <c r="X1545" s="82" t="n"/>
      <c r="Y1545" s="82" t="n"/>
      <c r="Z1545" s="82" t="n"/>
    </row>
    <row r="1546" ht="15.75" customHeight="1" s="83">
      <c r="A1546" s="82" t="n"/>
      <c r="B1546" s="44" t="n"/>
      <c r="C1546" s="82" t="n"/>
      <c r="D1546" s="82" t="n"/>
      <c r="E1546" s="81" t="n"/>
      <c r="F1546" s="82" t="n"/>
      <c r="G1546" s="82" t="n"/>
      <c r="H1546" s="82" t="n"/>
      <c r="I1546" s="82" t="n"/>
      <c r="J1546" s="82" t="n"/>
      <c r="K1546" s="82" t="n"/>
      <c r="L1546" s="82" t="n"/>
      <c r="M1546" s="82" t="n"/>
      <c r="N1546" s="82" t="n"/>
      <c r="O1546" s="82" t="n"/>
      <c r="P1546" s="82" t="n"/>
      <c r="Q1546" s="82" t="n"/>
      <c r="R1546" s="82" t="n"/>
      <c r="S1546" s="82" t="n"/>
      <c r="T1546" s="82" t="n"/>
      <c r="U1546" s="82" t="n"/>
      <c r="V1546" s="82" t="n"/>
      <c r="W1546" s="82" t="n"/>
      <c r="X1546" s="82" t="n"/>
      <c r="Y1546" s="82" t="n"/>
      <c r="Z1546" s="82" t="n"/>
    </row>
    <row r="1547" ht="15.75" customHeight="1" s="83">
      <c r="A1547" s="82" t="n"/>
      <c r="B1547" s="44" t="n"/>
      <c r="C1547" s="82" t="n"/>
      <c r="D1547" s="82" t="n"/>
      <c r="E1547" s="81" t="n"/>
      <c r="F1547" s="82" t="n"/>
      <c r="G1547" s="82" t="n"/>
      <c r="H1547" s="82" t="n"/>
      <c r="I1547" s="82" t="n"/>
      <c r="J1547" s="82" t="n"/>
      <c r="K1547" s="82" t="n"/>
      <c r="L1547" s="82" t="n"/>
      <c r="M1547" s="82" t="n"/>
      <c r="N1547" s="82" t="n"/>
      <c r="O1547" s="82" t="n"/>
      <c r="P1547" s="82" t="n"/>
      <c r="Q1547" s="82" t="n"/>
      <c r="R1547" s="82" t="n"/>
      <c r="S1547" s="82" t="n"/>
      <c r="T1547" s="82" t="n"/>
      <c r="U1547" s="82" t="n"/>
      <c r="V1547" s="82" t="n"/>
      <c r="W1547" s="82" t="n"/>
      <c r="X1547" s="82" t="n"/>
      <c r="Y1547" s="82" t="n"/>
      <c r="Z1547" s="82" t="n"/>
    </row>
    <row r="1548" ht="15.75" customHeight="1" s="83">
      <c r="A1548" s="82" t="n"/>
      <c r="B1548" s="44" t="n"/>
      <c r="C1548" s="82" t="n"/>
      <c r="D1548" s="82" t="n"/>
      <c r="E1548" s="81" t="n"/>
      <c r="F1548" s="82" t="n"/>
      <c r="G1548" s="82" t="n"/>
      <c r="H1548" s="82" t="n"/>
      <c r="I1548" s="82" t="n"/>
      <c r="J1548" s="82" t="n"/>
      <c r="K1548" s="82" t="n"/>
      <c r="L1548" s="82" t="n"/>
      <c r="M1548" s="82" t="n"/>
      <c r="N1548" s="82" t="n"/>
      <c r="O1548" s="82" t="n"/>
      <c r="P1548" s="82" t="n"/>
      <c r="Q1548" s="82" t="n"/>
      <c r="R1548" s="82" t="n"/>
      <c r="S1548" s="82" t="n"/>
      <c r="T1548" s="82" t="n"/>
      <c r="U1548" s="82" t="n"/>
      <c r="V1548" s="82" t="n"/>
      <c r="W1548" s="82" t="n"/>
      <c r="X1548" s="82" t="n"/>
      <c r="Y1548" s="82" t="n"/>
      <c r="Z1548" s="82" t="n"/>
    </row>
    <row r="1549" ht="15.75" customHeight="1" s="83">
      <c r="A1549" s="82" t="n"/>
      <c r="B1549" s="44" t="n"/>
      <c r="C1549" s="82" t="n"/>
      <c r="D1549" s="82" t="n"/>
      <c r="E1549" s="81" t="n"/>
      <c r="F1549" s="82" t="n"/>
      <c r="G1549" s="82" t="n"/>
      <c r="H1549" s="82" t="n"/>
      <c r="I1549" s="82" t="n"/>
      <c r="J1549" s="82" t="n"/>
      <c r="K1549" s="82" t="n"/>
      <c r="L1549" s="82" t="n"/>
      <c r="M1549" s="82" t="n"/>
      <c r="N1549" s="82" t="n"/>
      <c r="O1549" s="82" t="n"/>
      <c r="P1549" s="82" t="n"/>
      <c r="Q1549" s="82" t="n"/>
      <c r="R1549" s="82" t="n"/>
      <c r="S1549" s="82" t="n"/>
      <c r="T1549" s="82" t="n"/>
      <c r="U1549" s="82" t="n"/>
      <c r="V1549" s="82" t="n"/>
      <c r="W1549" s="82" t="n"/>
      <c r="X1549" s="82" t="n"/>
      <c r="Y1549" s="82" t="n"/>
      <c r="Z1549" s="82" t="n"/>
    </row>
    <row r="1550" ht="15.75" customHeight="1" s="83">
      <c r="A1550" s="82" t="n"/>
      <c r="B1550" s="44" t="n"/>
      <c r="C1550" s="82" t="n"/>
      <c r="D1550" s="82" t="n"/>
      <c r="E1550" s="81" t="n"/>
      <c r="F1550" s="82" t="n"/>
      <c r="G1550" s="82" t="n"/>
      <c r="H1550" s="82" t="n"/>
      <c r="I1550" s="82" t="n"/>
      <c r="J1550" s="82" t="n"/>
      <c r="K1550" s="82" t="n"/>
      <c r="L1550" s="82" t="n"/>
      <c r="M1550" s="82" t="n"/>
      <c r="N1550" s="82" t="n"/>
      <c r="O1550" s="82" t="n"/>
      <c r="P1550" s="82" t="n"/>
      <c r="Q1550" s="82" t="n"/>
      <c r="R1550" s="82" t="n"/>
      <c r="S1550" s="82" t="n"/>
      <c r="T1550" s="82" t="n"/>
      <c r="U1550" s="82" t="n"/>
      <c r="V1550" s="82" t="n"/>
      <c r="W1550" s="82" t="n"/>
      <c r="X1550" s="82" t="n"/>
      <c r="Y1550" s="82" t="n"/>
      <c r="Z1550" s="82" t="n"/>
    </row>
    <row r="1551" ht="15.75" customHeight="1" s="83">
      <c r="A1551" s="82" t="n"/>
      <c r="B1551" s="44" t="n"/>
      <c r="C1551" s="82" t="n"/>
      <c r="D1551" s="82" t="n"/>
      <c r="E1551" s="81" t="n"/>
      <c r="F1551" s="82" t="n"/>
      <c r="G1551" s="82" t="n"/>
      <c r="H1551" s="82" t="n"/>
      <c r="I1551" s="82" t="n"/>
      <c r="J1551" s="82" t="n"/>
      <c r="K1551" s="82" t="n"/>
      <c r="L1551" s="82" t="n"/>
      <c r="M1551" s="82" t="n"/>
      <c r="N1551" s="82" t="n"/>
      <c r="O1551" s="82" t="n"/>
      <c r="P1551" s="82" t="n"/>
      <c r="Q1551" s="82" t="n"/>
      <c r="R1551" s="82" t="n"/>
      <c r="S1551" s="82" t="n"/>
      <c r="T1551" s="82" t="n"/>
      <c r="U1551" s="82" t="n"/>
      <c r="V1551" s="82" t="n"/>
      <c r="W1551" s="82" t="n"/>
      <c r="X1551" s="82" t="n"/>
      <c r="Y1551" s="82" t="n"/>
      <c r="Z1551" s="82" t="n"/>
    </row>
    <row r="1552" ht="15.75" customHeight="1" s="83">
      <c r="A1552" s="82" t="n"/>
      <c r="B1552" s="44" t="n"/>
      <c r="C1552" s="82" t="n"/>
      <c r="D1552" s="82" t="n"/>
      <c r="E1552" s="81" t="n"/>
      <c r="F1552" s="82" t="n"/>
      <c r="G1552" s="82" t="n"/>
      <c r="H1552" s="82" t="n"/>
      <c r="I1552" s="82" t="n"/>
      <c r="J1552" s="82" t="n"/>
      <c r="K1552" s="82" t="n"/>
      <c r="L1552" s="82" t="n"/>
      <c r="M1552" s="82" t="n"/>
      <c r="N1552" s="82" t="n"/>
      <c r="O1552" s="82" t="n"/>
      <c r="P1552" s="82" t="n"/>
      <c r="Q1552" s="82" t="n"/>
      <c r="R1552" s="82" t="n"/>
      <c r="S1552" s="82" t="n"/>
      <c r="T1552" s="82" t="n"/>
      <c r="U1552" s="82" t="n"/>
      <c r="V1552" s="82" t="n"/>
      <c r="W1552" s="82" t="n"/>
      <c r="X1552" s="82" t="n"/>
      <c r="Y1552" s="82" t="n"/>
      <c r="Z1552" s="82" t="n"/>
    </row>
    <row r="1553" ht="15.75" customHeight="1" s="83">
      <c r="A1553" s="82" t="n"/>
      <c r="B1553" s="44" t="n"/>
      <c r="C1553" s="82" t="n"/>
      <c r="D1553" s="82" t="n"/>
      <c r="E1553" s="81" t="n"/>
      <c r="F1553" s="82" t="n"/>
      <c r="G1553" s="82" t="n"/>
      <c r="H1553" s="82" t="n"/>
      <c r="I1553" s="82" t="n"/>
      <c r="J1553" s="82" t="n"/>
      <c r="K1553" s="82" t="n"/>
      <c r="L1553" s="82" t="n"/>
      <c r="M1553" s="82" t="n"/>
      <c r="N1553" s="82" t="n"/>
      <c r="O1553" s="82" t="n"/>
      <c r="P1553" s="82" t="n"/>
      <c r="Q1553" s="82" t="n"/>
      <c r="R1553" s="82" t="n"/>
      <c r="S1553" s="82" t="n"/>
      <c r="T1553" s="82" t="n"/>
      <c r="U1553" s="82" t="n"/>
      <c r="V1553" s="82" t="n"/>
      <c r="W1553" s="82" t="n"/>
      <c r="X1553" s="82" t="n"/>
      <c r="Y1553" s="82" t="n"/>
      <c r="Z1553" s="82" t="n"/>
    </row>
    <row r="1554" ht="15.75" customHeight="1" s="83">
      <c r="A1554" s="82" t="n"/>
      <c r="B1554" s="44" t="n"/>
      <c r="C1554" s="82" t="n"/>
      <c r="D1554" s="82" t="n"/>
      <c r="E1554" s="81" t="n"/>
      <c r="F1554" s="82" t="n"/>
      <c r="G1554" s="82" t="n"/>
      <c r="H1554" s="82" t="n"/>
      <c r="I1554" s="82" t="n"/>
      <c r="J1554" s="82" t="n"/>
      <c r="K1554" s="82" t="n"/>
      <c r="L1554" s="82" t="n"/>
      <c r="M1554" s="82" t="n"/>
      <c r="N1554" s="82" t="n"/>
      <c r="O1554" s="82" t="n"/>
      <c r="P1554" s="82" t="n"/>
      <c r="Q1554" s="82" t="n"/>
      <c r="R1554" s="82" t="n"/>
      <c r="S1554" s="82" t="n"/>
      <c r="T1554" s="82" t="n"/>
      <c r="U1554" s="82" t="n"/>
      <c r="V1554" s="82" t="n"/>
      <c r="W1554" s="82" t="n"/>
      <c r="X1554" s="82" t="n"/>
      <c r="Y1554" s="82" t="n"/>
      <c r="Z1554" s="82" t="n"/>
    </row>
    <row r="1555" ht="15.75" customHeight="1" s="83">
      <c r="A1555" s="82" t="n"/>
      <c r="B1555" s="44" t="n"/>
      <c r="C1555" s="82" t="n"/>
      <c r="D1555" s="82" t="n"/>
      <c r="E1555" s="81" t="n"/>
      <c r="F1555" s="82" t="n"/>
      <c r="G1555" s="82" t="n"/>
      <c r="H1555" s="82" t="n"/>
      <c r="I1555" s="82" t="n"/>
      <c r="J1555" s="82" t="n"/>
      <c r="K1555" s="82" t="n"/>
      <c r="L1555" s="82" t="n"/>
      <c r="M1555" s="82" t="n"/>
      <c r="N1555" s="82" t="n"/>
      <c r="O1555" s="82" t="n"/>
      <c r="P1555" s="82" t="n"/>
      <c r="Q1555" s="82" t="n"/>
      <c r="R1555" s="82" t="n"/>
      <c r="S1555" s="82" t="n"/>
      <c r="T1555" s="82" t="n"/>
      <c r="U1555" s="82" t="n"/>
      <c r="V1555" s="82" t="n"/>
      <c r="W1555" s="82" t="n"/>
      <c r="X1555" s="82" t="n"/>
      <c r="Y1555" s="82" t="n"/>
      <c r="Z1555" s="82" t="n"/>
    </row>
    <row r="1556" ht="15.75" customHeight="1" s="83">
      <c r="A1556" s="82" t="n"/>
      <c r="B1556" s="44" t="n"/>
      <c r="C1556" s="82" t="n"/>
      <c r="D1556" s="82" t="n"/>
      <c r="E1556" s="81" t="n"/>
      <c r="F1556" s="82" t="n"/>
      <c r="G1556" s="82" t="n"/>
      <c r="H1556" s="82" t="n"/>
      <c r="I1556" s="82" t="n"/>
      <c r="J1556" s="82" t="n"/>
      <c r="K1556" s="82" t="n"/>
      <c r="L1556" s="82" t="n"/>
      <c r="M1556" s="82" t="n"/>
      <c r="N1556" s="82" t="n"/>
      <c r="O1556" s="82" t="n"/>
      <c r="P1556" s="82" t="n"/>
      <c r="Q1556" s="82" t="n"/>
      <c r="R1556" s="82" t="n"/>
      <c r="S1556" s="82" t="n"/>
      <c r="T1556" s="82" t="n"/>
      <c r="U1556" s="82" t="n"/>
      <c r="V1556" s="82" t="n"/>
      <c r="W1556" s="82" t="n"/>
      <c r="X1556" s="82" t="n"/>
      <c r="Y1556" s="82" t="n"/>
      <c r="Z1556" s="82" t="n"/>
    </row>
    <row r="1557" ht="15.75" customHeight="1" s="83">
      <c r="A1557" s="82" t="n"/>
      <c r="B1557" s="44" t="n"/>
      <c r="C1557" s="82" t="n"/>
      <c r="D1557" s="82" t="n"/>
      <c r="E1557" s="81" t="n"/>
      <c r="F1557" s="82" t="n"/>
      <c r="G1557" s="82" t="n"/>
      <c r="H1557" s="82" t="n"/>
      <c r="I1557" s="82" t="n"/>
      <c r="J1557" s="82" t="n"/>
      <c r="K1557" s="82" t="n"/>
      <c r="L1557" s="82" t="n"/>
      <c r="M1557" s="82" t="n"/>
      <c r="N1557" s="82" t="n"/>
      <c r="O1557" s="82" t="n"/>
      <c r="P1557" s="82" t="n"/>
      <c r="Q1557" s="82" t="n"/>
      <c r="R1557" s="82" t="n"/>
      <c r="S1557" s="82" t="n"/>
      <c r="T1557" s="82" t="n"/>
      <c r="U1557" s="82" t="n"/>
      <c r="V1557" s="82" t="n"/>
      <c r="W1557" s="82" t="n"/>
      <c r="X1557" s="82" t="n"/>
      <c r="Y1557" s="82" t="n"/>
      <c r="Z1557" s="82" t="n"/>
    </row>
    <row r="1558" ht="15.75" customHeight="1" s="83">
      <c r="A1558" s="82" t="n"/>
      <c r="B1558" s="44" t="n"/>
      <c r="C1558" s="82" t="n"/>
      <c r="D1558" s="82" t="n"/>
      <c r="E1558" s="81" t="n"/>
      <c r="F1558" s="82" t="n"/>
      <c r="G1558" s="82" t="n"/>
      <c r="H1558" s="82" t="n"/>
      <c r="I1558" s="82" t="n"/>
      <c r="J1558" s="82" t="n"/>
      <c r="K1558" s="82" t="n"/>
      <c r="L1558" s="82" t="n"/>
      <c r="M1558" s="82" t="n"/>
      <c r="N1558" s="82" t="n"/>
      <c r="O1558" s="82" t="n"/>
      <c r="P1558" s="82" t="n"/>
      <c r="Q1558" s="82" t="n"/>
      <c r="R1558" s="82" t="n"/>
      <c r="S1558" s="82" t="n"/>
      <c r="T1558" s="82" t="n"/>
      <c r="U1558" s="82" t="n"/>
      <c r="V1558" s="82" t="n"/>
      <c r="W1558" s="82" t="n"/>
      <c r="X1558" s="82" t="n"/>
      <c r="Y1558" s="82" t="n"/>
      <c r="Z1558" s="82" t="n"/>
    </row>
    <row r="1559" ht="15.75" customHeight="1" s="83">
      <c r="A1559" s="82" t="n"/>
      <c r="B1559" s="44" t="n"/>
      <c r="C1559" s="82" t="n"/>
      <c r="D1559" s="82" t="n"/>
      <c r="E1559" s="81" t="n"/>
      <c r="F1559" s="82" t="n"/>
      <c r="G1559" s="82" t="n"/>
      <c r="H1559" s="82" t="n"/>
      <c r="I1559" s="82" t="n"/>
      <c r="J1559" s="82" t="n"/>
      <c r="K1559" s="82" t="n"/>
      <c r="L1559" s="82" t="n"/>
      <c r="M1559" s="82" t="n"/>
      <c r="N1559" s="82" t="n"/>
      <c r="O1559" s="82" t="n"/>
      <c r="P1559" s="82" t="n"/>
      <c r="Q1559" s="82" t="n"/>
      <c r="R1559" s="82" t="n"/>
      <c r="S1559" s="82" t="n"/>
      <c r="T1559" s="82" t="n"/>
      <c r="U1559" s="82" t="n"/>
      <c r="V1559" s="82" t="n"/>
      <c r="W1559" s="82" t="n"/>
      <c r="X1559" s="82" t="n"/>
      <c r="Y1559" s="82" t="n"/>
      <c r="Z1559" s="82" t="n"/>
    </row>
    <row r="1560" ht="15.75" customHeight="1" s="83">
      <c r="A1560" s="82" t="n"/>
      <c r="B1560" s="44" t="n"/>
      <c r="C1560" s="82" t="n"/>
      <c r="D1560" s="82" t="n"/>
      <c r="E1560" s="81" t="n"/>
      <c r="F1560" s="82" t="n"/>
      <c r="G1560" s="82" t="n"/>
      <c r="H1560" s="82" t="n"/>
      <c r="I1560" s="82" t="n"/>
      <c r="J1560" s="82" t="n"/>
      <c r="K1560" s="82" t="n"/>
      <c r="L1560" s="82" t="n"/>
      <c r="M1560" s="82" t="n"/>
      <c r="N1560" s="82" t="n"/>
      <c r="O1560" s="82" t="n"/>
      <c r="P1560" s="82" t="n"/>
      <c r="Q1560" s="82" t="n"/>
      <c r="R1560" s="82" t="n"/>
      <c r="S1560" s="82" t="n"/>
      <c r="T1560" s="82" t="n"/>
      <c r="U1560" s="82" t="n"/>
      <c r="V1560" s="82" t="n"/>
      <c r="W1560" s="82" t="n"/>
      <c r="X1560" s="82" t="n"/>
      <c r="Y1560" s="82" t="n"/>
      <c r="Z1560" s="82" t="n"/>
    </row>
    <row r="1561" ht="15.75" customHeight="1" s="83">
      <c r="A1561" s="82" t="n"/>
      <c r="B1561" s="44" t="n"/>
      <c r="C1561" s="82" t="n"/>
      <c r="D1561" s="82" t="n"/>
      <c r="E1561" s="81" t="n"/>
      <c r="F1561" s="82" t="n"/>
      <c r="G1561" s="82" t="n"/>
      <c r="H1561" s="82" t="n"/>
      <c r="I1561" s="82" t="n"/>
      <c r="J1561" s="82" t="n"/>
      <c r="K1561" s="82" t="n"/>
      <c r="L1561" s="82" t="n"/>
      <c r="M1561" s="82" t="n"/>
      <c r="N1561" s="82" t="n"/>
      <c r="O1561" s="82" t="n"/>
      <c r="P1561" s="82" t="n"/>
      <c r="Q1561" s="82" t="n"/>
      <c r="R1561" s="82" t="n"/>
      <c r="S1561" s="82" t="n"/>
      <c r="T1561" s="82" t="n"/>
      <c r="U1561" s="82" t="n"/>
      <c r="V1561" s="82" t="n"/>
      <c r="W1561" s="82" t="n"/>
      <c r="X1561" s="82" t="n"/>
      <c r="Y1561" s="82" t="n"/>
      <c r="Z1561" s="82" t="n"/>
    </row>
    <row r="1562" ht="15.75" customHeight="1" s="83">
      <c r="A1562" s="82" t="n"/>
      <c r="B1562" s="44" t="n"/>
      <c r="C1562" s="82" t="n"/>
      <c r="D1562" s="82" t="n"/>
      <c r="E1562" s="81" t="n"/>
      <c r="F1562" s="82" t="n"/>
      <c r="G1562" s="82" t="n"/>
      <c r="H1562" s="82" t="n"/>
      <c r="I1562" s="82" t="n"/>
      <c r="J1562" s="82" t="n"/>
      <c r="K1562" s="82" t="n"/>
      <c r="L1562" s="82" t="n"/>
      <c r="M1562" s="82" t="n"/>
      <c r="N1562" s="82" t="n"/>
      <c r="O1562" s="82" t="n"/>
      <c r="P1562" s="82" t="n"/>
      <c r="Q1562" s="82" t="n"/>
      <c r="R1562" s="82" t="n"/>
      <c r="S1562" s="82" t="n"/>
      <c r="T1562" s="82" t="n"/>
      <c r="U1562" s="82" t="n"/>
      <c r="V1562" s="82" t="n"/>
      <c r="W1562" s="82" t="n"/>
      <c r="X1562" s="82" t="n"/>
      <c r="Y1562" s="82" t="n"/>
      <c r="Z1562" s="82" t="n"/>
    </row>
    <row r="1563" ht="15.75" customHeight="1" s="83">
      <c r="A1563" s="82" t="n"/>
      <c r="B1563" s="44" t="n"/>
      <c r="C1563" s="82" t="n"/>
      <c r="D1563" s="82" t="n"/>
      <c r="E1563" s="81" t="n"/>
      <c r="F1563" s="82" t="n"/>
      <c r="G1563" s="82" t="n"/>
      <c r="H1563" s="82" t="n"/>
      <c r="I1563" s="82" t="n"/>
      <c r="J1563" s="82" t="n"/>
      <c r="K1563" s="82" t="n"/>
      <c r="L1563" s="82" t="n"/>
      <c r="M1563" s="82" t="n"/>
      <c r="N1563" s="82" t="n"/>
      <c r="O1563" s="82" t="n"/>
      <c r="P1563" s="82" t="n"/>
      <c r="Q1563" s="82" t="n"/>
      <c r="R1563" s="82" t="n"/>
      <c r="S1563" s="82" t="n"/>
      <c r="T1563" s="82" t="n"/>
      <c r="U1563" s="82" t="n"/>
      <c r="V1563" s="82" t="n"/>
      <c r="W1563" s="82" t="n"/>
      <c r="X1563" s="82" t="n"/>
      <c r="Y1563" s="82" t="n"/>
      <c r="Z1563" s="82" t="n"/>
    </row>
    <row r="1564" ht="15.75" customHeight="1" s="83">
      <c r="A1564" s="82" t="n"/>
      <c r="B1564" s="44" t="n"/>
      <c r="C1564" s="82" t="n"/>
      <c r="D1564" s="82" t="n"/>
      <c r="E1564" s="81" t="n"/>
      <c r="F1564" s="82" t="n"/>
      <c r="G1564" s="82" t="n"/>
      <c r="H1564" s="82" t="n"/>
      <c r="I1564" s="82" t="n"/>
      <c r="J1564" s="82" t="n"/>
      <c r="K1564" s="82" t="n"/>
      <c r="L1564" s="82" t="n"/>
      <c r="M1564" s="82" t="n"/>
      <c r="N1564" s="82" t="n"/>
      <c r="O1564" s="82" t="n"/>
      <c r="P1564" s="82" t="n"/>
      <c r="Q1564" s="82" t="n"/>
      <c r="R1564" s="82" t="n"/>
      <c r="S1564" s="82" t="n"/>
      <c r="T1564" s="82" t="n"/>
      <c r="U1564" s="82" t="n"/>
      <c r="V1564" s="82" t="n"/>
      <c r="W1564" s="82" t="n"/>
      <c r="X1564" s="82" t="n"/>
      <c r="Y1564" s="82" t="n"/>
      <c r="Z1564" s="82" t="n"/>
    </row>
    <row r="1565" ht="15.75" customHeight="1" s="83">
      <c r="A1565" s="82" t="n"/>
      <c r="B1565" s="44" t="n"/>
      <c r="C1565" s="82" t="n"/>
      <c r="D1565" s="82" t="n"/>
      <c r="E1565" s="81" t="n"/>
      <c r="F1565" s="82" t="n"/>
      <c r="G1565" s="82" t="n"/>
      <c r="H1565" s="82" t="n"/>
      <c r="I1565" s="82" t="n"/>
      <c r="J1565" s="82" t="n"/>
      <c r="K1565" s="82" t="n"/>
      <c r="L1565" s="82" t="n"/>
      <c r="M1565" s="82" t="n"/>
      <c r="N1565" s="82" t="n"/>
      <c r="O1565" s="82" t="n"/>
      <c r="P1565" s="82" t="n"/>
      <c r="Q1565" s="82" t="n"/>
      <c r="R1565" s="82" t="n"/>
      <c r="S1565" s="82" t="n"/>
      <c r="T1565" s="82" t="n"/>
      <c r="U1565" s="82" t="n"/>
      <c r="V1565" s="82" t="n"/>
      <c r="W1565" s="82" t="n"/>
      <c r="X1565" s="82" t="n"/>
      <c r="Y1565" s="82" t="n"/>
      <c r="Z1565" s="82" t="n"/>
    </row>
    <row r="1566" ht="15.75" customHeight="1" s="83">
      <c r="A1566" s="82" t="n"/>
      <c r="B1566" s="44" t="n"/>
      <c r="C1566" s="82" t="n"/>
      <c r="D1566" s="82" t="n"/>
      <c r="E1566" s="81" t="n"/>
      <c r="F1566" s="82" t="n"/>
      <c r="G1566" s="82" t="n"/>
      <c r="H1566" s="82" t="n"/>
      <c r="I1566" s="82" t="n"/>
      <c r="J1566" s="82" t="n"/>
      <c r="K1566" s="82" t="n"/>
      <c r="L1566" s="82" t="n"/>
      <c r="M1566" s="82" t="n"/>
      <c r="N1566" s="82" t="n"/>
      <c r="O1566" s="82" t="n"/>
      <c r="P1566" s="82" t="n"/>
      <c r="Q1566" s="82" t="n"/>
      <c r="R1566" s="82" t="n"/>
      <c r="S1566" s="82" t="n"/>
      <c r="T1566" s="82" t="n"/>
      <c r="U1566" s="82" t="n"/>
      <c r="V1566" s="82" t="n"/>
      <c r="W1566" s="82" t="n"/>
      <c r="X1566" s="82" t="n"/>
      <c r="Y1566" s="82" t="n"/>
      <c r="Z1566" s="82" t="n"/>
    </row>
    <row r="1567" ht="15.75" customHeight="1" s="83">
      <c r="A1567" s="82" t="n"/>
      <c r="B1567" s="44" t="n"/>
      <c r="C1567" s="82" t="n"/>
      <c r="D1567" s="82" t="n"/>
      <c r="E1567" s="81" t="n"/>
      <c r="F1567" s="82" t="n"/>
      <c r="G1567" s="82" t="n"/>
      <c r="H1567" s="82" t="n"/>
      <c r="I1567" s="82" t="n"/>
      <c r="J1567" s="82" t="n"/>
      <c r="K1567" s="82" t="n"/>
      <c r="L1567" s="82" t="n"/>
      <c r="M1567" s="82" t="n"/>
      <c r="N1567" s="82" t="n"/>
      <c r="O1567" s="82" t="n"/>
      <c r="P1567" s="82" t="n"/>
      <c r="Q1567" s="82" t="n"/>
      <c r="R1567" s="82" t="n"/>
      <c r="S1567" s="82" t="n"/>
      <c r="T1567" s="82" t="n"/>
      <c r="U1567" s="82" t="n"/>
      <c r="V1567" s="82" t="n"/>
      <c r="W1567" s="82" t="n"/>
      <c r="X1567" s="82" t="n"/>
      <c r="Y1567" s="82" t="n"/>
      <c r="Z1567" s="82" t="n"/>
    </row>
    <row r="1568" ht="15.75" customHeight="1" s="83">
      <c r="A1568" s="82" t="n"/>
      <c r="B1568" s="44" t="n"/>
      <c r="C1568" s="82" t="n"/>
      <c r="D1568" s="82" t="n"/>
      <c r="E1568" s="81" t="n"/>
      <c r="F1568" s="82" t="n"/>
      <c r="G1568" s="82" t="n"/>
      <c r="H1568" s="82" t="n"/>
      <c r="I1568" s="82" t="n"/>
      <c r="J1568" s="82" t="n"/>
      <c r="K1568" s="82" t="n"/>
      <c r="L1568" s="82" t="n"/>
      <c r="M1568" s="82" t="n"/>
      <c r="N1568" s="82" t="n"/>
      <c r="O1568" s="82" t="n"/>
      <c r="P1568" s="82" t="n"/>
      <c r="Q1568" s="82" t="n"/>
      <c r="R1568" s="82" t="n"/>
      <c r="S1568" s="82" t="n"/>
      <c r="T1568" s="82" t="n"/>
      <c r="U1568" s="82" t="n"/>
      <c r="V1568" s="82" t="n"/>
      <c r="W1568" s="82" t="n"/>
      <c r="X1568" s="82" t="n"/>
      <c r="Y1568" s="82" t="n"/>
      <c r="Z1568" s="82" t="n"/>
    </row>
    <row r="1569" ht="15.75" customHeight="1" s="83">
      <c r="A1569" s="82" t="n"/>
      <c r="B1569" s="44" t="n"/>
      <c r="C1569" s="82" t="n"/>
      <c r="D1569" s="82" t="n"/>
      <c r="E1569" s="81" t="n"/>
      <c r="F1569" s="82" t="n"/>
      <c r="G1569" s="82" t="n"/>
      <c r="H1569" s="82" t="n"/>
      <c r="I1569" s="82" t="n"/>
      <c r="J1569" s="82" t="n"/>
      <c r="K1569" s="82" t="n"/>
      <c r="L1569" s="82" t="n"/>
      <c r="M1569" s="82" t="n"/>
      <c r="N1569" s="82" t="n"/>
      <c r="O1569" s="82" t="n"/>
      <c r="P1569" s="82" t="n"/>
      <c r="Q1569" s="82" t="n"/>
      <c r="R1569" s="82" t="n"/>
      <c r="S1569" s="82" t="n"/>
      <c r="T1569" s="82" t="n"/>
      <c r="U1569" s="82" t="n"/>
      <c r="V1569" s="82" t="n"/>
      <c r="W1569" s="82" t="n"/>
      <c r="X1569" s="82" t="n"/>
      <c r="Y1569" s="82" t="n"/>
      <c r="Z1569" s="82" t="n"/>
    </row>
    <row r="1570" ht="15.75" customHeight="1" s="83">
      <c r="A1570" s="82" t="n"/>
      <c r="B1570" s="44" t="n"/>
      <c r="C1570" s="82" t="n"/>
      <c r="D1570" s="82" t="n"/>
      <c r="E1570" s="81" t="n"/>
      <c r="F1570" s="82" t="n"/>
      <c r="G1570" s="82" t="n"/>
      <c r="H1570" s="82" t="n"/>
      <c r="I1570" s="82" t="n"/>
      <c r="J1570" s="82" t="n"/>
      <c r="K1570" s="82" t="n"/>
      <c r="L1570" s="82" t="n"/>
      <c r="M1570" s="82" t="n"/>
      <c r="N1570" s="82" t="n"/>
      <c r="O1570" s="82" t="n"/>
      <c r="P1570" s="82" t="n"/>
      <c r="Q1570" s="82" t="n"/>
      <c r="R1570" s="82" t="n"/>
      <c r="S1570" s="82" t="n"/>
      <c r="T1570" s="82" t="n"/>
      <c r="U1570" s="82" t="n"/>
      <c r="V1570" s="82" t="n"/>
      <c r="W1570" s="82" t="n"/>
      <c r="X1570" s="82" t="n"/>
      <c r="Y1570" s="82" t="n"/>
      <c r="Z1570" s="82" t="n"/>
    </row>
    <row r="1571" ht="15.75" customHeight="1" s="83">
      <c r="A1571" s="82" t="n"/>
      <c r="B1571" s="44" t="n"/>
      <c r="C1571" s="82" t="n"/>
      <c r="D1571" s="82" t="n"/>
      <c r="E1571" s="81" t="n"/>
      <c r="F1571" s="82" t="n"/>
      <c r="G1571" s="82" t="n"/>
      <c r="H1571" s="82" t="n"/>
      <c r="I1571" s="82" t="n"/>
      <c r="J1571" s="82" t="n"/>
      <c r="K1571" s="82" t="n"/>
      <c r="L1571" s="82" t="n"/>
      <c r="M1571" s="82" t="n"/>
      <c r="N1571" s="82" t="n"/>
      <c r="O1571" s="82" t="n"/>
      <c r="P1571" s="82" t="n"/>
      <c r="Q1571" s="82" t="n"/>
      <c r="R1571" s="82" t="n"/>
      <c r="S1571" s="82" t="n"/>
      <c r="T1571" s="82" t="n"/>
      <c r="U1571" s="82" t="n"/>
      <c r="V1571" s="82" t="n"/>
      <c r="W1571" s="82" t="n"/>
      <c r="X1571" s="82" t="n"/>
      <c r="Y1571" s="82" t="n"/>
      <c r="Z1571" s="82" t="n"/>
    </row>
    <row r="1572" ht="15.75" customHeight="1" s="83">
      <c r="A1572" s="82" t="n"/>
      <c r="B1572" s="44" t="n"/>
      <c r="C1572" s="82" t="n"/>
      <c r="D1572" s="82" t="n"/>
      <c r="E1572" s="81" t="n"/>
      <c r="F1572" s="82" t="n"/>
      <c r="G1572" s="82" t="n"/>
      <c r="H1572" s="82" t="n"/>
      <c r="I1572" s="82" t="n"/>
      <c r="J1572" s="82" t="n"/>
      <c r="K1572" s="82" t="n"/>
      <c r="L1572" s="82" t="n"/>
      <c r="M1572" s="82" t="n"/>
      <c r="N1572" s="82" t="n"/>
      <c r="O1572" s="82" t="n"/>
      <c r="P1572" s="82" t="n"/>
      <c r="Q1572" s="82" t="n"/>
      <c r="R1572" s="82" t="n"/>
      <c r="S1572" s="82" t="n"/>
      <c r="T1572" s="82" t="n"/>
      <c r="U1572" s="82" t="n"/>
      <c r="V1572" s="82" t="n"/>
      <c r="W1572" s="82" t="n"/>
      <c r="X1572" s="82" t="n"/>
      <c r="Y1572" s="82" t="n"/>
      <c r="Z1572" s="82" t="n"/>
    </row>
    <row r="1573" ht="15.75" customHeight="1" s="83">
      <c r="A1573" s="82" t="n"/>
      <c r="B1573" s="44" t="n"/>
      <c r="C1573" s="82" t="n"/>
      <c r="D1573" s="82" t="n"/>
      <c r="E1573" s="81" t="n"/>
      <c r="F1573" s="82" t="n"/>
      <c r="G1573" s="82" t="n"/>
      <c r="H1573" s="82" t="n"/>
      <c r="I1573" s="82" t="n"/>
      <c r="J1573" s="82" t="n"/>
      <c r="K1573" s="82" t="n"/>
      <c r="L1573" s="82" t="n"/>
      <c r="M1573" s="82" t="n"/>
      <c r="N1573" s="82" t="n"/>
      <c r="O1573" s="82" t="n"/>
      <c r="P1573" s="82" t="n"/>
      <c r="Q1573" s="82" t="n"/>
      <c r="R1573" s="82" t="n"/>
      <c r="S1573" s="82" t="n"/>
      <c r="T1573" s="82" t="n"/>
      <c r="U1573" s="82" t="n"/>
      <c r="V1573" s="82" t="n"/>
      <c r="W1573" s="82" t="n"/>
      <c r="X1573" s="82" t="n"/>
      <c r="Y1573" s="82" t="n"/>
      <c r="Z1573" s="82" t="n"/>
    </row>
    <row r="1574" ht="15.75" customHeight="1" s="83">
      <c r="A1574" s="82" t="n"/>
      <c r="B1574" s="44" t="n"/>
      <c r="C1574" s="82" t="n"/>
      <c r="D1574" s="82" t="n"/>
      <c r="E1574" s="81" t="n"/>
      <c r="F1574" s="82" t="n"/>
      <c r="G1574" s="82" t="n"/>
      <c r="H1574" s="82" t="n"/>
      <c r="I1574" s="82" t="n"/>
      <c r="J1574" s="82" t="n"/>
      <c r="K1574" s="82" t="n"/>
      <c r="L1574" s="82" t="n"/>
      <c r="M1574" s="82" t="n"/>
      <c r="N1574" s="82" t="n"/>
      <c r="O1574" s="82" t="n"/>
      <c r="P1574" s="82" t="n"/>
      <c r="Q1574" s="82" t="n"/>
      <c r="R1574" s="82" t="n"/>
      <c r="S1574" s="82" t="n"/>
      <c r="T1574" s="82" t="n"/>
      <c r="U1574" s="82" t="n"/>
      <c r="V1574" s="82" t="n"/>
      <c r="W1574" s="82" t="n"/>
      <c r="X1574" s="82" t="n"/>
      <c r="Y1574" s="82" t="n"/>
      <c r="Z1574" s="82" t="n"/>
    </row>
    <row r="1575" ht="15.75" customHeight="1" s="83">
      <c r="A1575" s="82" t="n"/>
      <c r="B1575" s="44" t="n"/>
      <c r="C1575" s="82" t="n"/>
      <c r="D1575" s="82" t="n"/>
      <c r="E1575" s="81" t="n"/>
      <c r="F1575" s="82" t="n"/>
      <c r="G1575" s="82" t="n"/>
      <c r="H1575" s="82" t="n"/>
      <c r="I1575" s="82" t="n"/>
      <c r="J1575" s="82" t="n"/>
      <c r="K1575" s="82" t="n"/>
      <c r="L1575" s="82" t="n"/>
      <c r="M1575" s="82" t="n"/>
      <c r="N1575" s="82" t="n"/>
      <c r="O1575" s="82" t="n"/>
      <c r="P1575" s="82" t="n"/>
      <c r="Q1575" s="82" t="n"/>
      <c r="R1575" s="82" t="n"/>
      <c r="S1575" s="82" t="n"/>
      <c r="T1575" s="82" t="n"/>
      <c r="U1575" s="82" t="n"/>
      <c r="V1575" s="82" t="n"/>
      <c r="W1575" s="82" t="n"/>
      <c r="X1575" s="82" t="n"/>
      <c r="Y1575" s="82" t="n"/>
      <c r="Z1575" s="82" t="n"/>
    </row>
    <row r="1576" ht="15.75" customHeight="1" s="83">
      <c r="A1576" s="82" t="n"/>
      <c r="B1576" s="44" t="n"/>
      <c r="C1576" s="82" t="n"/>
      <c r="D1576" s="82" t="n"/>
      <c r="E1576" s="81" t="n"/>
      <c r="F1576" s="82" t="n"/>
      <c r="G1576" s="82" t="n"/>
      <c r="H1576" s="82" t="n"/>
      <c r="I1576" s="82" t="n"/>
      <c r="J1576" s="82" t="n"/>
      <c r="K1576" s="82" t="n"/>
      <c r="L1576" s="82" t="n"/>
      <c r="M1576" s="82" t="n"/>
      <c r="N1576" s="82" t="n"/>
      <c r="O1576" s="82" t="n"/>
      <c r="P1576" s="82" t="n"/>
      <c r="Q1576" s="82" t="n"/>
      <c r="R1576" s="82" t="n"/>
      <c r="S1576" s="82" t="n"/>
      <c r="T1576" s="82" t="n"/>
      <c r="U1576" s="82" t="n"/>
      <c r="V1576" s="82" t="n"/>
      <c r="W1576" s="82" t="n"/>
      <c r="X1576" s="82" t="n"/>
      <c r="Y1576" s="82" t="n"/>
      <c r="Z1576" s="82" t="n"/>
    </row>
    <row r="1577" ht="15.75" customHeight="1" s="83">
      <c r="A1577" s="82" t="n"/>
      <c r="B1577" s="44" t="n"/>
      <c r="C1577" s="82" t="n"/>
      <c r="D1577" s="82" t="n"/>
      <c r="E1577" s="81" t="n"/>
      <c r="F1577" s="82" t="n"/>
      <c r="G1577" s="82" t="n"/>
      <c r="H1577" s="82" t="n"/>
      <c r="I1577" s="82" t="n"/>
      <c r="J1577" s="82" t="n"/>
      <c r="K1577" s="82" t="n"/>
      <c r="L1577" s="82" t="n"/>
      <c r="M1577" s="82" t="n"/>
      <c r="N1577" s="82" t="n"/>
      <c r="O1577" s="82" t="n"/>
      <c r="P1577" s="82" t="n"/>
      <c r="Q1577" s="82" t="n"/>
      <c r="R1577" s="82" t="n"/>
      <c r="S1577" s="82" t="n"/>
      <c r="T1577" s="82" t="n"/>
      <c r="U1577" s="82" t="n"/>
      <c r="V1577" s="82" t="n"/>
      <c r="W1577" s="82" t="n"/>
      <c r="X1577" s="82" t="n"/>
      <c r="Y1577" s="82" t="n"/>
      <c r="Z1577" s="82" t="n"/>
    </row>
    <row r="1578" ht="15.75" customHeight="1" s="83">
      <c r="A1578" s="82" t="n"/>
      <c r="B1578" s="44" t="n"/>
      <c r="C1578" s="82" t="n"/>
      <c r="D1578" s="82" t="n"/>
      <c r="E1578" s="81" t="n"/>
      <c r="F1578" s="82" t="n"/>
      <c r="G1578" s="82" t="n"/>
      <c r="H1578" s="82" t="n"/>
      <c r="I1578" s="82" t="n"/>
      <c r="J1578" s="82" t="n"/>
      <c r="K1578" s="82" t="n"/>
      <c r="L1578" s="82" t="n"/>
      <c r="M1578" s="82" t="n"/>
      <c r="N1578" s="82" t="n"/>
      <c r="O1578" s="82" t="n"/>
      <c r="P1578" s="82" t="n"/>
      <c r="Q1578" s="82" t="n"/>
      <c r="R1578" s="82" t="n"/>
      <c r="S1578" s="82" t="n"/>
      <c r="T1578" s="82" t="n"/>
      <c r="U1578" s="82" t="n"/>
      <c r="V1578" s="82" t="n"/>
      <c r="W1578" s="82" t="n"/>
      <c r="X1578" s="82" t="n"/>
      <c r="Y1578" s="82" t="n"/>
      <c r="Z1578" s="82" t="n"/>
    </row>
    <row r="1579" ht="15.75" customHeight="1" s="83">
      <c r="A1579" s="82" t="n"/>
      <c r="B1579" s="44" t="n"/>
      <c r="C1579" s="82" t="n"/>
      <c r="D1579" s="82" t="n"/>
      <c r="E1579" s="81" t="n"/>
      <c r="F1579" s="82" t="n"/>
      <c r="G1579" s="82" t="n"/>
      <c r="H1579" s="82" t="n"/>
      <c r="I1579" s="82" t="n"/>
      <c r="J1579" s="82" t="n"/>
      <c r="K1579" s="82" t="n"/>
      <c r="L1579" s="82" t="n"/>
      <c r="M1579" s="82" t="n"/>
      <c r="N1579" s="82" t="n"/>
      <c r="O1579" s="82" t="n"/>
      <c r="P1579" s="82" t="n"/>
      <c r="Q1579" s="82" t="n"/>
      <c r="R1579" s="82" t="n"/>
      <c r="S1579" s="82" t="n"/>
      <c r="T1579" s="82" t="n"/>
      <c r="U1579" s="82" t="n"/>
      <c r="V1579" s="82" t="n"/>
      <c r="W1579" s="82" t="n"/>
      <c r="X1579" s="82" t="n"/>
      <c r="Y1579" s="82" t="n"/>
      <c r="Z1579" s="82" t="n"/>
    </row>
    <row r="1580" ht="15.75" customHeight="1" s="83">
      <c r="A1580" s="82" t="n"/>
      <c r="B1580" s="44" t="n"/>
      <c r="C1580" s="82" t="n"/>
      <c r="D1580" s="82" t="n"/>
      <c r="E1580" s="81" t="n"/>
      <c r="F1580" s="82" t="n"/>
      <c r="G1580" s="82" t="n"/>
      <c r="H1580" s="82" t="n"/>
      <c r="I1580" s="82" t="n"/>
      <c r="J1580" s="82" t="n"/>
      <c r="K1580" s="82" t="n"/>
      <c r="L1580" s="82" t="n"/>
      <c r="M1580" s="82" t="n"/>
      <c r="N1580" s="82" t="n"/>
      <c r="O1580" s="82" t="n"/>
      <c r="P1580" s="82" t="n"/>
      <c r="Q1580" s="82" t="n"/>
      <c r="R1580" s="82" t="n"/>
      <c r="S1580" s="82" t="n"/>
      <c r="T1580" s="82" t="n"/>
      <c r="U1580" s="82" t="n"/>
      <c r="V1580" s="82" t="n"/>
      <c r="W1580" s="82" t="n"/>
      <c r="X1580" s="82" t="n"/>
      <c r="Y1580" s="82" t="n"/>
      <c r="Z1580" s="82" t="n"/>
    </row>
    <row r="1581" ht="15.75" customHeight="1" s="83">
      <c r="A1581" s="82" t="n"/>
      <c r="B1581" s="44" t="n"/>
      <c r="C1581" s="82" t="n"/>
      <c r="D1581" s="82" t="n"/>
      <c r="E1581" s="81" t="n"/>
      <c r="F1581" s="82" t="n"/>
      <c r="G1581" s="82" t="n"/>
      <c r="H1581" s="82" t="n"/>
      <c r="I1581" s="82" t="n"/>
      <c r="J1581" s="82" t="n"/>
      <c r="K1581" s="82" t="n"/>
      <c r="L1581" s="82" t="n"/>
      <c r="M1581" s="82" t="n"/>
      <c r="N1581" s="82" t="n"/>
      <c r="O1581" s="82" t="n"/>
      <c r="P1581" s="82" t="n"/>
      <c r="Q1581" s="82" t="n"/>
      <c r="R1581" s="82" t="n"/>
      <c r="S1581" s="82" t="n"/>
      <c r="T1581" s="82" t="n"/>
      <c r="U1581" s="82" t="n"/>
      <c r="V1581" s="82" t="n"/>
      <c r="W1581" s="82" t="n"/>
      <c r="X1581" s="82" t="n"/>
      <c r="Y1581" s="82" t="n"/>
      <c r="Z1581" s="82" t="n"/>
    </row>
    <row r="1582" ht="15.75" customHeight="1" s="83">
      <c r="A1582" s="82" t="n"/>
      <c r="B1582" s="44" t="n"/>
      <c r="C1582" s="82" t="n"/>
      <c r="D1582" s="82" t="n"/>
      <c r="E1582" s="81" t="n"/>
      <c r="F1582" s="82" t="n"/>
      <c r="G1582" s="82" t="n"/>
      <c r="H1582" s="82" t="n"/>
      <c r="I1582" s="82" t="n"/>
      <c r="J1582" s="82" t="n"/>
      <c r="K1582" s="82" t="n"/>
      <c r="L1582" s="82" t="n"/>
      <c r="M1582" s="82" t="n"/>
      <c r="N1582" s="82" t="n"/>
      <c r="O1582" s="82" t="n"/>
      <c r="P1582" s="82" t="n"/>
      <c r="Q1582" s="82" t="n"/>
      <c r="R1582" s="82" t="n"/>
      <c r="S1582" s="82" t="n"/>
      <c r="T1582" s="82" t="n"/>
      <c r="U1582" s="82" t="n"/>
      <c r="V1582" s="82" t="n"/>
      <c r="W1582" s="82" t="n"/>
      <c r="X1582" s="82" t="n"/>
      <c r="Y1582" s="82" t="n"/>
      <c r="Z1582" s="82" t="n"/>
    </row>
    <row r="1583" ht="15.75" customHeight="1" s="83">
      <c r="A1583" s="82" t="n"/>
      <c r="B1583" s="44" t="n"/>
      <c r="C1583" s="82" t="n"/>
      <c r="D1583" s="82" t="n"/>
      <c r="E1583" s="81" t="n"/>
      <c r="F1583" s="82" t="n"/>
      <c r="G1583" s="82" t="n"/>
      <c r="H1583" s="82" t="n"/>
      <c r="I1583" s="82" t="n"/>
      <c r="J1583" s="82" t="n"/>
      <c r="K1583" s="82" t="n"/>
      <c r="L1583" s="82" t="n"/>
      <c r="M1583" s="82" t="n"/>
      <c r="N1583" s="82" t="n"/>
      <c r="O1583" s="82" t="n"/>
      <c r="P1583" s="82" t="n"/>
      <c r="Q1583" s="82" t="n"/>
      <c r="R1583" s="82" t="n"/>
      <c r="S1583" s="82" t="n"/>
      <c r="T1583" s="82" t="n"/>
      <c r="U1583" s="82" t="n"/>
      <c r="V1583" s="82" t="n"/>
      <c r="W1583" s="82" t="n"/>
      <c r="X1583" s="82" t="n"/>
      <c r="Y1583" s="82" t="n"/>
      <c r="Z1583" s="82" t="n"/>
    </row>
    <row r="1584" ht="15.75" customHeight="1" s="83">
      <c r="A1584" s="82" t="n"/>
      <c r="B1584" s="44" t="n"/>
      <c r="C1584" s="82" t="n"/>
      <c r="D1584" s="82" t="n"/>
      <c r="E1584" s="81" t="n"/>
      <c r="F1584" s="82" t="n"/>
      <c r="G1584" s="82" t="n"/>
      <c r="H1584" s="82" t="n"/>
      <c r="I1584" s="82" t="n"/>
      <c r="J1584" s="82" t="n"/>
      <c r="K1584" s="82" t="n"/>
      <c r="L1584" s="82" t="n"/>
      <c r="M1584" s="82" t="n"/>
      <c r="N1584" s="82" t="n"/>
      <c r="O1584" s="82" t="n"/>
      <c r="P1584" s="82" t="n"/>
      <c r="Q1584" s="82" t="n"/>
      <c r="R1584" s="82" t="n"/>
      <c r="S1584" s="82" t="n"/>
      <c r="T1584" s="82" t="n"/>
      <c r="U1584" s="82" t="n"/>
      <c r="V1584" s="82" t="n"/>
      <c r="W1584" s="82" t="n"/>
      <c r="X1584" s="82" t="n"/>
      <c r="Y1584" s="82" t="n"/>
      <c r="Z1584" s="82" t="n"/>
    </row>
    <row r="1585" ht="15.75" customHeight="1" s="83">
      <c r="A1585" s="82" t="n"/>
      <c r="B1585" s="44" t="n"/>
      <c r="C1585" s="82" t="n"/>
      <c r="D1585" s="82" t="n"/>
      <c r="E1585" s="81" t="n"/>
      <c r="F1585" s="82" t="n"/>
      <c r="G1585" s="82" t="n"/>
      <c r="H1585" s="82" t="n"/>
      <c r="I1585" s="82" t="n"/>
      <c r="J1585" s="82" t="n"/>
      <c r="K1585" s="82" t="n"/>
      <c r="L1585" s="82" t="n"/>
      <c r="M1585" s="82" t="n"/>
      <c r="N1585" s="82" t="n"/>
      <c r="O1585" s="82" t="n"/>
      <c r="P1585" s="82" t="n"/>
      <c r="Q1585" s="82" t="n"/>
      <c r="R1585" s="82" t="n"/>
      <c r="S1585" s="82" t="n"/>
      <c r="T1585" s="82" t="n"/>
      <c r="U1585" s="82" t="n"/>
      <c r="V1585" s="82" t="n"/>
      <c r="W1585" s="82" t="n"/>
      <c r="X1585" s="82" t="n"/>
      <c r="Y1585" s="82" t="n"/>
      <c r="Z1585" s="82" t="n"/>
    </row>
    <row r="1586" ht="15.75" customHeight="1" s="83">
      <c r="A1586" s="82" t="n"/>
      <c r="B1586" s="44" t="n"/>
      <c r="C1586" s="82" t="n"/>
      <c r="D1586" s="82" t="n"/>
      <c r="E1586" s="81" t="n"/>
      <c r="F1586" s="82" t="n"/>
      <c r="G1586" s="82" t="n"/>
      <c r="H1586" s="82" t="n"/>
      <c r="I1586" s="82" t="n"/>
      <c r="J1586" s="82" t="n"/>
      <c r="K1586" s="82" t="n"/>
      <c r="L1586" s="82" t="n"/>
      <c r="M1586" s="82" t="n"/>
      <c r="N1586" s="82" t="n"/>
      <c r="O1586" s="82" t="n"/>
      <c r="P1586" s="82" t="n"/>
      <c r="Q1586" s="82" t="n"/>
      <c r="R1586" s="82" t="n"/>
      <c r="S1586" s="82" t="n"/>
      <c r="T1586" s="82" t="n"/>
      <c r="U1586" s="82" t="n"/>
      <c r="V1586" s="82" t="n"/>
      <c r="W1586" s="82" t="n"/>
      <c r="X1586" s="82" t="n"/>
      <c r="Y1586" s="82" t="n"/>
      <c r="Z1586" s="82" t="n"/>
    </row>
    <row r="1587" ht="15.75" customHeight="1" s="83">
      <c r="A1587" s="82" t="n"/>
      <c r="B1587" s="44" t="n"/>
      <c r="C1587" s="82" t="n"/>
      <c r="D1587" s="82" t="n"/>
      <c r="E1587" s="81" t="n"/>
      <c r="F1587" s="82" t="n"/>
      <c r="G1587" s="82" t="n"/>
      <c r="H1587" s="82" t="n"/>
      <c r="I1587" s="82" t="n"/>
      <c r="J1587" s="82" t="n"/>
      <c r="K1587" s="82" t="n"/>
      <c r="L1587" s="82" t="n"/>
      <c r="M1587" s="82" t="n"/>
      <c r="N1587" s="82" t="n"/>
      <c r="O1587" s="82" t="n"/>
      <c r="P1587" s="82" t="n"/>
      <c r="Q1587" s="82" t="n"/>
      <c r="R1587" s="82" t="n"/>
      <c r="S1587" s="82" t="n"/>
      <c r="T1587" s="82" t="n"/>
      <c r="U1587" s="82" t="n"/>
      <c r="V1587" s="82" t="n"/>
      <c r="W1587" s="82" t="n"/>
      <c r="X1587" s="82" t="n"/>
      <c r="Y1587" s="82" t="n"/>
      <c r="Z1587" s="82" t="n"/>
    </row>
    <row r="1588" ht="15.75" customHeight="1" s="83">
      <c r="A1588" s="82" t="n"/>
      <c r="B1588" s="44" t="n"/>
      <c r="C1588" s="82" t="n"/>
      <c r="D1588" s="82" t="n"/>
      <c r="E1588" s="81" t="n"/>
      <c r="F1588" s="82" t="n"/>
      <c r="G1588" s="82" t="n"/>
      <c r="H1588" s="82" t="n"/>
      <c r="I1588" s="82" t="n"/>
      <c r="J1588" s="82" t="n"/>
      <c r="K1588" s="82" t="n"/>
      <c r="L1588" s="82" t="n"/>
      <c r="M1588" s="82" t="n"/>
      <c r="N1588" s="82" t="n"/>
      <c r="O1588" s="82" t="n"/>
      <c r="P1588" s="82" t="n"/>
      <c r="Q1588" s="82" t="n"/>
      <c r="R1588" s="82" t="n"/>
      <c r="S1588" s="82" t="n"/>
      <c r="T1588" s="82" t="n"/>
      <c r="U1588" s="82" t="n"/>
      <c r="V1588" s="82" t="n"/>
      <c r="W1588" s="82" t="n"/>
      <c r="X1588" s="82" t="n"/>
      <c r="Y1588" s="82" t="n"/>
      <c r="Z1588" s="82" t="n"/>
    </row>
    <row r="1589" ht="15.75" customHeight="1" s="83">
      <c r="A1589" s="82" t="n"/>
      <c r="B1589" s="44" t="n"/>
      <c r="C1589" s="82" t="n"/>
      <c r="D1589" s="82" t="n"/>
      <c r="E1589" s="81" t="n"/>
      <c r="F1589" s="82" t="n"/>
      <c r="G1589" s="82" t="n"/>
      <c r="H1589" s="82" t="n"/>
      <c r="I1589" s="82" t="n"/>
      <c r="J1589" s="82" t="n"/>
      <c r="K1589" s="82" t="n"/>
      <c r="L1589" s="82" t="n"/>
      <c r="M1589" s="82" t="n"/>
      <c r="N1589" s="82" t="n"/>
      <c r="O1589" s="82" t="n"/>
      <c r="P1589" s="82" t="n"/>
      <c r="Q1589" s="82" t="n"/>
      <c r="R1589" s="82" t="n"/>
      <c r="S1589" s="82" t="n"/>
      <c r="T1589" s="82" t="n"/>
      <c r="U1589" s="82" t="n"/>
      <c r="V1589" s="82" t="n"/>
      <c r="W1589" s="82" t="n"/>
      <c r="X1589" s="82" t="n"/>
      <c r="Y1589" s="82" t="n"/>
      <c r="Z1589" s="82" t="n"/>
    </row>
    <row r="1590" ht="15.75" customHeight="1" s="83">
      <c r="A1590" s="82" t="n"/>
      <c r="B1590" s="44" t="n"/>
      <c r="C1590" s="82" t="n"/>
      <c r="D1590" s="82" t="n"/>
      <c r="E1590" s="81" t="n"/>
      <c r="F1590" s="82" t="n"/>
      <c r="G1590" s="82" t="n"/>
      <c r="H1590" s="82" t="n"/>
      <c r="I1590" s="82" t="n"/>
      <c r="J1590" s="82" t="n"/>
      <c r="K1590" s="82" t="n"/>
      <c r="L1590" s="82" t="n"/>
      <c r="M1590" s="82" t="n"/>
      <c r="N1590" s="82" t="n"/>
      <c r="O1590" s="82" t="n"/>
      <c r="P1590" s="82" t="n"/>
      <c r="Q1590" s="82" t="n"/>
      <c r="R1590" s="82" t="n"/>
      <c r="S1590" s="82" t="n"/>
      <c r="T1590" s="82" t="n"/>
      <c r="U1590" s="82" t="n"/>
      <c r="V1590" s="82" t="n"/>
      <c r="W1590" s="82" t="n"/>
      <c r="X1590" s="82" t="n"/>
      <c r="Y1590" s="82" t="n"/>
      <c r="Z1590" s="82" t="n"/>
    </row>
    <row r="1591" ht="15.75" customHeight="1" s="83">
      <c r="A1591" s="82" t="n"/>
      <c r="B1591" s="44" t="n"/>
      <c r="C1591" s="82" t="n"/>
      <c r="D1591" s="82" t="n"/>
      <c r="E1591" s="81" t="n"/>
      <c r="F1591" s="82" t="n"/>
      <c r="G1591" s="82" t="n"/>
      <c r="H1591" s="82" t="n"/>
      <c r="I1591" s="82" t="n"/>
      <c r="J1591" s="82" t="n"/>
      <c r="K1591" s="82" t="n"/>
      <c r="L1591" s="82" t="n"/>
      <c r="M1591" s="82" t="n"/>
      <c r="N1591" s="82" t="n"/>
      <c r="O1591" s="82" t="n"/>
      <c r="P1591" s="82" t="n"/>
      <c r="Q1591" s="82" t="n"/>
      <c r="R1591" s="82" t="n"/>
      <c r="S1591" s="82" t="n"/>
      <c r="T1591" s="82" t="n"/>
      <c r="U1591" s="82" t="n"/>
      <c r="V1591" s="82" t="n"/>
      <c r="W1591" s="82" t="n"/>
      <c r="X1591" s="82" t="n"/>
      <c r="Y1591" s="82" t="n"/>
      <c r="Z1591" s="82" t="n"/>
    </row>
    <row r="1592" ht="15.75" customHeight="1" s="83">
      <c r="A1592" s="82" t="n"/>
      <c r="B1592" s="44" t="n"/>
      <c r="C1592" s="82" t="n"/>
      <c r="D1592" s="82" t="n"/>
      <c r="E1592" s="81" t="n"/>
      <c r="F1592" s="82" t="n"/>
      <c r="G1592" s="82" t="n"/>
      <c r="H1592" s="82" t="n"/>
      <c r="I1592" s="82" t="n"/>
      <c r="J1592" s="82" t="n"/>
      <c r="K1592" s="82" t="n"/>
      <c r="L1592" s="82" t="n"/>
      <c r="M1592" s="82" t="n"/>
      <c r="N1592" s="82" t="n"/>
      <c r="O1592" s="82" t="n"/>
      <c r="P1592" s="82" t="n"/>
      <c r="Q1592" s="82" t="n"/>
      <c r="R1592" s="82" t="n"/>
      <c r="S1592" s="82" t="n"/>
      <c r="T1592" s="82" t="n"/>
      <c r="U1592" s="82" t="n"/>
      <c r="V1592" s="82" t="n"/>
      <c r="W1592" s="82" t="n"/>
      <c r="X1592" s="82" t="n"/>
      <c r="Y1592" s="82" t="n"/>
      <c r="Z1592" s="82" t="n"/>
    </row>
    <row r="1593" ht="15.75" customHeight="1" s="83">
      <c r="A1593" s="82" t="n"/>
      <c r="B1593" s="44" t="n"/>
      <c r="C1593" s="82" t="n"/>
      <c r="D1593" s="82" t="n"/>
      <c r="E1593" s="81" t="n"/>
      <c r="F1593" s="82" t="n"/>
      <c r="G1593" s="82" t="n"/>
      <c r="H1593" s="82" t="n"/>
      <c r="I1593" s="82" t="n"/>
      <c r="J1593" s="82" t="n"/>
      <c r="K1593" s="82" t="n"/>
      <c r="L1593" s="82" t="n"/>
      <c r="M1593" s="82" t="n"/>
      <c r="N1593" s="82" t="n"/>
      <c r="O1593" s="82" t="n"/>
      <c r="P1593" s="82" t="n"/>
      <c r="Q1593" s="82" t="n"/>
      <c r="R1593" s="82" t="n"/>
      <c r="S1593" s="82" t="n"/>
      <c r="T1593" s="82" t="n"/>
      <c r="U1593" s="82" t="n"/>
      <c r="V1593" s="82" t="n"/>
      <c r="W1593" s="82" t="n"/>
      <c r="X1593" s="82" t="n"/>
      <c r="Y1593" s="82" t="n"/>
      <c r="Z1593" s="82" t="n"/>
    </row>
    <row r="1594" ht="15.75" customHeight="1" s="83">
      <c r="A1594" s="82" t="n"/>
      <c r="B1594" s="44" t="n"/>
      <c r="C1594" s="82" t="n"/>
      <c r="D1594" s="82" t="n"/>
      <c r="E1594" s="81" t="n"/>
      <c r="F1594" s="82" t="n"/>
      <c r="G1594" s="82" t="n"/>
      <c r="H1594" s="82" t="n"/>
      <c r="I1594" s="82" t="n"/>
      <c r="J1594" s="82" t="n"/>
      <c r="K1594" s="82" t="n"/>
      <c r="L1594" s="82" t="n"/>
      <c r="M1594" s="82" t="n"/>
      <c r="N1594" s="82" t="n"/>
      <c r="O1594" s="82" t="n"/>
      <c r="P1594" s="82" t="n"/>
      <c r="Q1594" s="82" t="n"/>
      <c r="R1594" s="82" t="n"/>
      <c r="S1594" s="82" t="n"/>
      <c r="T1594" s="82" t="n"/>
      <c r="U1594" s="82" t="n"/>
      <c r="V1594" s="82" t="n"/>
      <c r="W1594" s="82" t="n"/>
      <c r="X1594" s="82" t="n"/>
      <c r="Y1594" s="82" t="n"/>
      <c r="Z1594" s="82" t="n"/>
    </row>
    <row r="1595" ht="15.75" customHeight="1" s="83">
      <c r="A1595" s="82" t="n"/>
      <c r="B1595" s="44" t="n"/>
      <c r="C1595" s="82" t="n"/>
      <c r="D1595" s="82" t="n"/>
      <c r="E1595" s="81" t="n"/>
      <c r="F1595" s="82" t="n"/>
      <c r="G1595" s="82" t="n"/>
      <c r="H1595" s="82" t="n"/>
      <c r="I1595" s="82" t="n"/>
      <c r="J1595" s="82" t="n"/>
      <c r="K1595" s="82" t="n"/>
      <c r="L1595" s="82" t="n"/>
      <c r="M1595" s="82" t="n"/>
      <c r="N1595" s="82" t="n"/>
      <c r="O1595" s="82" t="n"/>
      <c r="P1595" s="82" t="n"/>
      <c r="Q1595" s="82" t="n"/>
      <c r="R1595" s="82" t="n"/>
      <c r="S1595" s="82" t="n"/>
      <c r="T1595" s="82" t="n"/>
      <c r="U1595" s="82" t="n"/>
      <c r="V1595" s="82" t="n"/>
      <c r="W1595" s="82" t="n"/>
      <c r="X1595" s="82" t="n"/>
      <c r="Y1595" s="82" t="n"/>
      <c r="Z1595" s="82" t="n"/>
    </row>
    <row r="1596" ht="15.75" customHeight="1" s="83">
      <c r="A1596" s="82" t="n"/>
      <c r="B1596" s="44" t="n"/>
      <c r="C1596" s="82" t="n"/>
      <c r="D1596" s="82" t="n"/>
      <c r="E1596" s="81" t="n"/>
      <c r="F1596" s="82" t="n"/>
      <c r="G1596" s="82" t="n"/>
      <c r="H1596" s="82" t="n"/>
      <c r="I1596" s="82" t="n"/>
      <c r="J1596" s="82" t="n"/>
      <c r="K1596" s="82" t="n"/>
      <c r="L1596" s="82" t="n"/>
      <c r="M1596" s="82" t="n"/>
      <c r="N1596" s="82" t="n"/>
      <c r="O1596" s="82" t="n"/>
      <c r="P1596" s="82" t="n"/>
      <c r="Q1596" s="82" t="n"/>
      <c r="R1596" s="82" t="n"/>
      <c r="S1596" s="82" t="n"/>
      <c r="T1596" s="82" t="n"/>
      <c r="U1596" s="82" t="n"/>
      <c r="V1596" s="82" t="n"/>
      <c r="W1596" s="82" t="n"/>
      <c r="X1596" s="82" t="n"/>
      <c r="Y1596" s="82" t="n"/>
      <c r="Z1596" s="82" t="n"/>
    </row>
    <row r="1597" ht="15.75" customHeight="1" s="83">
      <c r="A1597" s="82" t="n"/>
      <c r="B1597" s="44" t="n"/>
      <c r="C1597" s="82" t="n"/>
      <c r="D1597" s="82" t="n"/>
      <c r="E1597" s="81" t="n"/>
      <c r="F1597" s="82" t="n"/>
      <c r="G1597" s="82" t="n"/>
      <c r="H1597" s="82" t="n"/>
      <c r="I1597" s="82" t="n"/>
      <c r="J1597" s="82" t="n"/>
      <c r="K1597" s="82" t="n"/>
      <c r="L1597" s="82" t="n"/>
      <c r="M1597" s="82" t="n"/>
      <c r="N1597" s="82" t="n"/>
      <c r="O1597" s="82" t="n"/>
      <c r="P1597" s="82" t="n"/>
      <c r="Q1597" s="82" t="n"/>
      <c r="R1597" s="82" t="n"/>
      <c r="S1597" s="82" t="n"/>
      <c r="T1597" s="82" t="n"/>
      <c r="U1597" s="82" t="n"/>
      <c r="V1597" s="82" t="n"/>
      <c r="W1597" s="82" t="n"/>
      <c r="X1597" s="82" t="n"/>
      <c r="Y1597" s="82" t="n"/>
      <c r="Z1597" s="82" t="n"/>
    </row>
    <row r="1598" ht="15.75" customHeight="1" s="83">
      <c r="A1598" s="82" t="n"/>
      <c r="B1598" s="44" t="n"/>
      <c r="C1598" s="82" t="n"/>
      <c r="D1598" s="82" t="n"/>
      <c r="E1598" s="81" t="n"/>
      <c r="F1598" s="82" t="n"/>
      <c r="G1598" s="82" t="n"/>
      <c r="H1598" s="82" t="n"/>
      <c r="I1598" s="82" t="n"/>
      <c r="J1598" s="82" t="n"/>
      <c r="K1598" s="82" t="n"/>
      <c r="L1598" s="82" t="n"/>
      <c r="M1598" s="82" t="n"/>
      <c r="N1598" s="82" t="n"/>
      <c r="O1598" s="82" t="n"/>
      <c r="P1598" s="82" t="n"/>
      <c r="Q1598" s="82" t="n"/>
      <c r="R1598" s="82" t="n"/>
      <c r="S1598" s="82" t="n"/>
      <c r="T1598" s="82" t="n"/>
      <c r="U1598" s="82" t="n"/>
      <c r="V1598" s="82" t="n"/>
      <c r="W1598" s="82" t="n"/>
      <c r="X1598" s="82" t="n"/>
      <c r="Y1598" s="82" t="n"/>
      <c r="Z1598" s="82" t="n"/>
    </row>
    <row r="1599" ht="15.75" customHeight="1" s="83">
      <c r="A1599" s="82" t="n"/>
      <c r="B1599" s="44" t="n"/>
      <c r="C1599" s="82" t="n"/>
      <c r="D1599" s="82" t="n"/>
      <c r="E1599" s="81" t="n"/>
      <c r="F1599" s="82" t="n"/>
      <c r="G1599" s="82" t="n"/>
      <c r="H1599" s="82" t="n"/>
      <c r="I1599" s="82" t="n"/>
      <c r="J1599" s="82" t="n"/>
      <c r="K1599" s="82" t="n"/>
      <c r="L1599" s="82" t="n"/>
      <c r="M1599" s="82" t="n"/>
      <c r="N1599" s="82" t="n"/>
      <c r="O1599" s="82" t="n"/>
      <c r="P1599" s="82" t="n"/>
      <c r="Q1599" s="82" t="n"/>
      <c r="R1599" s="82" t="n"/>
      <c r="S1599" s="82" t="n"/>
      <c r="T1599" s="82" t="n"/>
      <c r="U1599" s="82" t="n"/>
      <c r="V1599" s="82" t="n"/>
      <c r="W1599" s="82" t="n"/>
      <c r="X1599" s="82" t="n"/>
      <c r="Y1599" s="82" t="n"/>
      <c r="Z1599" s="82" t="n"/>
    </row>
    <row r="1600" ht="15.75" customHeight="1" s="83">
      <c r="A1600" s="82" t="n"/>
      <c r="B1600" s="44" t="n"/>
      <c r="C1600" s="82" t="n"/>
      <c r="D1600" s="82" t="n"/>
      <c r="E1600" s="81" t="n"/>
      <c r="F1600" s="82" t="n"/>
      <c r="G1600" s="82" t="n"/>
      <c r="H1600" s="82" t="n"/>
      <c r="I1600" s="82" t="n"/>
      <c r="J1600" s="82" t="n"/>
      <c r="K1600" s="82" t="n"/>
      <c r="L1600" s="82" t="n"/>
      <c r="M1600" s="82" t="n"/>
      <c r="N1600" s="82" t="n"/>
      <c r="O1600" s="82" t="n"/>
      <c r="P1600" s="82" t="n"/>
      <c r="Q1600" s="82" t="n"/>
      <c r="R1600" s="82" t="n"/>
      <c r="S1600" s="82" t="n"/>
      <c r="T1600" s="82" t="n"/>
      <c r="U1600" s="82" t="n"/>
      <c r="V1600" s="82" t="n"/>
      <c r="W1600" s="82" t="n"/>
      <c r="X1600" s="82" t="n"/>
      <c r="Y1600" s="82" t="n"/>
      <c r="Z1600" s="82" t="n"/>
    </row>
    <row r="1601" ht="15.75" customHeight="1" s="83">
      <c r="A1601" s="82" t="n"/>
      <c r="B1601" s="44" t="n"/>
      <c r="C1601" s="82" t="n"/>
      <c r="D1601" s="82" t="n"/>
      <c r="E1601" s="81" t="n"/>
      <c r="F1601" s="82" t="n"/>
      <c r="G1601" s="82" t="n"/>
      <c r="H1601" s="82" t="n"/>
      <c r="I1601" s="82" t="n"/>
      <c r="J1601" s="82" t="n"/>
      <c r="K1601" s="82" t="n"/>
      <c r="L1601" s="82" t="n"/>
      <c r="M1601" s="82" t="n"/>
      <c r="N1601" s="82" t="n"/>
      <c r="O1601" s="82" t="n"/>
      <c r="P1601" s="82" t="n"/>
      <c r="Q1601" s="82" t="n"/>
      <c r="R1601" s="82" t="n"/>
      <c r="S1601" s="82" t="n"/>
      <c r="T1601" s="82" t="n"/>
      <c r="U1601" s="82" t="n"/>
      <c r="V1601" s="82" t="n"/>
      <c r="W1601" s="82" t="n"/>
      <c r="X1601" s="82" t="n"/>
      <c r="Y1601" s="82" t="n"/>
      <c r="Z1601" s="82" t="n"/>
    </row>
    <row r="1602" ht="15.75" customHeight="1" s="83">
      <c r="A1602" s="82" t="n"/>
      <c r="B1602" s="44" t="n"/>
      <c r="C1602" s="82" t="n"/>
      <c r="D1602" s="82" t="n"/>
      <c r="E1602" s="81" t="n"/>
      <c r="F1602" s="82" t="n"/>
      <c r="G1602" s="82" t="n"/>
      <c r="H1602" s="82" t="n"/>
      <c r="I1602" s="82" t="n"/>
      <c r="J1602" s="82" t="n"/>
      <c r="K1602" s="82" t="n"/>
      <c r="L1602" s="82" t="n"/>
      <c r="M1602" s="82" t="n"/>
      <c r="N1602" s="82" t="n"/>
      <c r="O1602" s="82" t="n"/>
      <c r="P1602" s="82" t="n"/>
      <c r="Q1602" s="82" t="n"/>
      <c r="R1602" s="82" t="n"/>
      <c r="S1602" s="82" t="n"/>
      <c r="T1602" s="82" t="n"/>
      <c r="U1602" s="82" t="n"/>
      <c r="V1602" s="82" t="n"/>
      <c r="W1602" s="82" t="n"/>
      <c r="X1602" s="82" t="n"/>
      <c r="Y1602" s="82" t="n"/>
      <c r="Z1602" s="82" t="n"/>
    </row>
    <row r="1603" ht="15.75" customHeight="1" s="83">
      <c r="A1603" s="82" t="n"/>
      <c r="B1603" s="44" t="n"/>
      <c r="C1603" s="82" t="n"/>
      <c r="D1603" s="82" t="n"/>
      <c r="E1603" s="81" t="n"/>
      <c r="F1603" s="82" t="n"/>
      <c r="G1603" s="82" t="n"/>
      <c r="H1603" s="82" t="n"/>
      <c r="I1603" s="82" t="n"/>
      <c r="J1603" s="82" t="n"/>
      <c r="K1603" s="82" t="n"/>
      <c r="L1603" s="82" t="n"/>
      <c r="M1603" s="82" t="n"/>
      <c r="N1603" s="82" t="n"/>
      <c r="O1603" s="82" t="n"/>
      <c r="P1603" s="82" t="n"/>
      <c r="Q1603" s="82" t="n"/>
      <c r="R1603" s="82" t="n"/>
      <c r="S1603" s="82" t="n"/>
      <c r="T1603" s="82" t="n"/>
      <c r="U1603" s="82" t="n"/>
      <c r="V1603" s="82" t="n"/>
      <c r="W1603" s="82" t="n"/>
      <c r="X1603" s="82" t="n"/>
      <c r="Y1603" s="82" t="n"/>
      <c r="Z1603" s="82" t="n"/>
    </row>
    <row r="1604" ht="15.75" customHeight="1" s="83">
      <c r="A1604" s="82" t="n"/>
      <c r="B1604" s="44" t="n"/>
      <c r="C1604" s="82" t="n"/>
      <c r="D1604" s="82" t="n"/>
      <c r="E1604" s="81" t="n"/>
      <c r="F1604" s="82" t="n"/>
      <c r="G1604" s="82" t="n"/>
      <c r="H1604" s="82" t="n"/>
      <c r="I1604" s="82" t="n"/>
      <c r="J1604" s="82" t="n"/>
      <c r="K1604" s="82" t="n"/>
      <c r="L1604" s="82" t="n"/>
      <c r="M1604" s="82" t="n"/>
      <c r="N1604" s="82" t="n"/>
      <c r="O1604" s="82" t="n"/>
      <c r="P1604" s="82" t="n"/>
      <c r="Q1604" s="82" t="n"/>
      <c r="R1604" s="82" t="n"/>
      <c r="S1604" s="82" t="n"/>
      <c r="T1604" s="82" t="n"/>
      <c r="U1604" s="82" t="n"/>
      <c r="V1604" s="82" t="n"/>
      <c r="W1604" s="82" t="n"/>
      <c r="X1604" s="82" t="n"/>
      <c r="Y1604" s="82" t="n"/>
      <c r="Z1604" s="82" t="n"/>
    </row>
    <row r="1605" ht="15.75" customHeight="1" s="83">
      <c r="A1605" s="82" t="n"/>
      <c r="B1605" s="44" t="n"/>
      <c r="C1605" s="82" t="n"/>
      <c r="D1605" s="82" t="n"/>
      <c r="E1605" s="81" t="n"/>
      <c r="F1605" s="82" t="n"/>
      <c r="G1605" s="82" t="n"/>
      <c r="H1605" s="82" t="n"/>
      <c r="I1605" s="82" t="n"/>
      <c r="J1605" s="82" t="n"/>
      <c r="K1605" s="82" t="n"/>
      <c r="L1605" s="82" t="n"/>
      <c r="M1605" s="82" t="n"/>
      <c r="N1605" s="82" t="n"/>
      <c r="O1605" s="82" t="n"/>
      <c r="P1605" s="82" t="n"/>
      <c r="Q1605" s="82" t="n"/>
      <c r="R1605" s="82" t="n"/>
      <c r="S1605" s="82" t="n"/>
      <c r="T1605" s="82" t="n"/>
      <c r="U1605" s="82" t="n"/>
      <c r="V1605" s="82" t="n"/>
      <c r="W1605" s="82" t="n"/>
      <c r="X1605" s="82" t="n"/>
      <c r="Y1605" s="82" t="n"/>
      <c r="Z1605" s="82" t="n"/>
    </row>
    <row r="1606" ht="15.75" customHeight="1" s="83">
      <c r="A1606" s="82" t="n"/>
      <c r="B1606" s="44" t="n"/>
      <c r="C1606" s="82" t="n"/>
      <c r="D1606" s="82" t="n"/>
      <c r="E1606" s="81" t="n"/>
      <c r="F1606" s="82" t="n"/>
      <c r="G1606" s="82" t="n"/>
      <c r="H1606" s="82" t="n"/>
      <c r="I1606" s="82" t="n"/>
      <c r="J1606" s="82" t="n"/>
      <c r="K1606" s="82" t="n"/>
      <c r="L1606" s="82" t="n"/>
      <c r="M1606" s="82" t="n"/>
      <c r="N1606" s="82" t="n"/>
      <c r="O1606" s="82" t="n"/>
      <c r="P1606" s="82" t="n"/>
      <c r="Q1606" s="82" t="n"/>
      <c r="R1606" s="82" t="n"/>
      <c r="S1606" s="82" t="n"/>
      <c r="T1606" s="82" t="n"/>
      <c r="U1606" s="82" t="n"/>
      <c r="V1606" s="82" t="n"/>
      <c r="W1606" s="82" t="n"/>
      <c r="X1606" s="82" t="n"/>
      <c r="Y1606" s="82" t="n"/>
      <c r="Z1606" s="82" t="n"/>
    </row>
    <row r="1607" ht="15.75" customHeight="1" s="83">
      <c r="A1607" s="82" t="n"/>
      <c r="B1607" s="44" t="n"/>
      <c r="C1607" s="82" t="n"/>
      <c r="D1607" s="82" t="n"/>
      <c r="E1607" s="81" t="n"/>
      <c r="F1607" s="82" t="n"/>
      <c r="G1607" s="82" t="n"/>
      <c r="H1607" s="82" t="n"/>
      <c r="I1607" s="82" t="n"/>
      <c r="J1607" s="82" t="n"/>
      <c r="K1607" s="82" t="n"/>
      <c r="L1607" s="82" t="n"/>
      <c r="M1607" s="82" t="n"/>
      <c r="N1607" s="82" t="n"/>
      <c r="O1607" s="82" t="n"/>
      <c r="P1607" s="82" t="n"/>
      <c r="Q1607" s="82" t="n"/>
      <c r="R1607" s="82" t="n"/>
      <c r="S1607" s="82" t="n"/>
      <c r="T1607" s="82" t="n"/>
      <c r="U1607" s="82" t="n"/>
      <c r="V1607" s="82" t="n"/>
      <c r="W1607" s="82" t="n"/>
      <c r="X1607" s="82" t="n"/>
      <c r="Y1607" s="82" t="n"/>
      <c r="Z1607" s="82" t="n"/>
    </row>
    <row r="1608" ht="15.75" customHeight="1" s="83">
      <c r="A1608" s="82" t="n"/>
      <c r="B1608" s="44" t="n"/>
      <c r="C1608" s="82" t="n"/>
      <c r="D1608" s="82" t="n"/>
      <c r="E1608" s="81" t="n"/>
      <c r="F1608" s="82" t="n"/>
      <c r="G1608" s="82" t="n"/>
      <c r="H1608" s="82" t="n"/>
      <c r="I1608" s="82" t="n"/>
      <c r="J1608" s="82" t="n"/>
      <c r="K1608" s="82" t="n"/>
      <c r="L1608" s="82" t="n"/>
      <c r="M1608" s="82" t="n"/>
      <c r="N1608" s="82" t="n"/>
      <c r="O1608" s="82" t="n"/>
      <c r="P1608" s="82" t="n"/>
      <c r="Q1608" s="82" t="n"/>
      <c r="R1608" s="82" t="n"/>
      <c r="S1608" s="82" t="n"/>
      <c r="T1608" s="82" t="n"/>
      <c r="U1608" s="82" t="n"/>
      <c r="V1608" s="82" t="n"/>
      <c r="W1608" s="82" t="n"/>
      <c r="X1608" s="82" t="n"/>
      <c r="Y1608" s="82" t="n"/>
      <c r="Z1608" s="82" t="n"/>
    </row>
    <row r="1609" ht="15.75" customHeight="1" s="83">
      <c r="A1609" s="82" t="n"/>
      <c r="B1609" s="44" t="n"/>
      <c r="C1609" s="82" t="n"/>
      <c r="D1609" s="82" t="n"/>
      <c r="E1609" s="81" t="n"/>
      <c r="F1609" s="82" t="n"/>
      <c r="G1609" s="82" t="n"/>
      <c r="H1609" s="82" t="n"/>
      <c r="I1609" s="82" t="n"/>
      <c r="J1609" s="82" t="n"/>
      <c r="K1609" s="82" t="n"/>
      <c r="L1609" s="82" t="n"/>
      <c r="M1609" s="82" t="n"/>
      <c r="N1609" s="82" t="n"/>
      <c r="O1609" s="82" t="n"/>
      <c r="P1609" s="82" t="n"/>
      <c r="Q1609" s="82" t="n"/>
      <c r="R1609" s="82" t="n"/>
      <c r="S1609" s="82" t="n"/>
      <c r="T1609" s="82" t="n"/>
      <c r="U1609" s="82" t="n"/>
      <c r="V1609" s="82" t="n"/>
      <c r="W1609" s="82" t="n"/>
      <c r="X1609" s="82" t="n"/>
      <c r="Y1609" s="82" t="n"/>
      <c r="Z1609" s="82" t="n"/>
    </row>
    <row r="1610" ht="15.75" customHeight="1" s="83">
      <c r="A1610" s="82" t="n"/>
      <c r="B1610" s="44" t="n"/>
      <c r="C1610" s="82" t="n"/>
      <c r="D1610" s="82" t="n"/>
      <c r="E1610" s="81" t="n"/>
      <c r="F1610" s="82" t="n"/>
      <c r="G1610" s="82" t="n"/>
      <c r="H1610" s="82" t="n"/>
      <c r="I1610" s="82" t="n"/>
      <c r="J1610" s="82" t="n"/>
      <c r="K1610" s="82" t="n"/>
      <c r="L1610" s="82" t="n"/>
      <c r="M1610" s="82" t="n"/>
      <c r="N1610" s="82" t="n"/>
      <c r="O1610" s="82" t="n"/>
      <c r="P1610" s="82" t="n"/>
      <c r="Q1610" s="82" t="n"/>
      <c r="R1610" s="82" t="n"/>
      <c r="S1610" s="82" t="n"/>
      <c r="T1610" s="82" t="n"/>
      <c r="U1610" s="82" t="n"/>
      <c r="V1610" s="82" t="n"/>
      <c r="W1610" s="82" t="n"/>
      <c r="X1610" s="82" t="n"/>
      <c r="Y1610" s="82" t="n"/>
      <c r="Z1610" s="82" t="n"/>
    </row>
    <row r="1611" ht="15.75" customHeight="1" s="83">
      <c r="A1611" s="82" t="n"/>
      <c r="B1611" s="44" t="n"/>
      <c r="C1611" s="82" t="n"/>
      <c r="D1611" s="82" t="n"/>
      <c r="E1611" s="81" t="n"/>
      <c r="F1611" s="82" t="n"/>
      <c r="G1611" s="82" t="n"/>
      <c r="H1611" s="82" t="n"/>
      <c r="I1611" s="82" t="n"/>
      <c r="J1611" s="82" t="n"/>
      <c r="K1611" s="82" t="n"/>
      <c r="L1611" s="82" t="n"/>
      <c r="M1611" s="82" t="n"/>
      <c r="N1611" s="82" t="n"/>
      <c r="O1611" s="82" t="n"/>
      <c r="P1611" s="82" t="n"/>
      <c r="Q1611" s="82" t="n"/>
      <c r="R1611" s="82" t="n"/>
      <c r="S1611" s="82" t="n"/>
      <c r="T1611" s="82" t="n"/>
      <c r="U1611" s="82" t="n"/>
      <c r="V1611" s="82" t="n"/>
      <c r="W1611" s="82" t="n"/>
      <c r="X1611" s="82" t="n"/>
      <c r="Y1611" s="82" t="n"/>
      <c r="Z1611" s="82" t="n"/>
    </row>
    <row r="1612" ht="15.75" customHeight="1" s="83">
      <c r="A1612" s="82" t="n"/>
      <c r="B1612" s="44" t="n"/>
      <c r="C1612" s="82" t="n"/>
      <c r="D1612" s="82" t="n"/>
      <c r="E1612" s="81" t="n"/>
      <c r="F1612" s="82" t="n"/>
      <c r="G1612" s="82" t="n"/>
      <c r="H1612" s="82" t="n"/>
      <c r="I1612" s="82" t="n"/>
      <c r="J1612" s="82" t="n"/>
      <c r="K1612" s="82" t="n"/>
      <c r="L1612" s="82" t="n"/>
      <c r="M1612" s="82" t="n"/>
      <c r="N1612" s="82" t="n"/>
      <c r="O1612" s="82" t="n"/>
      <c r="P1612" s="82" t="n"/>
      <c r="Q1612" s="82" t="n"/>
      <c r="R1612" s="82" t="n"/>
      <c r="S1612" s="82" t="n"/>
      <c r="T1612" s="82" t="n"/>
      <c r="U1612" s="82" t="n"/>
      <c r="V1612" s="82" t="n"/>
      <c r="W1612" s="82" t="n"/>
      <c r="X1612" s="82" t="n"/>
      <c r="Y1612" s="82" t="n"/>
      <c r="Z1612" s="82" t="n"/>
    </row>
    <row r="1613" ht="15.75" customHeight="1" s="83">
      <c r="A1613" s="82" t="n"/>
      <c r="B1613" s="44" t="n"/>
      <c r="C1613" s="82" t="n"/>
      <c r="D1613" s="82" t="n"/>
      <c r="E1613" s="81" t="n"/>
      <c r="F1613" s="82" t="n"/>
      <c r="G1613" s="82" t="n"/>
      <c r="H1613" s="82" t="n"/>
      <c r="I1613" s="82" t="n"/>
      <c r="J1613" s="82" t="n"/>
      <c r="K1613" s="82" t="n"/>
      <c r="L1613" s="82" t="n"/>
      <c r="M1613" s="82" t="n"/>
      <c r="N1613" s="82" t="n"/>
      <c r="O1613" s="82" t="n"/>
      <c r="P1613" s="82" t="n"/>
      <c r="Q1613" s="82" t="n"/>
      <c r="R1613" s="82" t="n"/>
      <c r="S1613" s="82" t="n"/>
      <c r="T1613" s="82" t="n"/>
      <c r="U1613" s="82" t="n"/>
      <c r="V1613" s="82" t="n"/>
      <c r="W1613" s="82" t="n"/>
      <c r="X1613" s="82" t="n"/>
      <c r="Y1613" s="82" t="n"/>
      <c r="Z1613" s="82" t="n"/>
    </row>
    <row r="1614" ht="15.75" customHeight="1" s="83">
      <c r="A1614" s="82" t="n"/>
      <c r="B1614" s="44" t="n"/>
      <c r="C1614" s="82" t="n"/>
      <c r="D1614" s="82" t="n"/>
      <c r="E1614" s="81" t="n"/>
      <c r="F1614" s="82" t="n"/>
      <c r="G1614" s="82" t="n"/>
      <c r="H1614" s="82" t="n"/>
      <c r="I1614" s="82" t="n"/>
      <c r="J1614" s="82" t="n"/>
      <c r="K1614" s="82" t="n"/>
      <c r="L1614" s="82" t="n"/>
      <c r="M1614" s="82" t="n"/>
      <c r="N1614" s="82" t="n"/>
      <c r="O1614" s="82" t="n"/>
      <c r="P1614" s="82" t="n"/>
      <c r="Q1614" s="82" t="n"/>
      <c r="R1614" s="82" t="n"/>
      <c r="S1614" s="82" t="n"/>
      <c r="T1614" s="82" t="n"/>
      <c r="U1614" s="82" t="n"/>
      <c r="V1614" s="82" t="n"/>
      <c r="W1614" s="82" t="n"/>
      <c r="X1614" s="82" t="n"/>
      <c r="Y1614" s="82" t="n"/>
      <c r="Z1614" s="82" t="n"/>
    </row>
    <row r="1615" ht="15.75" customHeight="1" s="83">
      <c r="A1615" s="82" t="n"/>
      <c r="B1615" s="44" t="n"/>
      <c r="C1615" s="82" t="n"/>
      <c r="D1615" s="82" t="n"/>
      <c r="E1615" s="81" t="n"/>
      <c r="F1615" s="82" t="n"/>
      <c r="G1615" s="82" t="n"/>
      <c r="H1615" s="82" t="n"/>
      <c r="I1615" s="82" t="n"/>
      <c r="J1615" s="82" t="n"/>
      <c r="K1615" s="82" t="n"/>
      <c r="L1615" s="82" t="n"/>
      <c r="M1615" s="82" t="n"/>
      <c r="N1615" s="82" t="n"/>
      <c r="O1615" s="82" t="n"/>
      <c r="P1615" s="82" t="n"/>
      <c r="Q1615" s="82" t="n"/>
      <c r="R1615" s="82" t="n"/>
      <c r="S1615" s="82" t="n"/>
      <c r="T1615" s="82" t="n"/>
      <c r="U1615" s="82" t="n"/>
      <c r="V1615" s="82" t="n"/>
      <c r="W1615" s="82" t="n"/>
      <c r="X1615" s="82" t="n"/>
      <c r="Y1615" s="82" t="n"/>
      <c r="Z1615" s="82" t="n"/>
    </row>
    <row r="1616" ht="15.75" customHeight="1" s="83">
      <c r="A1616" s="82" t="n"/>
      <c r="B1616" s="44" t="n"/>
      <c r="C1616" s="82" t="n"/>
      <c r="D1616" s="82" t="n"/>
      <c r="E1616" s="81" t="n"/>
      <c r="F1616" s="82" t="n"/>
      <c r="G1616" s="82" t="n"/>
      <c r="H1616" s="82" t="n"/>
      <c r="I1616" s="82" t="n"/>
      <c r="J1616" s="82" t="n"/>
      <c r="K1616" s="82" t="n"/>
      <c r="L1616" s="82" t="n"/>
      <c r="M1616" s="82" t="n"/>
      <c r="N1616" s="82" t="n"/>
      <c r="O1616" s="82" t="n"/>
      <c r="P1616" s="82" t="n"/>
      <c r="Q1616" s="82" t="n"/>
      <c r="R1616" s="82" t="n"/>
      <c r="S1616" s="82" t="n"/>
      <c r="T1616" s="82" t="n"/>
      <c r="U1616" s="82" t="n"/>
      <c r="V1616" s="82" t="n"/>
      <c r="W1616" s="82" t="n"/>
      <c r="X1616" s="82" t="n"/>
      <c r="Y1616" s="82" t="n"/>
      <c r="Z1616" s="82" t="n"/>
    </row>
    <row r="1617" ht="15.75" customHeight="1" s="83">
      <c r="A1617" s="82" t="n"/>
      <c r="B1617" s="44" t="n"/>
      <c r="C1617" s="82" t="n"/>
      <c r="D1617" s="82" t="n"/>
      <c r="E1617" s="81" t="n"/>
      <c r="F1617" s="82" t="n"/>
      <c r="G1617" s="82" t="n"/>
      <c r="H1617" s="82" t="n"/>
      <c r="I1617" s="82" t="n"/>
      <c r="J1617" s="82" t="n"/>
      <c r="K1617" s="82" t="n"/>
      <c r="L1617" s="82" t="n"/>
      <c r="M1617" s="82" t="n"/>
      <c r="N1617" s="82" t="n"/>
      <c r="O1617" s="82" t="n"/>
      <c r="P1617" s="82" t="n"/>
      <c r="Q1617" s="82" t="n"/>
      <c r="R1617" s="82" t="n"/>
      <c r="S1617" s="82" t="n"/>
      <c r="T1617" s="82" t="n"/>
      <c r="U1617" s="82" t="n"/>
      <c r="V1617" s="82" t="n"/>
      <c r="W1617" s="82" t="n"/>
      <c r="X1617" s="82" t="n"/>
      <c r="Y1617" s="82" t="n"/>
      <c r="Z1617" s="82" t="n"/>
    </row>
    <row r="1618" ht="15.75" customHeight="1" s="83">
      <c r="A1618" s="82" t="n"/>
      <c r="B1618" s="44" t="n"/>
      <c r="C1618" s="82" t="n"/>
      <c r="D1618" s="82" t="n"/>
      <c r="E1618" s="81" t="n"/>
      <c r="F1618" s="82" t="n"/>
      <c r="G1618" s="82" t="n"/>
      <c r="H1618" s="82" t="n"/>
      <c r="I1618" s="82" t="n"/>
      <c r="J1618" s="82" t="n"/>
      <c r="K1618" s="82" t="n"/>
      <c r="L1618" s="82" t="n"/>
      <c r="M1618" s="82" t="n"/>
      <c r="N1618" s="82" t="n"/>
      <c r="O1618" s="82" t="n"/>
      <c r="P1618" s="82" t="n"/>
      <c r="Q1618" s="82" t="n"/>
      <c r="R1618" s="82" t="n"/>
      <c r="S1618" s="82" t="n"/>
      <c r="T1618" s="82" t="n"/>
      <c r="U1618" s="82" t="n"/>
      <c r="V1618" s="82" t="n"/>
      <c r="W1618" s="82" t="n"/>
      <c r="X1618" s="82" t="n"/>
      <c r="Y1618" s="82" t="n"/>
      <c r="Z1618" s="82" t="n"/>
    </row>
    <row r="1619" ht="15.75" customHeight="1" s="83">
      <c r="A1619" s="82" t="n"/>
      <c r="B1619" s="44" t="n"/>
      <c r="C1619" s="82" t="n"/>
      <c r="D1619" s="82" t="n"/>
      <c r="E1619" s="81" t="n"/>
      <c r="F1619" s="82" t="n"/>
      <c r="G1619" s="82" t="n"/>
      <c r="H1619" s="82" t="n"/>
      <c r="I1619" s="82" t="n"/>
      <c r="J1619" s="82" t="n"/>
      <c r="K1619" s="82" t="n"/>
      <c r="L1619" s="82" t="n"/>
      <c r="M1619" s="82" t="n"/>
      <c r="N1619" s="82" t="n"/>
      <c r="O1619" s="82" t="n"/>
      <c r="P1619" s="82" t="n"/>
      <c r="Q1619" s="82" t="n"/>
      <c r="R1619" s="82" t="n"/>
      <c r="S1619" s="82" t="n"/>
      <c r="T1619" s="82" t="n"/>
      <c r="U1619" s="82" t="n"/>
      <c r="V1619" s="82" t="n"/>
      <c r="W1619" s="82" t="n"/>
      <c r="X1619" s="82" t="n"/>
      <c r="Y1619" s="82" t="n"/>
      <c r="Z1619" s="82" t="n"/>
    </row>
    <row r="1620" ht="15.75" customHeight="1" s="83">
      <c r="A1620" s="82" t="n"/>
      <c r="B1620" s="44" t="n"/>
      <c r="C1620" s="82" t="n"/>
      <c r="D1620" s="82" t="n"/>
      <c r="E1620" s="81" t="n"/>
      <c r="F1620" s="82" t="n"/>
      <c r="G1620" s="82" t="n"/>
      <c r="H1620" s="82" t="n"/>
      <c r="I1620" s="82" t="n"/>
      <c r="J1620" s="82" t="n"/>
      <c r="K1620" s="82" t="n"/>
      <c r="L1620" s="82" t="n"/>
      <c r="M1620" s="82" t="n"/>
      <c r="N1620" s="82" t="n"/>
      <c r="O1620" s="82" t="n"/>
      <c r="P1620" s="82" t="n"/>
      <c r="Q1620" s="82" t="n"/>
      <c r="R1620" s="82" t="n"/>
      <c r="S1620" s="82" t="n"/>
      <c r="T1620" s="82" t="n"/>
      <c r="U1620" s="82" t="n"/>
      <c r="V1620" s="82" t="n"/>
      <c r="W1620" s="82" t="n"/>
      <c r="X1620" s="82" t="n"/>
      <c r="Y1620" s="82" t="n"/>
      <c r="Z1620" s="82" t="n"/>
    </row>
    <row r="1621" ht="15.75" customHeight="1" s="83">
      <c r="A1621" s="82" t="n"/>
      <c r="B1621" s="44" t="n"/>
      <c r="C1621" s="82" t="n"/>
      <c r="D1621" s="82" t="n"/>
      <c r="E1621" s="81" t="n"/>
      <c r="F1621" s="82" t="n"/>
      <c r="G1621" s="82" t="n"/>
      <c r="H1621" s="82" t="n"/>
      <c r="I1621" s="82" t="n"/>
      <c r="J1621" s="82" t="n"/>
      <c r="K1621" s="82" t="n"/>
      <c r="L1621" s="82" t="n"/>
      <c r="M1621" s="82" t="n"/>
      <c r="N1621" s="82" t="n"/>
      <c r="O1621" s="82" t="n"/>
      <c r="P1621" s="82" t="n"/>
      <c r="Q1621" s="82" t="n"/>
      <c r="R1621" s="82" t="n"/>
      <c r="S1621" s="82" t="n"/>
      <c r="T1621" s="82" t="n"/>
      <c r="U1621" s="82" t="n"/>
      <c r="V1621" s="82" t="n"/>
      <c r="W1621" s="82" t="n"/>
      <c r="X1621" s="82" t="n"/>
      <c r="Y1621" s="82" t="n"/>
      <c r="Z1621" s="82" t="n"/>
    </row>
    <row r="1622" ht="15.75" customHeight="1" s="83">
      <c r="A1622" s="82" t="n"/>
      <c r="B1622" s="44" t="n"/>
      <c r="C1622" s="82" t="n"/>
      <c r="D1622" s="82" t="n"/>
      <c r="E1622" s="81" t="n"/>
      <c r="F1622" s="82" t="n"/>
      <c r="G1622" s="82" t="n"/>
      <c r="H1622" s="82" t="n"/>
      <c r="I1622" s="82" t="n"/>
      <c r="J1622" s="82" t="n"/>
      <c r="K1622" s="82" t="n"/>
      <c r="L1622" s="82" t="n"/>
      <c r="M1622" s="82" t="n"/>
      <c r="N1622" s="82" t="n"/>
      <c r="O1622" s="82" t="n"/>
      <c r="P1622" s="82" t="n"/>
      <c r="Q1622" s="82" t="n"/>
      <c r="R1622" s="82" t="n"/>
      <c r="S1622" s="82" t="n"/>
      <c r="T1622" s="82" t="n"/>
      <c r="U1622" s="82" t="n"/>
      <c r="V1622" s="82" t="n"/>
      <c r="W1622" s="82" t="n"/>
      <c r="X1622" s="82" t="n"/>
      <c r="Y1622" s="82" t="n"/>
      <c r="Z1622" s="82" t="n"/>
    </row>
    <row r="1623" ht="15.75" customHeight="1" s="83">
      <c r="A1623" s="82" t="n"/>
      <c r="B1623" s="44" t="n"/>
      <c r="C1623" s="82" t="n"/>
      <c r="D1623" s="82" t="n"/>
      <c r="E1623" s="81" t="n"/>
      <c r="F1623" s="82" t="n"/>
      <c r="G1623" s="82" t="n"/>
      <c r="H1623" s="82" t="n"/>
      <c r="I1623" s="82" t="n"/>
      <c r="J1623" s="82" t="n"/>
      <c r="K1623" s="82" t="n"/>
      <c r="L1623" s="82" t="n"/>
      <c r="M1623" s="82" t="n"/>
      <c r="N1623" s="82" t="n"/>
      <c r="O1623" s="82" t="n"/>
      <c r="P1623" s="82" t="n"/>
      <c r="Q1623" s="82" t="n"/>
      <c r="R1623" s="82" t="n"/>
      <c r="S1623" s="82" t="n"/>
      <c r="T1623" s="82" t="n"/>
      <c r="U1623" s="82" t="n"/>
      <c r="V1623" s="82" t="n"/>
      <c r="W1623" s="82" t="n"/>
      <c r="X1623" s="82" t="n"/>
      <c r="Y1623" s="82" t="n"/>
      <c r="Z1623" s="82" t="n"/>
    </row>
    <row r="1624" ht="15.75" customHeight="1" s="83">
      <c r="A1624" s="82" t="n"/>
      <c r="B1624" s="44" t="n"/>
      <c r="C1624" s="82" t="n"/>
      <c r="D1624" s="82" t="n"/>
      <c r="E1624" s="81" t="n"/>
      <c r="F1624" s="82" t="n"/>
      <c r="G1624" s="82" t="n"/>
      <c r="H1624" s="82" t="n"/>
      <c r="I1624" s="82" t="n"/>
      <c r="J1624" s="82" t="n"/>
      <c r="K1624" s="82" t="n"/>
      <c r="L1624" s="82" t="n"/>
      <c r="M1624" s="82" t="n"/>
      <c r="N1624" s="82" t="n"/>
      <c r="O1624" s="82" t="n"/>
      <c r="P1624" s="82" t="n"/>
      <c r="Q1624" s="82" t="n"/>
      <c r="R1624" s="82" t="n"/>
      <c r="S1624" s="82" t="n"/>
      <c r="T1624" s="82" t="n"/>
      <c r="U1624" s="82" t="n"/>
      <c r="V1624" s="82" t="n"/>
      <c r="W1624" s="82" t="n"/>
      <c r="X1624" s="82" t="n"/>
      <c r="Y1624" s="82" t="n"/>
      <c r="Z1624" s="82" t="n"/>
    </row>
    <row r="1625" ht="15.75" customHeight="1" s="83">
      <c r="A1625" s="82" t="n"/>
      <c r="B1625" s="44" t="n"/>
      <c r="C1625" s="82" t="n"/>
      <c r="D1625" s="82" t="n"/>
      <c r="E1625" s="81" t="n"/>
      <c r="F1625" s="82" t="n"/>
      <c r="G1625" s="82" t="n"/>
      <c r="H1625" s="82" t="n"/>
      <c r="I1625" s="82" t="n"/>
      <c r="J1625" s="82" t="n"/>
      <c r="K1625" s="82" t="n"/>
      <c r="L1625" s="82" t="n"/>
      <c r="M1625" s="82" t="n"/>
      <c r="N1625" s="82" t="n"/>
      <c r="O1625" s="82" t="n"/>
      <c r="P1625" s="82" t="n"/>
      <c r="Q1625" s="82" t="n"/>
      <c r="R1625" s="82" t="n"/>
      <c r="S1625" s="82" t="n"/>
      <c r="T1625" s="82" t="n"/>
      <c r="U1625" s="82" t="n"/>
      <c r="V1625" s="82" t="n"/>
      <c r="W1625" s="82" t="n"/>
      <c r="X1625" s="82" t="n"/>
      <c r="Y1625" s="82" t="n"/>
      <c r="Z1625" s="82" t="n"/>
    </row>
    <row r="1626" ht="15.75" customHeight="1" s="83">
      <c r="A1626" s="82" t="n"/>
      <c r="B1626" s="44" t="n"/>
      <c r="C1626" s="82" t="n"/>
      <c r="D1626" s="82" t="n"/>
      <c r="E1626" s="81" t="n"/>
      <c r="F1626" s="82" t="n"/>
      <c r="G1626" s="82" t="n"/>
      <c r="H1626" s="82" t="n"/>
      <c r="I1626" s="82" t="n"/>
      <c r="J1626" s="82" t="n"/>
      <c r="K1626" s="82" t="n"/>
      <c r="L1626" s="82" t="n"/>
      <c r="M1626" s="82" t="n"/>
      <c r="N1626" s="82" t="n"/>
      <c r="O1626" s="82" t="n"/>
      <c r="P1626" s="82" t="n"/>
      <c r="Q1626" s="82" t="n"/>
      <c r="R1626" s="82" t="n"/>
      <c r="S1626" s="82" t="n"/>
      <c r="T1626" s="82" t="n"/>
      <c r="U1626" s="82" t="n"/>
      <c r="V1626" s="82" t="n"/>
      <c r="W1626" s="82" t="n"/>
      <c r="X1626" s="82" t="n"/>
      <c r="Y1626" s="82" t="n"/>
      <c r="Z1626" s="82" t="n"/>
    </row>
    <row r="1627" ht="15.75" customHeight="1" s="83">
      <c r="A1627" s="82" t="n"/>
      <c r="B1627" s="44" t="n"/>
      <c r="C1627" s="82" t="n"/>
      <c r="D1627" s="82" t="n"/>
      <c r="E1627" s="81" t="n"/>
      <c r="F1627" s="82" t="n"/>
      <c r="G1627" s="82" t="n"/>
      <c r="H1627" s="82" t="n"/>
      <c r="I1627" s="82" t="n"/>
      <c r="J1627" s="82" t="n"/>
      <c r="K1627" s="82" t="n"/>
      <c r="L1627" s="82" t="n"/>
      <c r="M1627" s="82" t="n"/>
      <c r="N1627" s="82" t="n"/>
      <c r="O1627" s="82" t="n"/>
      <c r="P1627" s="82" t="n"/>
      <c r="Q1627" s="82" t="n"/>
      <c r="R1627" s="82" t="n"/>
      <c r="S1627" s="82" t="n"/>
      <c r="T1627" s="82" t="n"/>
      <c r="U1627" s="82" t="n"/>
      <c r="V1627" s="82" t="n"/>
      <c r="W1627" s="82" t="n"/>
      <c r="X1627" s="82" t="n"/>
      <c r="Y1627" s="82" t="n"/>
      <c r="Z1627" s="82" t="n"/>
    </row>
    <row r="1628" ht="15.75" customHeight="1" s="83">
      <c r="A1628" s="82" t="n"/>
      <c r="B1628" s="44" t="n"/>
      <c r="C1628" s="82" t="n"/>
      <c r="D1628" s="82" t="n"/>
      <c r="E1628" s="81" t="n"/>
      <c r="F1628" s="82" t="n"/>
      <c r="G1628" s="82" t="n"/>
      <c r="H1628" s="82" t="n"/>
      <c r="I1628" s="82" t="n"/>
      <c r="J1628" s="82" t="n"/>
      <c r="K1628" s="82" t="n"/>
      <c r="L1628" s="82" t="n"/>
      <c r="M1628" s="82" t="n"/>
      <c r="N1628" s="82" t="n"/>
      <c r="O1628" s="82" t="n"/>
      <c r="P1628" s="82" t="n"/>
      <c r="Q1628" s="82" t="n"/>
      <c r="R1628" s="82" t="n"/>
      <c r="S1628" s="82" t="n"/>
      <c r="T1628" s="82" t="n"/>
      <c r="U1628" s="82" t="n"/>
      <c r="V1628" s="82" t="n"/>
      <c r="W1628" s="82" t="n"/>
      <c r="X1628" s="82" t="n"/>
      <c r="Y1628" s="82" t="n"/>
      <c r="Z1628" s="82" t="n"/>
    </row>
    <row r="1629" ht="15.75" customHeight="1" s="83">
      <c r="A1629" s="82" t="n"/>
      <c r="B1629" s="44" t="n"/>
      <c r="C1629" s="82" t="n"/>
      <c r="D1629" s="82" t="n"/>
      <c r="E1629" s="81" t="n"/>
      <c r="F1629" s="82" t="n"/>
      <c r="G1629" s="82" t="n"/>
      <c r="H1629" s="82" t="n"/>
      <c r="I1629" s="82" t="n"/>
      <c r="J1629" s="82" t="n"/>
      <c r="K1629" s="82" t="n"/>
      <c r="L1629" s="82" t="n"/>
      <c r="M1629" s="82" t="n"/>
      <c r="N1629" s="82" t="n"/>
      <c r="O1629" s="82" t="n"/>
      <c r="P1629" s="82" t="n"/>
      <c r="Q1629" s="82" t="n"/>
      <c r="R1629" s="82" t="n"/>
      <c r="S1629" s="82" t="n"/>
      <c r="T1629" s="82" t="n"/>
      <c r="U1629" s="82" t="n"/>
      <c r="V1629" s="82" t="n"/>
      <c r="W1629" s="82" t="n"/>
      <c r="X1629" s="82" t="n"/>
      <c r="Y1629" s="82" t="n"/>
      <c r="Z1629" s="82" t="n"/>
    </row>
    <row r="1630" ht="15.75" customHeight="1" s="83">
      <c r="A1630" s="82" t="n"/>
      <c r="B1630" s="44" t="n"/>
      <c r="C1630" s="82" t="n"/>
      <c r="D1630" s="82" t="n"/>
      <c r="E1630" s="81" t="n"/>
      <c r="F1630" s="82" t="n"/>
      <c r="G1630" s="82" t="n"/>
      <c r="H1630" s="82" t="n"/>
      <c r="I1630" s="82" t="n"/>
      <c r="J1630" s="82" t="n"/>
      <c r="K1630" s="82" t="n"/>
      <c r="L1630" s="82" t="n"/>
      <c r="M1630" s="82" t="n"/>
      <c r="N1630" s="82" t="n"/>
      <c r="O1630" s="82" t="n"/>
      <c r="P1630" s="82" t="n"/>
      <c r="Q1630" s="82" t="n"/>
      <c r="R1630" s="82" t="n"/>
      <c r="S1630" s="82" t="n"/>
      <c r="T1630" s="82" t="n"/>
      <c r="U1630" s="82" t="n"/>
      <c r="V1630" s="82" t="n"/>
      <c r="W1630" s="82" t="n"/>
      <c r="X1630" s="82" t="n"/>
      <c r="Y1630" s="82" t="n"/>
      <c r="Z1630" s="82" t="n"/>
    </row>
    <row r="1631" ht="15.75" customHeight="1" s="83">
      <c r="A1631" s="82" t="n"/>
      <c r="B1631" s="44" t="n"/>
      <c r="C1631" s="82" t="n"/>
      <c r="D1631" s="82" t="n"/>
      <c r="E1631" s="81" t="n"/>
      <c r="F1631" s="82" t="n"/>
      <c r="G1631" s="82" t="n"/>
      <c r="H1631" s="82" t="n"/>
      <c r="I1631" s="82" t="n"/>
      <c r="J1631" s="82" t="n"/>
      <c r="K1631" s="82" t="n"/>
      <c r="L1631" s="82" t="n"/>
      <c r="M1631" s="82" t="n"/>
      <c r="N1631" s="82" t="n"/>
      <c r="O1631" s="82" t="n"/>
      <c r="P1631" s="82" t="n"/>
      <c r="Q1631" s="82" t="n"/>
      <c r="R1631" s="82" t="n"/>
      <c r="S1631" s="82" t="n"/>
      <c r="T1631" s="82" t="n"/>
      <c r="U1631" s="82" t="n"/>
      <c r="V1631" s="82" t="n"/>
      <c r="W1631" s="82" t="n"/>
      <c r="X1631" s="82" t="n"/>
      <c r="Y1631" s="82" t="n"/>
      <c r="Z1631" s="82" t="n"/>
    </row>
    <row r="1632" ht="15.75" customHeight="1" s="83">
      <c r="A1632" s="82" t="n"/>
      <c r="B1632" s="44" t="n"/>
      <c r="C1632" s="82" t="n"/>
      <c r="D1632" s="82" t="n"/>
      <c r="E1632" s="81" t="n"/>
      <c r="F1632" s="82" t="n"/>
      <c r="G1632" s="82" t="n"/>
      <c r="H1632" s="82" t="n"/>
      <c r="I1632" s="82" t="n"/>
      <c r="J1632" s="82" t="n"/>
      <c r="K1632" s="82" t="n"/>
      <c r="L1632" s="82" t="n"/>
      <c r="M1632" s="82" t="n"/>
      <c r="N1632" s="82" t="n"/>
      <c r="O1632" s="82" t="n"/>
      <c r="P1632" s="82" t="n"/>
      <c r="Q1632" s="82" t="n"/>
      <c r="R1632" s="82" t="n"/>
      <c r="S1632" s="82" t="n"/>
      <c r="T1632" s="82" t="n"/>
      <c r="U1632" s="82" t="n"/>
      <c r="V1632" s="82" t="n"/>
      <c r="W1632" s="82" t="n"/>
      <c r="X1632" s="82" t="n"/>
      <c r="Y1632" s="82" t="n"/>
      <c r="Z1632" s="82" t="n"/>
    </row>
    <row r="1633" ht="15.75" customHeight="1" s="83">
      <c r="A1633" s="82" t="n"/>
      <c r="B1633" s="44" t="n"/>
      <c r="C1633" s="82" t="n"/>
      <c r="D1633" s="82" t="n"/>
      <c r="E1633" s="81" t="n"/>
      <c r="F1633" s="82" t="n"/>
      <c r="G1633" s="82" t="n"/>
      <c r="H1633" s="82" t="n"/>
      <c r="I1633" s="82" t="n"/>
      <c r="J1633" s="82" t="n"/>
      <c r="K1633" s="82" t="n"/>
      <c r="L1633" s="82" t="n"/>
      <c r="M1633" s="82" t="n"/>
      <c r="N1633" s="82" t="n"/>
      <c r="O1633" s="82" t="n"/>
      <c r="P1633" s="82" t="n"/>
      <c r="Q1633" s="82" t="n"/>
      <c r="R1633" s="82" t="n"/>
      <c r="S1633" s="82" t="n"/>
      <c r="T1633" s="82" t="n"/>
      <c r="U1633" s="82" t="n"/>
      <c r="V1633" s="82" t="n"/>
      <c r="W1633" s="82" t="n"/>
      <c r="X1633" s="82" t="n"/>
      <c r="Y1633" s="82" t="n"/>
      <c r="Z1633" s="82" t="n"/>
    </row>
    <row r="1634" ht="15.75" customHeight="1" s="83">
      <c r="A1634" s="82" t="n"/>
      <c r="B1634" s="44" t="n"/>
      <c r="C1634" s="82" t="n"/>
      <c r="D1634" s="82" t="n"/>
      <c r="E1634" s="81" t="n"/>
      <c r="F1634" s="82" t="n"/>
      <c r="G1634" s="82" t="n"/>
      <c r="H1634" s="82" t="n"/>
      <c r="I1634" s="82" t="n"/>
      <c r="J1634" s="82" t="n"/>
      <c r="K1634" s="82" t="n"/>
      <c r="L1634" s="82" t="n"/>
      <c r="M1634" s="82" t="n"/>
      <c r="N1634" s="82" t="n"/>
      <c r="O1634" s="82" t="n"/>
      <c r="P1634" s="82" t="n"/>
      <c r="Q1634" s="82" t="n"/>
      <c r="R1634" s="82" t="n"/>
      <c r="S1634" s="82" t="n"/>
      <c r="T1634" s="82" t="n"/>
      <c r="U1634" s="82" t="n"/>
      <c r="V1634" s="82" t="n"/>
      <c r="W1634" s="82" t="n"/>
      <c r="X1634" s="82" t="n"/>
      <c r="Y1634" s="82" t="n"/>
      <c r="Z1634" s="82" t="n"/>
    </row>
    <row r="1635" ht="15.75" customHeight="1" s="83">
      <c r="A1635" s="82" t="n"/>
      <c r="B1635" s="44" t="n"/>
      <c r="C1635" s="82" t="n"/>
      <c r="D1635" s="82" t="n"/>
      <c r="E1635" s="81" t="n"/>
      <c r="F1635" s="82" t="n"/>
      <c r="G1635" s="82" t="n"/>
      <c r="H1635" s="82" t="n"/>
      <c r="I1635" s="82" t="n"/>
      <c r="J1635" s="82" t="n"/>
      <c r="K1635" s="82" t="n"/>
      <c r="L1635" s="82" t="n"/>
      <c r="M1635" s="82" t="n"/>
      <c r="N1635" s="82" t="n"/>
      <c r="O1635" s="82" t="n"/>
      <c r="P1635" s="82" t="n"/>
      <c r="Q1635" s="82" t="n"/>
      <c r="R1635" s="82" t="n"/>
      <c r="S1635" s="82" t="n"/>
      <c r="T1635" s="82" t="n"/>
      <c r="U1635" s="82" t="n"/>
      <c r="V1635" s="82" t="n"/>
      <c r="W1635" s="82" t="n"/>
      <c r="X1635" s="82" t="n"/>
      <c r="Y1635" s="82" t="n"/>
      <c r="Z1635" s="82" t="n"/>
    </row>
    <row r="1636" ht="15.75" customHeight="1" s="83">
      <c r="A1636" s="82" t="n"/>
      <c r="B1636" s="44" t="n"/>
      <c r="C1636" s="82" t="n"/>
      <c r="D1636" s="82" t="n"/>
      <c r="E1636" s="81" t="n"/>
      <c r="F1636" s="82" t="n"/>
      <c r="G1636" s="82" t="n"/>
      <c r="H1636" s="82" t="n"/>
      <c r="I1636" s="82" t="n"/>
      <c r="J1636" s="82" t="n"/>
      <c r="K1636" s="82" t="n"/>
      <c r="L1636" s="82" t="n"/>
      <c r="M1636" s="82" t="n"/>
      <c r="N1636" s="82" t="n"/>
      <c r="O1636" s="82" t="n"/>
      <c r="P1636" s="82" t="n"/>
      <c r="Q1636" s="82" t="n"/>
      <c r="R1636" s="82" t="n"/>
      <c r="S1636" s="82" t="n"/>
      <c r="T1636" s="82" t="n"/>
      <c r="U1636" s="82" t="n"/>
      <c r="V1636" s="82" t="n"/>
      <c r="W1636" s="82" t="n"/>
      <c r="X1636" s="82" t="n"/>
      <c r="Y1636" s="82" t="n"/>
      <c r="Z1636" s="82" t="n"/>
    </row>
    <row r="1637" ht="15.75" customHeight="1" s="83">
      <c r="A1637" s="82" t="n"/>
      <c r="B1637" s="44" t="n"/>
      <c r="C1637" s="82" t="n"/>
      <c r="D1637" s="82" t="n"/>
      <c r="E1637" s="81" t="n"/>
      <c r="F1637" s="82" t="n"/>
      <c r="G1637" s="82" t="n"/>
      <c r="H1637" s="82" t="n"/>
      <c r="I1637" s="82" t="n"/>
      <c r="J1637" s="82" t="n"/>
      <c r="K1637" s="82" t="n"/>
      <c r="L1637" s="82" t="n"/>
      <c r="M1637" s="82" t="n"/>
      <c r="N1637" s="82" t="n"/>
      <c r="O1637" s="82" t="n"/>
      <c r="P1637" s="82" t="n"/>
      <c r="Q1637" s="82" t="n"/>
      <c r="R1637" s="82" t="n"/>
      <c r="S1637" s="82" t="n"/>
      <c r="T1637" s="82" t="n"/>
      <c r="U1637" s="82" t="n"/>
      <c r="V1637" s="82" t="n"/>
      <c r="W1637" s="82" t="n"/>
      <c r="X1637" s="82" t="n"/>
      <c r="Y1637" s="82" t="n"/>
      <c r="Z1637" s="82" t="n"/>
    </row>
    <row r="1638" ht="15.75" customHeight="1" s="83">
      <c r="A1638" s="82" t="n"/>
      <c r="B1638" s="44" t="n"/>
      <c r="C1638" s="82" t="n"/>
      <c r="D1638" s="82" t="n"/>
      <c r="E1638" s="81" t="n"/>
      <c r="F1638" s="82" t="n"/>
      <c r="G1638" s="82" t="n"/>
      <c r="H1638" s="82" t="n"/>
      <c r="I1638" s="82" t="n"/>
      <c r="J1638" s="82" t="n"/>
      <c r="K1638" s="82" t="n"/>
      <c r="L1638" s="82" t="n"/>
      <c r="M1638" s="82" t="n"/>
      <c r="N1638" s="82" t="n"/>
      <c r="O1638" s="82" t="n"/>
      <c r="P1638" s="82" t="n"/>
      <c r="Q1638" s="82" t="n"/>
      <c r="R1638" s="82" t="n"/>
      <c r="S1638" s="82" t="n"/>
      <c r="T1638" s="82" t="n"/>
      <c r="U1638" s="82" t="n"/>
      <c r="V1638" s="82" t="n"/>
      <c r="W1638" s="82" t="n"/>
      <c r="X1638" s="82" t="n"/>
      <c r="Y1638" s="82" t="n"/>
      <c r="Z1638" s="82" t="n"/>
    </row>
    <row r="1639" ht="15.75" customHeight="1" s="83">
      <c r="A1639" s="82" t="n"/>
      <c r="B1639" s="44" t="n"/>
      <c r="C1639" s="82" t="n"/>
      <c r="D1639" s="82" t="n"/>
      <c r="E1639" s="81" t="n"/>
      <c r="F1639" s="82" t="n"/>
      <c r="G1639" s="82" t="n"/>
      <c r="H1639" s="82" t="n"/>
      <c r="I1639" s="82" t="n"/>
      <c r="J1639" s="82" t="n"/>
      <c r="K1639" s="82" t="n"/>
      <c r="L1639" s="82" t="n"/>
      <c r="M1639" s="82" t="n"/>
      <c r="N1639" s="82" t="n"/>
      <c r="O1639" s="82" t="n"/>
      <c r="P1639" s="82" t="n"/>
      <c r="Q1639" s="82" t="n"/>
      <c r="R1639" s="82" t="n"/>
      <c r="S1639" s="82" t="n"/>
      <c r="T1639" s="82" t="n"/>
      <c r="U1639" s="82" t="n"/>
      <c r="V1639" s="82" t="n"/>
      <c r="W1639" s="82" t="n"/>
      <c r="X1639" s="82" t="n"/>
      <c r="Y1639" s="82" t="n"/>
      <c r="Z1639" s="82" t="n"/>
    </row>
    <row r="1640" ht="15.75" customHeight="1" s="83">
      <c r="A1640" s="82" t="n"/>
      <c r="B1640" s="44" t="n"/>
      <c r="C1640" s="82" t="n"/>
      <c r="D1640" s="82" t="n"/>
      <c r="E1640" s="81" t="n"/>
      <c r="F1640" s="82" t="n"/>
      <c r="G1640" s="82" t="n"/>
      <c r="H1640" s="82" t="n"/>
      <c r="I1640" s="82" t="n"/>
      <c r="J1640" s="82" t="n"/>
      <c r="K1640" s="82" t="n"/>
      <c r="L1640" s="82" t="n"/>
      <c r="M1640" s="82" t="n"/>
      <c r="N1640" s="82" t="n"/>
      <c r="O1640" s="82" t="n"/>
      <c r="P1640" s="82" t="n"/>
      <c r="Q1640" s="82" t="n"/>
      <c r="R1640" s="82" t="n"/>
      <c r="S1640" s="82" t="n"/>
      <c r="T1640" s="82" t="n"/>
      <c r="U1640" s="82" t="n"/>
      <c r="V1640" s="82" t="n"/>
      <c r="W1640" s="82" t="n"/>
      <c r="X1640" s="82" t="n"/>
      <c r="Y1640" s="82" t="n"/>
      <c r="Z1640" s="82" t="n"/>
    </row>
    <row r="1641" ht="15.75" customHeight="1" s="83">
      <c r="A1641" s="82" t="n"/>
      <c r="B1641" s="44" t="n"/>
      <c r="C1641" s="82" t="n"/>
      <c r="D1641" s="82" t="n"/>
      <c r="E1641" s="81" t="n"/>
      <c r="F1641" s="82" t="n"/>
      <c r="G1641" s="82" t="n"/>
      <c r="H1641" s="82" t="n"/>
      <c r="I1641" s="82" t="n"/>
      <c r="J1641" s="82" t="n"/>
      <c r="K1641" s="82" t="n"/>
      <c r="L1641" s="82" t="n"/>
      <c r="M1641" s="82" t="n"/>
      <c r="N1641" s="82" t="n"/>
      <c r="O1641" s="82" t="n"/>
      <c r="P1641" s="82" t="n"/>
      <c r="Q1641" s="82" t="n"/>
      <c r="R1641" s="82" t="n"/>
      <c r="S1641" s="82" t="n"/>
      <c r="T1641" s="82" t="n"/>
      <c r="U1641" s="82" t="n"/>
      <c r="V1641" s="82" t="n"/>
      <c r="W1641" s="82" t="n"/>
      <c r="X1641" s="82" t="n"/>
      <c r="Y1641" s="82" t="n"/>
      <c r="Z1641" s="82" t="n"/>
    </row>
    <row r="1642" ht="15.75" customHeight="1" s="83">
      <c r="A1642" s="82" t="n"/>
      <c r="B1642" s="44" t="n"/>
      <c r="C1642" s="82" t="n"/>
      <c r="D1642" s="82" t="n"/>
      <c r="E1642" s="81" t="n"/>
      <c r="F1642" s="82" t="n"/>
      <c r="G1642" s="82" t="n"/>
      <c r="H1642" s="82" t="n"/>
      <c r="I1642" s="82" t="n"/>
      <c r="J1642" s="82" t="n"/>
      <c r="K1642" s="82" t="n"/>
      <c r="L1642" s="82" t="n"/>
      <c r="M1642" s="82" t="n"/>
      <c r="N1642" s="82" t="n"/>
      <c r="O1642" s="82" t="n"/>
      <c r="P1642" s="82" t="n"/>
      <c r="Q1642" s="82" t="n"/>
      <c r="R1642" s="82" t="n"/>
      <c r="S1642" s="82" t="n"/>
      <c r="T1642" s="82" t="n"/>
      <c r="U1642" s="82" t="n"/>
      <c r="V1642" s="82" t="n"/>
      <c r="W1642" s="82" t="n"/>
      <c r="X1642" s="82" t="n"/>
      <c r="Y1642" s="82" t="n"/>
      <c r="Z1642" s="82" t="n"/>
    </row>
    <row r="1643" ht="15.75" customHeight="1" s="83">
      <c r="A1643" s="82" t="n"/>
      <c r="B1643" s="44" t="n"/>
      <c r="C1643" s="82" t="n"/>
      <c r="D1643" s="82" t="n"/>
      <c r="E1643" s="81" t="n"/>
      <c r="F1643" s="82" t="n"/>
      <c r="G1643" s="82" t="n"/>
      <c r="H1643" s="82" t="n"/>
      <c r="I1643" s="82" t="n"/>
      <c r="J1643" s="82" t="n"/>
      <c r="K1643" s="82" t="n"/>
      <c r="L1643" s="82" t="n"/>
      <c r="M1643" s="82" t="n"/>
      <c r="N1643" s="82" t="n"/>
      <c r="O1643" s="82" t="n"/>
      <c r="P1643" s="82" t="n"/>
      <c r="Q1643" s="82" t="n"/>
      <c r="R1643" s="82" t="n"/>
      <c r="S1643" s="82" t="n"/>
      <c r="T1643" s="82" t="n"/>
      <c r="U1643" s="82" t="n"/>
      <c r="V1643" s="82" t="n"/>
      <c r="W1643" s="82" t="n"/>
      <c r="X1643" s="82" t="n"/>
      <c r="Y1643" s="82" t="n"/>
      <c r="Z1643" s="82" t="n"/>
    </row>
    <row r="1644" ht="15.75" customHeight="1" s="83">
      <c r="A1644" s="82" t="n"/>
      <c r="B1644" s="44" t="n"/>
      <c r="C1644" s="82" t="n"/>
      <c r="D1644" s="82" t="n"/>
      <c r="E1644" s="81" t="n"/>
      <c r="F1644" s="82" t="n"/>
      <c r="G1644" s="82" t="n"/>
      <c r="H1644" s="82" t="n"/>
      <c r="I1644" s="82" t="n"/>
      <c r="J1644" s="82" t="n"/>
      <c r="K1644" s="82" t="n"/>
      <c r="L1644" s="82" t="n"/>
      <c r="M1644" s="82" t="n"/>
      <c r="N1644" s="82" t="n"/>
      <c r="O1644" s="82" t="n"/>
      <c r="P1644" s="82" t="n"/>
      <c r="Q1644" s="82" t="n"/>
      <c r="R1644" s="82" t="n"/>
      <c r="S1644" s="82" t="n"/>
      <c r="T1644" s="82" t="n"/>
      <c r="U1644" s="82" t="n"/>
      <c r="V1644" s="82" t="n"/>
      <c r="W1644" s="82" t="n"/>
      <c r="X1644" s="82" t="n"/>
      <c r="Y1644" s="82" t="n"/>
      <c r="Z1644" s="82" t="n"/>
    </row>
    <row r="1645" ht="15.75" customHeight="1" s="83">
      <c r="A1645" s="82" t="n"/>
      <c r="B1645" s="44" t="n"/>
      <c r="C1645" s="82" t="n"/>
      <c r="D1645" s="82" t="n"/>
      <c r="E1645" s="81" t="n"/>
      <c r="F1645" s="82" t="n"/>
      <c r="G1645" s="82" t="n"/>
      <c r="H1645" s="82" t="n"/>
      <c r="I1645" s="82" t="n"/>
      <c r="J1645" s="82" t="n"/>
      <c r="K1645" s="82" t="n"/>
      <c r="L1645" s="82" t="n"/>
      <c r="M1645" s="82" t="n"/>
      <c r="N1645" s="82" t="n"/>
      <c r="O1645" s="82" t="n"/>
      <c r="P1645" s="82" t="n"/>
      <c r="Q1645" s="82" t="n"/>
      <c r="R1645" s="82" t="n"/>
      <c r="S1645" s="82" t="n"/>
      <c r="T1645" s="82" t="n"/>
      <c r="U1645" s="82" t="n"/>
      <c r="V1645" s="82" t="n"/>
      <c r="W1645" s="82" t="n"/>
      <c r="X1645" s="82" t="n"/>
      <c r="Y1645" s="82" t="n"/>
      <c r="Z1645" s="82" t="n"/>
    </row>
    <row r="1646" ht="15.75" customHeight="1" s="83">
      <c r="A1646" s="82" t="n"/>
      <c r="B1646" s="44" t="n"/>
      <c r="C1646" s="82" t="n"/>
      <c r="D1646" s="82" t="n"/>
      <c r="E1646" s="81" t="n"/>
      <c r="F1646" s="82" t="n"/>
      <c r="G1646" s="82" t="n"/>
      <c r="H1646" s="82" t="n"/>
      <c r="I1646" s="82" t="n"/>
      <c r="J1646" s="82" t="n"/>
      <c r="K1646" s="82" t="n"/>
      <c r="L1646" s="82" t="n"/>
      <c r="M1646" s="82" t="n"/>
      <c r="N1646" s="82" t="n"/>
      <c r="O1646" s="82" t="n"/>
      <c r="P1646" s="82" t="n"/>
      <c r="Q1646" s="82" t="n"/>
      <c r="R1646" s="82" t="n"/>
      <c r="S1646" s="82" t="n"/>
      <c r="T1646" s="82" t="n"/>
      <c r="U1646" s="82" t="n"/>
      <c r="V1646" s="82" t="n"/>
      <c r="W1646" s="82" t="n"/>
      <c r="X1646" s="82" t="n"/>
      <c r="Y1646" s="82" t="n"/>
      <c r="Z1646" s="82" t="n"/>
    </row>
    <row r="1647" ht="15.75" customHeight="1" s="83">
      <c r="A1647" s="82" t="n"/>
      <c r="B1647" s="44" t="n"/>
      <c r="C1647" s="82" t="n"/>
      <c r="D1647" s="82" t="n"/>
      <c r="E1647" s="81" t="n"/>
      <c r="F1647" s="82" t="n"/>
      <c r="G1647" s="82" t="n"/>
      <c r="H1647" s="82" t="n"/>
      <c r="I1647" s="82" t="n"/>
      <c r="J1647" s="82" t="n"/>
      <c r="K1647" s="82" t="n"/>
      <c r="L1647" s="82" t="n"/>
      <c r="M1647" s="82" t="n"/>
      <c r="N1647" s="82" t="n"/>
      <c r="O1647" s="82" t="n"/>
      <c r="P1647" s="82" t="n"/>
      <c r="Q1647" s="82" t="n"/>
      <c r="R1647" s="82" t="n"/>
      <c r="S1647" s="82" t="n"/>
      <c r="T1647" s="82" t="n"/>
      <c r="U1647" s="82" t="n"/>
      <c r="V1647" s="82" t="n"/>
      <c r="W1647" s="82" t="n"/>
      <c r="X1647" s="82" t="n"/>
      <c r="Y1647" s="82" t="n"/>
      <c r="Z1647" s="82" t="n"/>
    </row>
    <row r="1648" ht="15.75" customHeight="1" s="83">
      <c r="A1648" s="82" t="n"/>
      <c r="B1648" s="44" t="n"/>
      <c r="C1648" s="82" t="n"/>
      <c r="D1648" s="82" t="n"/>
      <c r="E1648" s="81" t="n"/>
      <c r="F1648" s="82" t="n"/>
      <c r="G1648" s="82" t="n"/>
      <c r="H1648" s="82" t="n"/>
      <c r="I1648" s="82" t="n"/>
      <c r="J1648" s="82" t="n"/>
      <c r="K1648" s="82" t="n"/>
      <c r="L1648" s="82" t="n"/>
      <c r="M1648" s="82" t="n"/>
      <c r="N1648" s="82" t="n"/>
      <c r="O1648" s="82" t="n"/>
      <c r="P1648" s="82" t="n"/>
      <c r="Q1648" s="82" t="n"/>
      <c r="R1648" s="82" t="n"/>
      <c r="S1648" s="82" t="n"/>
      <c r="T1648" s="82" t="n"/>
      <c r="U1648" s="82" t="n"/>
      <c r="V1648" s="82" t="n"/>
      <c r="W1648" s="82" t="n"/>
      <c r="X1648" s="82" t="n"/>
      <c r="Y1648" s="82" t="n"/>
      <c r="Z1648" s="82" t="n"/>
    </row>
    <row r="1649" ht="15.75" customHeight="1" s="83">
      <c r="A1649" s="82" t="n"/>
      <c r="B1649" s="44" t="n"/>
      <c r="C1649" s="82" t="n"/>
      <c r="D1649" s="82" t="n"/>
      <c r="E1649" s="81" t="n"/>
      <c r="F1649" s="82" t="n"/>
      <c r="G1649" s="82" t="n"/>
      <c r="H1649" s="82" t="n"/>
      <c r="I1649" s="82" t="n"/>
      <c r="J1649" s="82" t="n"/>
      <c r="K1649" s="82" t="n"/>
      <c r="L1649" s="82" t="n"/>
      <c r="M1649" s="82" t="n"/>
      <c r="N1649" s="82" t="n"/>
      <c r="O1649" s="82" t="n"/>
      <c r="P1649" s="82" t="n"/>
      <c r="Q1649" s="82" t="n"/>
      <c r="R1649" s="82" t="n"/>
      <c r="S1649" s="82" t="n"/>
      <c r="T1649" s="82" t="n"/>
      <c r="U1649" s="82" t="n"/>
      <c r="V1649" s="82" t="n"/>
      <c r="W1649" s="82" t="n"/>
      <c r="X1649" s="82" t="n"/>
      <c r="Y1649" s="82" t="n"/>
      <c r="Z1649" s="82" t="n"/>
    </row>
    <row r="1650" ht="15.75" customHeight="1" s="83">
      <c r="A1650" s="82" t="n"/>
      <c r="B1650" s="44" t="n"/>
      <c r="C1650" s="82" t="n"/>
      <c r="D1650" s="82" t="n"/>
      <c r="E1650" s="81" t="n"/>
      <c r="F1650" s="82" t="n"/>
      <c r="G1650" s="82" t="n"/>
      <c r="H1650" s="82" t="n"/>
      <c r="I1650" s="82" t="n"/>
      <c r="J1650" s="82" t="n"/>
      <c r="K1650" s="82" t="n"/>
      <c r="L1650" s="82" t="n"/>
      <c r="M1650" s="82" t="n"/>
      <c r="N1650" s="82" t="n"/>
      <c r="O1650" s="82" t="n"/>
      <c r="P1650" s="82" t="n"/>
      <c r="Q1650" s="82" t="n"/>
      <c r="R1650" s="82" t="n"/>
      <c r="S1650" s="82" t="n"/>
      <c r="T1650" s="82" t="n"/>
      <c r="U1650" s="82" t="n"/>
      <c r="V1650" s="82" t="n"/>
      <c r="W1650" s="82" t="n"/>
      <c r="X1650" s="82" t="n"/>
      <c r="Y1650" s="82" t="n"/>
      <c r="Z1650" s="82" t="n"/>
    </row>
    <row r="1651" ht="15.75" customHeight="1" s="83">
      <c r="A1651" s="82" t="n"/>
      <c r="B1651" s="44" t="n"/>
      <c r="C1651" s="82" t="n"/>
      <c r="D1651" s="82" t="n"/>
      <c r="E1651" s="81" t="n"/>
      <c r="F1651" s="82" t="n"/>
      <c r="G1651" s="82" t="n"/>
      <c r="H1651" s="82" t="n"/>
      <c r="I1651" s="82" t="n"/>
      <c r="J1651" s="82" t="n"/>
      <c r="K1651" s="82" t="n"/>
      <c r="L1651" s="82" t="n"/>
      <c r="M1651" s="82" t="n"/>
      <c r="N1651" s="82" t="n"/>
      <c r="O1651" s="82" t="n"/>
      <c r="P1651" s="82" t="n"/>
      <c r="Q1651" s="82" t="n"/>
      <c r="R1651" s="82" t="n"/>
      <c r="S1651" s="82" t="n"/>
      <c r="T1651" s="82" t="n"/>
      <c r="U1651" s="82" t="n"/>
      <c r="V1651" s="82" t="n"/>
      <c r="W1651" s="82" t="n"/>
      <c r="X1651" s="82" t="n"/>
      <c r="Y1651" s="82" t="n"/>
      <c r="Z1651" s="82" t="n"/>
    </row>
    <row r="1652" ht="15.75" customHeight="1" s="83">
      <c r="A1652" s="82" t="n"/>
      <c r="B1652" s="44" t="n"/>
      <c r="C1652" s="82" t="n"/>
      <c r="D1652" s="82" t="n"/>
      <c r="E1652" s="81" t="n"/>
      <c r="F1652" s="82" t="n"/>
      <c r="G1652" s="82" t="n"/>
      <c r="H1652" s="82" t="n"/>
      <c r="I1652" s="82" t="n"/>
      <c r="J1652" s="82" t="n"/>
      <c r="K1652" s="82" t="n"/>
      <c r="L1652" s="82" t="n"/>
      <c r="M1652" s="82" t="n"/>
      <c r="N1652" s="82" t="n"/>
      <c r="O1652" s="82" t="n"/>
      <c r="P1652" s="82" t="n"/>
      <c r="Q1652" s="82" t="n"/>
      <c r="R1652" s="82" t="n"/>
      <c r="S1652" s="82" t="n"/>
      <c r="T1652" s="82" t="n"/>
      <c r="U1652" s="82" t="n"/>
      <c r="V1652" s="82" t="n"/>
      <c r="W1652" s="82" t="n"/>
      <c r="X1652" s="82" t="n"/>
      <c r="Y1652" s="82" t="n"/>
      <c r="Z1652" s="82" t="n"/>
    </row>
    <row r="1653" ht="15.75" customHeight="1" s="83">
      <c r="A1653" s="82" t="n"/>
      <c r="B1653" s="44" t="n"/>
      <c r="C1653" s="82" t="n"/>
      <c r="D1653" s="82" t="n"/>
      <c r="E1653" s="81" t="n"/>
      <c r="F1653" s="82" t="n"/>
      <c r="G1653" s="82" t="n"/>
      <c r="H1653" s="82" t="n"/>
      <c r="I1653" s="82" t="n"/>
      <c r="J1653" s="82" t="n"/>
      <c r="K1653" s="82" t="n"/>
      <c r="L1653" s="82" t="n"/>
      <c r="M1653" s="82" t="n"/>
      <c r="N1653" s="82" t="n"/>
      <c r="O1653" s="82" t="n"/>
      <c r="P1653" s="82" t="n"/>
      <c r="Q1653" s="82" t="n"/>
      <c r="R1653" s="82" t="n"/>
      <c r="S1653" s="82" t="n"/>
      <c r="T1653" s="82" t="n"/>
      <c r="U1653" s="82" t="n"/>
      <c r="V1653" s="82" t="n"/>
      <c r="W1653" s="82" t="n"/>
      <c r="X1653" s="82" t="n"/>
      <c r="Y1653" s="82" t="n"/>
      <c r="Z1653" s="82" t="n"/>
    </row>
    <row r="1654" ht="15.75" customHeight="1" s="83">
      <c r="A1654" s="82" t="n"/>
      <c r="B1654" s="44" t="n"/>
      <c r="C1654" s="82" t="n"/>
      <c r="D1654" s="82" t="n"/>
      <c r="E1654" s="81" t="n"/>
      <c r="F1654" s="82" t="n"/>
      <c r="G1654" s="82" t="n"/>
      <c r="H1654" s="82" t="n"/>
      <c r="I1654" s="82" t="n"/>
      <c r="J1654" s="82" t="n"/>
      <c r="K1654" s="82" t="n"/>
      <c r="L1654" s="82" t="n"/>
      <c r="M1654" s="82" t="n"/>
      <c r="N1654" s="82" t="n"/>
      <c r="O1654" s="82" t="n"/>
      <c r="P1654" s="82" t="n"/>
      <c r="Q1654" s="82" t="n"/>
      <c r="R1654" s="82" t="n"/>
      <c r="S1654" s="82" t="n"/>
      <c r="T1654" s="82" t="n"/>
      <c r="U1654" s="82" t="n"/>
      <c r="V1654" s="82" t="n"/>
      <c r="W1654" s="82" t="n"/>
      <c r="X1654" s="82" t="n"/>
      <c r="Y1654" s="82" t="n"/>
      <c r="Z1654" s="82" t="n"/>
    </row>
    <row r="1655" ht="15.75" customHeight="1" s="83">
      <c r="A1655" s="82" t="n"/>
      <c r="B1655" s="44" t="n"/>
      <c r="C1655" s="82" t="n"/>
      <c r="D1655" s="82" t="n"/>
      <c r="E1655" s="81" t="n"/>
      <c r="F1655" s="82" t="n"/>
      <c r="G1655" s="82" t="n"/>
      <c r="H1655" s="82" t="n"/>
      <c r="I1655" s="82" t="n"/>
      <c r="J1655" s="82" t="n"/>
      <c r="K1655" s="82" t="n"/>
      <c r="L1655" s="82" t="n"/>
      <c r="M1655" s="82" t="n"/>
      <c r="N1655" s="82" t="n"/>
      <c r="O1655" s="82" t="n"/>
      <c r="P1655" s="82" t="n"/>
      <c r="Q1655" s="82" t="n"/>
      <c r="R1655" s="82" t="n"/>
      <c r="S1655" s="82" t="n"/>
      <c r="T1655" s="82" t="n"/>
      <c r="U1655" s="82" t="n"/>
      <c r="V1655" s="82" t="n"/>
      <c r="W1655" s="82" t="n"/>
      <c r="X1655" s="82" t="n"/>
      <c r="Y1655" s="82" t="n"/>
      <c r="Z1655" s="82" t="n"/>
    </row>
    <row r="1656" ht="15.75" customHeight="1" s="83">
      <c r="A1656" s="82" t="n"/>
      <c r="B1656" s="44" t="n"/>
      <c r="C1656" s="82" t="n"/>
      <c r="D1656" s="82" t="n"/>
      <c r="E1656" s="81" t="n"/>
      <c r="F1656" s="82" t="n"/>
      <c r="G1656" s="82" t="n"/>
      <c r="H1656" s="82" t="n"/>
      <c r="I1656" s="82" t="n"/>
      <c r="J1656" s="82" t="n"/>
      <c r="K1656" s="82" t="n"/>
      <c r="L1656" s="82" t="n"/>
      <c r="M1656" s="82" t="n"/>
      <c r="N1656" s="82" t="n"/>
      <c r="O1656" s="82" t="n"/>
      <c r="P1656" s="82" t="n"/>
      <c r="Q1656" s="82" t="n"/>
      <c r="R1656" s="82" t="n"/>
      <c r="S1656" s="82" t="n"/>
      <c r="T1656" s="82" t="n"/>
      <c r="U1656" s="82" t="n"/>
      <c r="V1656" s="82" t="n"/>
      <c r="W1656" s="82" t="n"/>
      <c r="X1656" s="82" t="n"/>
      <c r="Y1656" s="82" t="n"/>
      <c r="Z1656" s="82" t="n"/>
    </row>
    <row r="1657" ht="15.75" customHeight="1" s="83">
      <c r="A1657" s="82" t="n"/>
      <c r="B1657" s="44" t="n"/>
      <c r="C1657" s="82" t="n"/>
      <c r="D1657" s="82" t="n"/>
      <c r="E1657" s="81" t="n"/>
      <c r="F1657" s="82" t="n"/>
      <c r="G1657" s="82" t="n"/>
      <c r="H1657" s="82" t="n"/>
      <c r="I1657" s="82" t="n"/>
      <c r="J1657" s="82" t="n"/>
      <c r="K1657" s="82" t="n"/>
      <c r="L1657" s="82" t="n"/>
      <c r="M1657" s="82" t="n"/>
      <c r="N1657" s="82" t="n"/>
      <c r="O1657" s="82" t="n"/>
      <c r="P1657" s="82" t="n"/>
      <c r="Q1657" s="82" t="n"/>
      <c r="R1657" s="82" t="n"/>
      <c r="S1657" s="82" t="n"/>
      <c r="T1657" s="82" t="n"/>
      <c r="U1657" s="82" t="n"/>
      <c r="V1657" s="82" t="n"/>
      <c r="W1657" s="82" t="n"/>
      <c r="X1657" s="82" t="n"/>
      <c r="Y1657" s="82" t="n"/>
      <c r="Z1657" s="82" t="n"/>
    </row>
    <row r="1658" ht="15.75" customHeight="1" s="83">
      <c r="A1658" s="82" t="n"/>
      <c r="B1658" s="44" t="n"/>
      <c r="C1658" s="82" t="n"/>
      <c r="D1658" s="82" t="n"/>
      <c r="E1658" s="81" t="n"/>
      <c r="F1658" s="82" t="n"/>
      <c r="G1658" s="82" t="n"/>
      <c r="H1658" s="82" t="n"/>
      <c r="I1658" s="82" t="n"/>
      <c r="J1658" s="82" t="n"/>
      <c r="K1658" s="82" t="n"/>
      <c r="L1658" s="82" t="n"/>
      <c r="M1658" s="82" t="n"/>
      <c r="N1658" s="82" t="n"/>
      <c r="O1658" s="82" t="n"/>
      <c r="P1658" s="82" t="n"/>
      <c r="Q1658" s="82" t="n"/>
      <c r="R1658" s="82" t="n"/>
      <c r="S1658" s="82" t="n"/>
      <c r="T1658" s="82" t="n"/>
      <c r="U1658" s="82" t="n"/>
      <c r="V1658" s="82" t="n"/>
      <c r="W1658" s="82" t="n"/>
      <c r="X1658" s="82" t="n"/>
      <c r="Y1658" s="82" t="n"/>
      <c r="Z1658" s="82" t="n"/>
    </row>
    <row r="1659" ht="15.75" customHeight="1" s="83">
      <c r="A1659" s="82" t="n"/>
      <c r="B1659" s="44" t="n"/>
      <c r="C1659" s="82" t="n"/>
      <c r="D1659" s="82" t="n"/>
      <c r="E1659" s="81" t="n"/>
      <c r="F1659" s="82" t="n"/>
      <c r="G1659" s="82" t="n"/>
      <c r="H1659" s="82" t="n"/>
      <c r="I1659" s="82" t="n"/>
      <c r="J1659" s="82" t="n"/>
      <c r="K1659" s="82" t="n"/>
      <c r="L1659" s="82" t="n"/>
      <c r="M1659" s="82" t="n"/>
      <c r="N1659" s="82" t="n"/>
      <c r="O1659" s="82" t="n"/>
      <c r="P1659" s="82" t="n"/>
      <c r="Q1659" s="82" t="n"/>
      <c r="R1659" s="82" t="n"/>
      <c r="S1659" s="82" t="n"/>
      <c r="T1659" s="82" t="n"/>
      <c r="U1659" s="82" t="n"/>
      <c r="V1659" s="82" t="n"/>
      <c r="W1659" s="82" t="n"/>
      <c r="X1659" s="82" t="n"/>
      <c r="Y1659" s="82" t="n"/>
      <c r="Z1659" s="82" t="n"/>
    </row>
    <row r="1660" ht="15.75" customHeight="1" s="83">
      <c r="A1660" s="82" t="n"/>
      <c r="B1660" s="44" t="n"/>
      <c r="C1660" s="82" t="n"/>
      <c r="D1660" s="82" t="n"/>
      <c r="E1660" s="81" t="n"/>
      <c r="F1660" s="82" t="n"/>
      <c r="G1660" s="82" t="n"/>
      <c r="H1660" s="82" t="n"/>
      <c r="I1660" s="82" t="n"/>
      <c r="J1660" s="82" t="n"/>
      <c r="K1660" s="82" t="n"/>
      <c r="L1660" s="82" t="n"/>
      <c r="M1660" s="82" t="n"/>
      <c r="N1660" s="82" t="n"/>
      <c r="O1660" s="82" t="n"/>
      <c r="P1660" s="82" t="n"/>
      <c r="Q1660" s="82" t="n"/>
      <c r="R1660" s="82" t="n"/>
      <c r="S1660" s="82" t="n"/>
      <c r="T1660" s="82" t="n"/>
      <c r="U1660" s="82" t="n"/>
      <c r="V1660" s="82" t="n"/>
      <c r="W1660" s="82" t="n"/>
      <c r="X1660" s="82" t="n"/>
      <c r="Y1660" s="82" t="n"/>
      <c r="Z1660" s="82" t="n"/>
    </row>
    <row r="1661" ht="15.75" customHeight="1" s="83">
      <c r="A1661" s="82" t="n"/>
      <c r="B1661" s="44" t="n"/>
      <c r="C1661" s="82" t="n"/>
      <c r="D1661" s="82" t="n"/>
      <c r="E1661" s="81" t="n"/>
      <c r="F1661" s="82" t="n"/>
      <c r="G1661" s="82" t="n"/>
      <c r="H1661" s="82" t="n"/>
      <c r="I1661" s="82" t="n"/>
      <c r="J1661" s="82" t="n"/>
      <c r="K1661" s="82" t="n"/>
      <c r="L1661" s="82" t="n"/>
      <c r="M1661" s="82" t="n"/>
      <c r="N1661" s="82" t="n"/>
      <c r="O1661" s="82" t="n"/>
      <c r="P1661" s="82" t="n"/>
      <c r="Q1661" s="82" t="n"/>
      <c r="R1661" s="82" t="n"/>
      <c r="S1661" s="82" t="n"/>
      <c r="T1661" s="82" t="n"/>
      <c r="U1661" s="82" t="n"/>
      <c r="V1661" s="82" t="n"/>
      <c r="W1661" s="82" t="n"/>
      <c r="X1661" s="82" t="n"/>
      <c r="Y1661" s="82" t="n"/>
      <c r="Z1661" s="82" t="n"/>
    </row>
    <row r="1662" ht="15.75" customHeight="1" s="83">
      <c r="A1662" s="82" t="n"/>
      <c r="B1662" s="44" t="n"/>
      <c r="C1662" s="82" t="n"/>
      <c r="D1662" s="82" t="n"/>
      <c r="E1662" s="81" t="n"/>
      <c r="F1662" s="82" t="n"/>
      <c r="G1662" s="82" t="n"/>
      <c r="H1662" s="82" t="n"/>
      <c r="I1662" s="82" t="n"/>
      <c r="J1662" s="82" t="n"/>
      <c r="K1662" s="82" t="n"/>
      <c r="L1662" s="82" t="n"/>
      <c r="M1662" s="82" t="n"/>
      <c r="N1662" s="82" t="n"/>
      <c r="O1662" s="82" t="n"/>
      <c r="P1662" s="82" t="n"/>
      <c r="Q1662" s="82" t="n"/>
      <c r="R1662" s="82" t="n"/>
      <c r="S1662" s="82" t="n"/>
      <c r="T1662" s="82" t="n"/>
      <c r="U1662" s="82" t="n"/>
      <c r="V1662" s="82" t="n"/>
      <c r="W1662" s="82" t="n"/>
      <c r="X1662" s="82" t="n"/>
      <c r="Y1662" s="82" t="n"/>
      <c r="Z1662" s="82" t="n"/>
    </row>
    <row r="1663" ht="15.75" customHeight="1" s="83">
      <c r="A1663" s="82" t="n"/>
      <c r="B1663" s="44" t="n"/>
      <c r="C1663" s="82" t="n"/>
      <c r="D1663" s="82" t="n"/>
      <c r="E1663" s="81" t="n"/>
      <c r="F1663" s="82" t="n"/>
      <c r="G1663" s="82" t="n"/>
      <c r="H1663" s="82" t="n"/>
      <c r="I1663" s="82" t="n"/>
      <c r="J1663" s="82" t="n"/>
      <c r="K1663" s="82" t="n"/>
      <c r="L1663" s="82" t="n"/>
      <c r="M1663" s="82" t="n"/>
      <c r="N1663" s="82" t="n"/>
      <c r="O1663" s="82" t="n"/>
      <c r="P1663" s="82" t="n"/>
      <c r="Q1663" s="82" t="n"/>
      <c r="R1663" s="82" t="n"/>
      <c r="S1663" s="82" t="n"/>
      <c r="T1663" s="82" t="n"/>
      <c r="U1663" s="82" t="n"/>
      <c r="V1663" s="82" t="n"/>
      <c r="W1663" s="82" t="n"/>
      <c r="X1663" s="82" t="n"/>
      <c r="Y1663" s="82" t="n"/>
      <c r="Z1663" s="82" t="n"/>
    </row>
    <row r="1664" ht="15.75" customHeight="1" s="83">
      <c r="A1664" s="82" t="n"/>
      <c r="B1664" s="44" t="n"/>
      <c r="C1664" s="82" t="n"/>
      <c r="D1664" s="82" t="n"/>
      <c r="E1664" s="81" t="n"/>
      <c r="F1664" s="82" t="n"/>
      <c r="G1664" s="82" t="n"/>
      <c r="H1664" s="82" t="n"/>
      <c r="I1664" s="82" t="n"/>
      <c r="J1664" s="82" t="n"/>
      <c r="K1664" s="82" t="n"/>
      <c r="L1664" s="82" t="n"/>
      <c r="M1664" s="82" t="n"/>
      <c r="N1664" s="82" t="n"/>
      <c r="O1664" s="82" t="n"/>
      <c r="P1664" s="82" t="n"/>
      <c r="Q1664" s="82" t="n"/>
      <c r="R1664" s="82" t="n"/>
      <c r="S1664" s="82" t="n"/>
      <c r="T1664" s="82" t="n"/>
      <c r="U1664" s="82" t="n"/>
      <c r="V1664" s="82" t="n"/>
      <c r="W1664" s="82" t="n"/>
      <c r="X1664" s="82" t="n"/>
      <c r="Y1664" s="82" t="n"/>
      <c r="Z1664" s="82" t="n"/>
    </row>
    <row r="1665" ht="15.75" customHeight="1" s="83">
      <c r="A1665" s="82" t="n"/>
      <c r="B1665" s="44" t="n"/>
      <c r="C1665" s="82" t="n"/>
      <c r="D1665" s="82" t="n"/>
      <c r="E1665" s="81" t="n"/>
      <c r="F1665" s="82" t="n"/>
      <c r="G1665" s="82" t="n"/>
      <c r="H1665" s="82" t="n"/>
      <c r="I1665" s="82" t="n"/>
      <c r="J1665" s="82" t="n"/>
      <c r="K1665" s="82" t="n"/>
      <c r="L1665" s="82" t="n"/>
      <c r="M1665" s="82" t="n"/>
      <c r="N1665" s="82" t="n"/>
      <c r="O1665" s="82" t="n"/>
      <c r="P1665" s="82" t="n"/>
      <c r="Q1665" s="82" t="n"/>
      <c r="R1665" s="82" t="n"/>
      <c r="S1665" s="82" t="n"/>
      <c r="T1665" s="82" t="n"/>
      <c r="U1665" s="82" t="n"/>
      <c r="V1665" s="82" t="n"/>
      <c r="W1665" s="82" t="n"/>
      <c r="X1665" s="82" t="n"/>
      <c r="Y1665" s="82" t="n"/>
      <c r="Z1665" s="82" t="n"/>
    </row>
    <row r="1666" ht="15.75" customHeight="1" s="83">
      <c r="A1666" s="82" t="n"/>
      <c r="B1666" s="44" t="n"/>
      <c r="C1666" s="82" t="n"/>
      <c r="D1666" s="82" t="n"/>
      <c r="E1666" s="81" t="n"/>
      <c r="F1666" s="82" t="n"/>
      <c r="G1666" s="82" t="n"/>
      <c r="H1666" s="82" t="n"/>
      <c r="I1666" s="82" t="n"/>
      <c r="J1666" s="82" t="n"/>
      <c r="K1666" s="82" t="n"/>
      <c r="L1666" s="82" t="n"/>
      <c r="M1666" s="82" t="n"/>
      <c r="N1666" s="82" t="n"/>
      <c r="O1666" s="82" t="n"/>
      <c r="P1666" s="82" t="n"/>
      <c r="Q1666" s="82" t="n"/>
      <c r="R1666" s="82" t="n"/>
      <c r="S1666" s="82" t="n"/>
      <c r="T1666" s="82" t="n"/>
      <c r="U1666" s="82" t="n"/>
      <c r="V1666" s="82" t="n"/>
      <c r="W1666" s="82" t="n"/>
      <c r="X1666" s="82" t="n"/>
      <c r="Y1666" s="82" t="n"/>
      <c r="Z1666" s="82" t="n"/>
    </row>
    <row r="1667" ht="15.75" customHeight="1" s="83">
      <c r="A1667" s="82" t="n"/>
      <c r="B1667" s="44" t="n"/>
      <c r="C1667" s="82" t="n"/>
      <c r="D1667" s="82" t="n"/>
      <c r="E1667" s="81" t="n"/>
      <c r="F1667" s="82" t="n"/>
      <c r="G1667" s="82" t="n"/>
      <c r="H1667" s="82" t="n"/>
      <c r="I1667" s="82" t="n"/>
      <c r="J1667" s="82" t="n"/>
      <c r="K1667" s="82" t="n"/>
      <c r="L1667" s="82" t="n"/>
      <c r="M1667" s="82" t="n"/>
      <c r="N1667" s="82" t="n"/>
      <c r="O1667" s="82" t="n"/>
      <c r="P1667" s="82" t="n"/>
      <c r="Q1667" s="82" t="n"/>
      <c r="R1667" s="82" t="n"/>
      <c r="S1667" s="82" t="n"/>
      <c r="T1667" s="82" t="n"/>
      <c r="U1667" s="82" t="n"/>
      <c r="V1667" s="82" t="n"/>
      <c r="W1667" s="82" t="n"/>
      <c r="X1667" s="82" t="n"/>
      <c r="Y1667" s="82" t="n"/>
      <c r="Z1667" s="82" t="n"/>
    </row>
    <row r="1668" ht="15.75" customHeight="1" s="83">
      <c r="A1668" s="82" t="n"/>
      <c r="B1668" s="44" t="n"/>
      <c r="C1668" s="82" t="n"/>
      <c r="D1668" s="82" t="n"/>
      <c r="E1668" s="81" t="n"/>
      <c r="F1668" s="82" t="n"/>
      <c r="G1668" s="82" t="n"/>
      <c r="H1668" s="82" t="n"/>
      <c r="I1668" s="82" t="n"/>
      <c r="J1668" s="82" t="n"/>
      <c r="K1668" s="82" t="n"/>
      <c r="L1668" s="82" t="n"/>
      <c r="M1668" s="82" t="n"/>
      <c r="N1668" s="82" t="n"/>
      <c r="O1668" s="82" t="n"/>
      <c r="P1668" s="82" t="n"/>
      <c r="Q1668" s="82" t="n"/>
      <c r="R1668" s="82" t="n"/>
      <c r="S1668" s="82" t="n"/>
      <c r="T1668" s="82" t="n"/>
      <c r="U1668" s="82" t="n"/>
      <c r="V1668" s="82" t="n"/>
      <c r="W1668" s="82" t="n"/>
      <c r="X1668" s="82" t="n"/>
      <c r="Y1668" s="82" t="n"/>
      <c r="Z1668" s="82" t="n"/>
    </row>
    <row r="1669" ht="15.75" customHeight="1" s="83">
      <c r="A1669" s="82" t="n"/>
      <c r="B1669" s="44" t="n"/>
      <c r="C1669" s="82" t="n"/>
      <c r="D1669" s="82" t="n"/>
      <c r="E1669" s="81" t="n"/>
      <c r="F1669" s="82" t="n"/>
      <c r="G1669" s="82" t="n"/>
      <c r="H1669" s="82" t="n"/>
      <c r="I1669" s="82" t="n"/>
      <c r="J1669" s="82" t="n"/>
      <c r="K1669" s="82" t="n"/>
      <c r="L1669" s="82" t="n"/>
      <c r="M1669" s="82" t="n"/>
      <c r="N1669" s="82" t="n"/>
      <c r="O1669" s="82" t="n"/>
      <c r="P1669" s="82" t="n"/>
      <c r="Q1669" s="82" t="n"/>
      <c r="R1669" s="82" t="n"/>
      <c r="S1669" s="82" t="n"/>
      <c r="T1669" s="82" t="n"/>
      <c r="U1669" s="82" t="n"/>
      <c r="V1669" s="82" t="n"/>
      <c r="W1669" s="82" t="n"/>
      <c r="X1669" s="82" t="n"/>
      <c r="Y1669" s="82" t="n"/>
      <c r="Z1669" s="82" t="n"/>
    </row>
    <row r="1670" ht="15.75" customHeight="1" s="83">
      <c r="A1670" s="82" t="n"/>
      <c r="B1670" s="44" t="n"/>
      <c r="C1670" s="82" t="n"/>
      <c r="D1670" s="82" t="n"/>
      <c r="E1670" s="81" t="n"/>
      <c r="F1670" s="82" t="n"/>
      <c r="G1670" s="82" t="n"/>
      <c r="H1670" s="82" t="n"/>
      <c r="I1670" s="82" t="n"/>
      <c r="J1670" s="82" t="n"/>
      <c r="K1670" s="82" t="n"/>
      <c r="L1670" s="82" t="n"/>
      <c r="M1670" s="82" t="n"/>
      <c r="N1670" s="82" t="n"/>
      <c r="O1670" s="82" t="n"/>
      <c r="P1670" s="82" t="n"/>
      <c r="Q1670" s="82" t="n"/>
      <c r="R1670" s="82" t="n"/>
      <c r="S1670" s="82" t="n"/>
      <c r="T1670" s="82" t="n"/>
      <c r="U1670" s="82" t="n"/>
      <c r="V1670" s="82" t="n"/>
      <c r="W1670" s="82" t="n"/>
      <c r="X1670" s="82" t="n"/>
      <c r="Y1670" s="82" t="n"/>
      <c r="Z1670" s="82" t="n"/>
    </row>
    <row r="1671" ht="15.75" customHeight="1" s="83">
      <c r="A1671" s="82" t="n"/>
      <c r="B1671" s="44" t="n"/>
      <c r="C1671" s="82" t="n"/>
      <c r="D1671" s="82" t="n"/>
      <c r="E1671" s="81" t="n"/>
      <c r="F1671" s="82" t="n"/>
      <c r="G1671" s="82" t="n"/>
      <c r="H1671" s="82" t="n"/>
      <c r="I1671" s="82" t="n"/>
      <c r="J1671" s="82" t="n"/>
      <c r="K1671" s="82" t="n"/>
      <c r="L1671" s="82" t="n"/>
      <c r="M1671" s="82" t="n"/>
      <c r="N1671" s="82" t="n"/>
      <c r="O1671" s="82" t="n"/>
      <c r="P1671" s="82" t="n"/>
      <c r="Q1671" s="82" t="n"/>
      <c r="R1671" s="82" t="n"/>
      <c r="S1671" s="82" t="n"/>
      <c r="T1671" s="82" t="n"/>
      <c r="U1671" s="82" t="n"/>
      <c r="V1671" s="82" t="n"/>
      <c r="W1671" s="82" t="n"/>
      <c r="X1671" s="82" t="n"/>
      <c r="Y1671" s="82" t="n"/>
      <c r="Z1671" s="82" t="n"/>
    </row>
    <row r="1672" ht="15.75" customHeight="1" s="83">
      <c r="A1672" s="82" t="n"/>
      <c r="B1672" s="44" t="n"/>
      <c r="C1672" s="82" t="n"/>
      <c r="D1672" s="82" t="n"/>
      <c r="E1672" s="81" t="n"/>
      <c r="F1672" s="82" t="n"/>
      <c r="G1672" s="82" t="n"/>
      <c r="H1672" s="82" t="n"/>
      <c r="I1672" s="82" t="n"/>
      <c r="J1672" s="82" t="n"/>
      <c r="K1672" s="82" t="n"/>
      <c r="L1672" s="82" t="n"/>
      <c r="M1672" s="82" t="n"/>
      <c r="N1672" s="82" t="n"/>
      <c r="O1672" s="82" t="n"/>
      <c r="P1672" s="82" t="n"/>
      <c r="Q1672" s="82" t="n"/>
      <c r="R1672" s="82" t="n"/>
      <c r="S1672" s="82" t="n"/>
      <c r="T1672" s="82" t="n"/>
      <c r="U1672" s="82" t="n"/>
      <c r="V1672" s="82" t="n"/>
      <c r="W1672" s="82" t="n"/>
      <c r="X1672" s="82" t="n"/>
      <c r="Y1672" s="82" t="n"/>
      <c r="Z1672" s="82" t="n"/>
    </row>
    <row r="1673" ht="15.75" customHeight="1" s="83">
      <c r="A1673" s="82" t="n"/>
      <c r="B1673" s="44" t="n"/>
      <c r="C1673" s="82" t="n"/>
      <c r="D1673" s="82" t="n"/>
      <c r="E1673" s="81" t="n"/>
      <c r="F1673" s="82" t="n"/>
      <c r="G1673" s="82" t="n"/>
      <c r="H1673" s="82" t="n"/>
      <c r="I1673" s="82" t="n"/>
      <c r="J1673" s="82" t="n"/>
      <c r="K1673" s="82" t="n"/>
      <c r="L1673" s="82" t="n"/>
      <c r="M1673" s="82" t="n"/>
      <c r="N1673" s="82" t="n"/>
      <c r="O1673" s="82" t="n"/>
      <c r="P1673" s="82" t="n"/>
      <c r="Q1673" s="82" t="n"/>
      <c r="R1673" s="82" t="n"/>
      <c r="S1673" s="82" t="n"/>
      <c r="T1673" s="82" t="n"/>
      <c r="U1673" s="82" t="n"/>
      <c r="V1673" s="82" t="n"/>
      <c r="W1673" s="82" t="n"/>
      <c r="X1673" s="82" t="n"/>
      <c r="Y1673" s="82" t="n"/>
      <c r="Z1673" s="82" t="n"/>
    </row>
    <row r="1674" ht="15.75" customHeight="1" s="83">
      <c r="A1674" s="82" t="n"/>
      <c r="B1674" s="44" t="n"/>
      <c r="C1674" s="82" t="n"/>
      <c r="D1674" s="82" t="n"/>
      <c r="E1674" s="81" t="n"/>
      <c r="F1674" s="82" t="n"/>
      <c r="G1674" s="82" t="n"/>
      <c r="H1674" s="82" t="n"/>
      <c r="I1674" s="82" t="n"/>
      <c r="J1674" s="82" t="n"/>
      <c r="K1674" s="82" t="n"/>
      <c r="L1674" s="82" t="n"/>
      <c r="M1674" s="82" t="n"/>
      <c r="N1674" s="82" t="n"/>
      <c r="O1674" s="82" t="n"/>
      <c r="P1674" s="82" t="n"/>
      <c r="Q1674" s="82" t="n"/>
      <c r="R1674" s="82" t="n"/>
      <c r="S1674" s="82" t="n"/>
      <c r="T1674" s="82" t="n"/>
      <c r="U1674" s="82" t="n"/>
      <c r="V1674" s="82" t="n"/>
      <c r="W1674" s="82" t="n"/>
      <c r="X1674" s="82" t="n"/>
      <c r="Y1674" s="82" t="n"/>
      <c r="Z1674" s="82" t="n"/>
    </row>
    <row r="1675" ht="15.75" customHeight="1" s="83">
      <c r="A1675" s="82" t="n"/>
      <c r="B1675" s="44" t="n"/>
      <c r="C1675" s="82" t="n"/>
      <c r="D1675" s="82" t="n"/>
      <c r="E1675" s="81" t="n"/>
      <c r="F1675" s="82" t="n"/>
      <c r="G1675" s="82" t="n"/>
      <c r="H1675" s="82" t="n"/>
      <c r="I1675" s="82" t="n"/>
      <c r="J1675" s="82" t="n"/>
      <c r="K1675" s="82" t="n"/>
      <c r="L1675" s="82" t="n"/>
      <c r="M1675" s="82" t="n"/>
      <c r="N1675" s="82" t="n"/>
      <c r="O1675" s="82" t="n"/>
      <c r="P1675" s="82" t="n"/>
      <c r="Q1675" s="82" t="n"/>
      <c r="R1675" s="82" t="n"/>
      <c r="S1675" s="82" t="n"/>
      <c r="T1675" s="82" t="n"/>
      <c r="U1675" s="82" t="n"/>
      <c r="V1675" s="82" t="n"/>
      <c r="W1675" s="82" t="n"/>
      <c r="X1675" s="82" t="n"/>
      <c r="Y1675" s="82" t="n"/>
      <c r="Z1675" s="82" t="n"/>
    </row>
    <row r="1676" ht="15.75" customHeight="1" s="83">
      <c r="A1676" s="82" t="n"/>
      <c r="B1676" s="44" t="n"/>
      <c r="C1676" s="82" t="n"/>
      <c r="D1676" s="82" t="n"/>
      <c r="E1676" s="81" t="n"/>
      <c r="F1676" s="82" t="n"/>
      <c r="G1676" s="82" t="n"/>
      <c r="H1676" s="82" t="n"/>
      <c r="I1676" s="82" t="n"/>
      <c r="J1676" s="82" t="n"/>
      <c r="K1676" s="82" t="n"/>
      <c r="L1676" s="82" t="n"/>
      <c r="M1676" s="82" t="n"/>
      <c r="N1676" s="82" t="n"/>
      <c r="O1676" s="82" t="n"/>
      <c r="P1676" s="82" t="n"/>
      <c r="Q1676" s="82" t="n"/>
      <c r="R1676" s="82" t="n"/>
      <c r="S1676" s="82" t="n"/>
      <c r="T1676" s="82" t="n"/>
      <c r="U1676" s="82" t="n"/>
      <c r="V1676" s="82" t="n"/>
      <c r="W1676" s="82" t="n"/>
      <c r="X1676" s="82" t="n"/>
      <c r="Y1676" s="82" t="n"/>
      <c r="Z1676" s="82" t="n"/>
    </row>
    <row r="1677" ht="15.75" customHeight="1" s="83">
      <c r="A1677" s="82" t="n"/>
      <c r="B1677" s="44" t="n"/>
      <c r="C1677" s="82" t="n"/>
      <c r="D1677" s="82" t="n"/>
      <c r="E1677" s="81" t="n"/>
      <c r="F1677" s="82" t="n"/>
      <c r="G1677" s="82" t="n"/>
      <c r="H1677" s="82" t="n"/>
      <c r="I1677" s="82" t="n"/>
      <c r="J1677" s="82" t="n"/>
      <c r="K1677" s="82" t="n"/>
      <c r="L1677" s="82" t="n"/>
      <c r="M1677" s="82" t="n"/>
      <c r="N1677" s="82" t="n"/>
      <c r="O1677" s="82" t="n"/>
      <c r="P1677" s="82" t="n"/>
      <c r="Q1677" s="82" t="n"/>
      <c r="R1677" s="82" t="n"/>
      <c r="S1677" s="82" t="n"/>
      <c r="T1677" s="82" t="n"/>
      <c r="U1677" s="82" t="n"/>
      <c r="V1677" s="82" t="n"/>
      <c r="W1677" s="82" t="n"/>
      <c r="X1677" s="82" t="n"/>
      <c r="Y1677" s="82" t="n"/>
      <c r="Z1677" s="82" t="n"/>
    </row>
    <row r="1678" ht="15.75" customHeight="1" s="83">
      <c r="A1678" s="82" t="n"/>
      <c r="B1678" s="44" t="n"/>
      <c r="C1678" s="82" t="n"/>
      <c r="D1678" s="82" t="n"/>
      <c r="E1678" s="81" t="n"/>
      <c r="F1678" s="82" t="n"/>
      <c r="G1678" s="82" t="n"/>
      <c r="H1678" s="82" t="n"/>
      <c r="I1678" s="82" t="n"/>
      <c r="J1678" s="82" t="n"/>
      <c r="K1678" s="82" t="n"/>
      <c r="L1678" s="82" t="n"/>
      <c r="M1678" s="82" t="n"/>
      <c r="N1678" s="82" t="n"/>
      <c r="O1678" s="82" t="n"/>
      <c r="P1678" s="82" t="n"/>
      <c r="Q1678" s="82" t="n"/>
      <c r="R1678" s="82" t="n"/>
      <c r="S1678" s="82" t="n"/>
      <c r="T1678" s="82" t="n"/>
      <c r="U1678" s="82" t="n"/>
      <c r="V1678" s="82" t="n"/>
      <c r="W1678" s="82" t="n"/>
      <c r="X1678" s="82" t="n"/>
      <c r="Y1678" s="82" t="n"/>
      <c r="Z1678" s="82" t="n"/>
    </row>
    <row r="1679" ht="15.75" customHeight="1" s="83">
      <c r="A1679" s="82" t="n"/>
      <c r="B1679" s="44" t="n"/>
      <c r="C1679" s="82" t="n"/>
      <c r="D1679" s="82" t="n"/>
      <c r="E1679" s="81" t="n"/>
      <c r="F1679" s="82" t="n"/>
      <c r="G1679" s="82" t="n"/>
      <c r="H1679" s="82" t="n"/>
      <c r="I1679" s="82" t="n"/>
      <c r="J1679" s="82" t="n"/>
      <c r="K1679" s="82" t="n"/>
      <c r="L1679" s="82" t="n"/>
      <c r="M1679" s="82" t="n"/>
      <c r="N1679" s="82" t="n"/>
      <c r="O1679" s="82" t="n"/>
      <c r="P1679" s="82" t="n"/>
      <c r="Q1679" s="82" t="n"/>
      <c r="R1679" s="82" t="n"/>
      <c r="S1679" s="82" t="n"/>
      <c r="T1679" s="82" t="n"/>
      <c r="U1679" s="82" t="n"/>
      <c r="V1679" s="82" t="n"/>
      <c r="W1679" s="82" t="n"/>
      <c r="X1679" s="82" t="n"/>
      <c r="Y1679" s="82" t="n"/>
      <c r="Z1679" s="82" t="n"/>
    </row>
    <row r="1680" ht="15.75" customHeight="1" s="83">
      <c r="A1680" s="82" t="n"/>
      <c r="B1680" s="44" t="n"/>
      <c r="C1680" s="82" t="n"/>
      <c r="D1680" s="82" t="n"/>
      <c r="E1680" s="81" t="n"/>
      <c r="F1680" s="82" t="n"/>
      <c r="G1680" s="82" t="n"/>
      <c r="H1680" s="82" t="n"/>
      <c r="I1680" s="82" t="n"/>
      <c r="J1680" s="82" t="n"/>
      <c r="K1680" s="82" t="n"/>
      <c r="L1680" s="82" t="n"/>
      <c r="M1680" s="82" t="n"/>
      <c r="N1680" s="82" t="n"/>
      <c r="O1680" s="82" t="n"/>
      <c r="P1680" s="82" t="n"/>
      <c r="Q1680" s="82" t="n"/>
      <c r="R1680" s="82" t="n"/>
      <c r="S1680" s="82" t="n"/>
      <c r="T1680" s="82" t="n"/>
      <c r="U1680" s="82" t="n"/>
      <c r="V1680" s="82" t="n"/>
      <c r="W1680" s="82" t="n"/>
      <c r="X1680" s="82" t="n"/>
      <c r="Y1680" s="82" t="n"/>
      <c r="Z1680" s="82" t="n"/>
    </row>
    <row r="1681" ht="15.75" customHeight="1" s="83">
      <c r="A1681" s="82" t="n"/>
      <c r="B1681" s="44" t="n"/>
      <c r="C1681" s="82" t="n"/>
      <c r="D1681" s="82" t="n"/>
      <c r="E1681" s="81" t="n"/>
      <c r="F1681" s="82" t="n"/>
      <c r="G1681" s="82" t="n"/>
      <c r="H1681" s="82" t="n"/>
      <c r="I1681" s="82" t="n"/>
      <c r="J1681" s="82" t="n"/>
      <c r="K1681" s="82" t="n"/>
      <c r="L1681" s="82" t="n"/>
      <c r="M1681" s="82" t="n"/>
      <c r="N1681" s="82" t="n"/>
      <c r="O1681" s="82" t="n"/>
      <c r="P1681" s="82" t="n"/>
      <c r="Q1681" s="82" t="n"/>
      <c r="R1681" s="82" t="n"/>
      <c r="S1681" s="82" t="n"/>
      <c r="T1681" s="82" t="n"/>
      <c r="U1681" s="82" t="n"/>
      <c r="V1681" s="82" t="n"/>
      <c r="W1681" s="82" t="n"/>
      <c r="X1681" s="82" t="n"/>
      <c r="Y1681" s="82" t="n"/>
      <c r="Z1681" s="82" t="n"/>
    </row>
    <row r="1682" ht="15.75" customHeight="1" s="83">
      <c r="A1682" s="82" t="n"/>
      <c r="B1682" s="44" t="n"/>
      <c r="C1682" s="82" t="n"/>
      <c r="D1682" s="82" t="n"/>
      <c r="E1682" s="81" t="n"/>
      <c r="F1682" s="82" t="n"/>
      <c r="G1682" s="82" t="n"/>
      <c r="H1682" s="82" t="n"/>
      <c r="I1682" s="82" t="n"/>
      <c r="J1682" s="82" t="n"/>
      <c r="K1682" s="82" t="n"/>
      <c r="L1682" s="82" t="n"/>
      <c r="M1682" s="82" t="n"/>
      <c r="N1682" s="82" t="n"/>
      <c r="O1682" s="82" t="n"/>
      <c r="P1682" s="82" t="n"/>
      <c r="Q1682" s="82" t="n"/>
      <c r="R1682" s="82" t="n"/>
      <c r="S1682" s="82" t="n"/>
      <c r="T1682" s="82" t="n"/>
      <c r="U1682" s="82" t="n"/>
      <c r="V1682" s="82" t="n"/>
      <c r="W1682" s="82" t="n"/>
      <c r="X1682" s="82" t="n"/>
      <c r="Y1682" s="82" t="n"/>
      <c r="Z1682" s="82" t="n"/>
    </row>
    <row r="1683" ht="15.75" customHeight="1" s="83">
      <c r="A1683" s="82" t="n"/>
      <c r="B1683" s="44" t="n"/>
      <c r="C1683" s="82" t="n"/>
      <c r="D1683" s="82" t="n"/>
      <c r="E1683" s="81" t="n"/>
      <c r="F1683" s="82" t="n"/>
      <c r="G1683" s="82" t="n"/>
      <c r="H1683" s="82" t="n"/>
      <c r="I1683" s="82" t="n"/>
      <c r="J1683" s="82" t="n"/>
      <c r="K1683" s="82" t="n"/>
      <c r="L1683" s="82" t="n"/>
      <c r="M1683" s="82" t="n"/>
      <c r="N1683" s="82" t="n"/>
      <c r="O1683" s="82" t="n"/>
      <c r="P1683" s="82" t="n"/>
      <c r="Q1683" s="82" t="n"/>
      <c r="R1683" s="82" t="n"/>
      <c r="S1683" s="82" t="n"/>
      <c r="T1683" s="82" t="n"/>
      <c r="U1683" s="82" t="n"/>
      <c r="V1683" s="82" t="n"/>
      <c r="W1683" s="82" t="n"/>
      <c r="X1683" s="82" t="n"/>
      <c r="Y1683" s="82" t="n"/>
      <c r="Z1683" s="82" t="n"/>
    </row>
    <row r="1684" ht="15.75" customHeight="1" s="83">
      <c r="A1684" s="82" t="n"/>
      <c r="B1684" s="44" t="n"/>
      <c r="C1684" s="82" t="n"/>
      <c r="D1684" s="82" t="n"/>
      <c r="E1684" s="81" t="n"/>
      <c r="F1684" s="82" t="n"/>
      <c r="G1684" s="82" t="n"/>
      <c r="H1684" s="82" t="n"/>
      <c r="I1684" s="82" t="n"/>
      <c r="J1684" s="82" t="n"/>
      <c r="K1684" s="82" t="n"/>
      <c r="L1684" s="82" t="n"/>
      <c r="M1684" s="82" t="n"/>
      <c r="N1684" s="82" t="n"/>
      <c r="O1684" s="82" t="n"/>
      <c r="P1684" s="82" t="n"/>
      <c r="Q1684" s="82" t="n"/>
      <c r="R1684" s="82" t="n"/>
      <c r="S1684" s="82" t="n"/>
      <c r="T1684" s="82" t="n"/>
      <c r="U1684" s="82" t="n"/>
      <c r="V1684" s="82" t="n"/>
      <c r="W1684" s="82" t="n"/>
      <c r="X1684" s="82" t="n"/>
      <c r="Y1684" s="82" t="n"/>
      <c r="Z1684" s="82" t="n"/>
    </row>
    <row r="1685" ht="15.75" customHeight="1" s="83">
      <c r="A1685" s="82" t="n"/>
      <c r="B1685" s="44" t="n"/>
      <c r="C1685" s="82" t="n"/>
      <c r="D1685" s="82" t="n"/>
      <c r="E1685" s="81" t="n"/>
      <c r="F1685" s="82" t="n"/>
      <c r="G1685" s="82" t="n"/>
      <c r="H1685" s="82" t="n"/>
      <c r="I1685" s="82" t="n"/>
      <c r="J1685" s="82" t="n"/>
      <c r="K1685" s="82" t="n"/>
      <c r="L1685" s="82" t="n"/>
      <c r="M1685" s="82" t="n"/>
      <c r="N1685" s="82" t="n"/>
      <c r="O1685" s="82" t="n"/>
      <c r="P1685" s="82" t="n"/>
      <c r="Q1685" s="82" t="n"/>
      <c r="R1685" s="82" t="n"/>
      <c r="S1685" s="82" t="n"/>
      <c r="T1685" s="82" t="n"/>
      <c r="U1685" s="82" t="n"/>
      <c r="V1685" s="82" t="n"/>
      <c r="W1685" s="82" t="n"/>
      <c r="X1685" s="82" t="n"/>
      <c r="Y1685" s="82" t="n"/>
      <c r="Z1685" s="82" t="n"/>
    </row>
    <row r="1686" ht="15.75" customHeight="1" s="83">
      <c r="A1686" s="82" t="n"/>
      <c r="B1686" s="44" t="n"/>
      <c r="C1686" s="82" t="n"/>
      <c r="D1686" s="82" t="n"/>
      <c r="E1686" s="81" t="n"/>
      <c r="F1686" s="82" t="n"/>
      <c r="G1686" s="82" t="n"/>
      <c r="H1686" s="82" t="n"/>
      <c r="I1686" s="82" t="n"/>
      <c r="J1686" s="82" t="n"/>
      <c r="K1686" s="82" t="n"/>
      <c r="L1686" s="82" t="n"/>
      <c r="M1686" s="82" t="n"/>
      <c r="N1686" s="82" t="n"/>
      <c r="O1686" s="82" t="n"/>
      <c r="P1686" s="82" t="n"/>
      <c r="Q1686" s="82" t="n"/>
      <c r="R1686" s="82" t="n"/>
      <c r="S1686" s="82" t="n"/>
      <c r="T1686" s="82" t="n"/>
      <c r="U1686" s="82" t="n"/>
      <c r="V1686" s="82" t="n"/>
      <c r="W1686" s="82" t="n"/>
      <c r="X1686" s="82" t="n"/>
      <c r="Y1686" s="82" t="n"/>
      <c r="Z1686" s="82" t="n"/>
    </row>
    <row r="1687" ht="15.75" customHeight="1" s="83">
      <c r="A1687" s="82" t="n"/>
      <c r="B1687" s="44" t="n"/>
      <c r="C1687" s="82" t="n"/>
      <c r="D1687" s="82" t="n"/>
      <c r="E1687" s="81" t="n"/>
      <c r="F1687" s="82" t="n"/>
      <c r="G1687" s="82" t="n"/>
      <c r="H1687" s="82" t="n"/>
      <c r="I1687" s="82" t="n"/>
      <c r="J1687" s="82" t="n"/>
      <c r="K1687" s="82" t="n"/>
      <c r="L1687" s="82" t="n"/>
      <c r="M1687" s="82" t="n"/>
      <c r="N1687" s="82" t="n"/>
      <c r="O1687" s="82" t="n"/>
      <c r="P1687" s="82" t="n"/>
      <c r="Q1687" s="82" t="n"/>
      <c r="R1687" s="82" t="n"/>
      <c r="S1687" s="82" t="n"/>
      <c r="T1687" s="82" t="n"/>
      <c r="U1687" s="82" t="n"/>
      <c r="V1687" s="82" t="n"/>
      <c r="W1687" s="82" t="n"/>
      <c r="X1687" s="82" t="n"/>
      <c r="Y1687" s="82" t="n"/>
      <c r="Z1687" s="82" t="n"/>
    </row>
    <row r="1688" ht="15.75" customHeight="1" s="83">
      <c r="A1688" s="82" t="n"/>
      <c r="B1688" s="44" t="n"/>
      <c r="C1688" s="82" t="n"/>
      <c r="D1688" s="82" t="n"/>
      <c r="E1688" s="81" t="n"/>
      <c r="F1688" s="82" t="n"/>
      <c r="G1688" s="82" t="n"/>
      <c r="H1688" s="82" t="n"/>
      <c r="I1688" s="82" t="n"/>
      <c r="J1688" s="82" t="n"/>
      <c r="K1688" s="82" t="n"/>
      <c r="L1688" s="82" t="n"/>
      <c r="M1688" s="82" t="n"/>
      <c r="N1688" s="82" t="n"/>
      <c r="O1688" s="82" t="n"/>
      <c r="P1688" s="82" t="n"/>
      <c r="Q1688" s="82" t="n"/>
      <c r="R1688" s="82" t="n"/>
      <c r="S1688" s="82" t="n"/>
      <c r="T1688" s="82" t="n"/>
      <c r="U1688" s="82" t="n"/>
      <c r="V1688" s="82" t="n"/>
      <c r="W1688" s="82" t="n"/>
      <c r="X1688" s="82" t="n"/>
      <c r="Y1688" s="82" t="n"/>
      <c r="Z1688" s="82" t="n"/>
    </row>
    <row r="1689" ht="15.75" customHeight="1" s="83">
      <c r="A1689" s="82" t="n"/>
      <c r="B1689" s="44" t="n"/>
      <c r="C1689" s="82" t="n"/>
      <c r="D1689" s="82" t="n"/>
      <c r="E1689" s="81" t="n"/>
      <c r="F1689" s="82" t="n"/>
      <c r="G1689" s="82" t="n"/>
      <c r="H1689" s="82" t="n"/>
      <c r="I1689" s="82" t="n"/>
      <c r="J1689" s="82" t="n"/>
      <c r="K1689" s="82" t="n"/>
      <c r="L1689" s="82" t="n"/>
      <c r="M1689" s="82" t="n"/>
      <c r="N1689" s="82" t="n"/>
      <c r="O1689" s="82" t="n"/>
      <c r="P1689" s="82" t="n"/>
      <c r="Q1689" s="82" t="n"/>
      <c r="R1689" s="82" t="n"/>
      <c r="S1689" s="82" t="n"/>
      <c r="T1689" s="82" t="n"/>
      <c r="U1689" s="82" t="n"/>
      <c r="V1689" s="82" t="n"/>
      <c r="W1689" s="82" t="n"/>
      <c r="X1689" s="82" t="n"/>
      <c r="Y1689" s="82" t="n"/>
      <c r="Z1689" s="82" t="n"/>
    </row>
    <row r="1690" ht="15.75" customHeight="1" s="83">
      <c r="A1690" s="82" t="n"/>
      <c r="B1690" s="44" t="n"/>
      <c r="C1690" s="82" t="n"/>
      <c r="D1690" s="82" t="n"/>
      <c r="E1690" s="81" t="n"/>
      <c r="F1690" s="82" t="n"/>
      <c r="G1690" s="82" t="n"/>
      <c r="H1690" s="82" t="n"/>
      <c r="I1690" s="82" t="n"/>
      <c r="J1690" s="82" t="n"/>
      <c r="K1690" s="82" t="n"/>
      <c r="L1690" s="82" t="n"/>
      <c r="M1690" s="82" t="n"/>
      <c r="N1690" s="82" t="n"/>
      <c r="O1690" s="82" t="n"/>
      <c r="P1690" s="82" t="n"/>
      <c r="Q1690" s="82" t="n"/>
      <c r="R1690" s="82" t="n"/>
      <c r="S1690" s="82" t="n"/>
      <c r="T1690" s="82" t="n"/>
      <c r="U1690" s="82" t="n"/>
      <c r="V1690" s="82" t="n"/>
      <c r="W1690" s="82" t="n"/>
      <c r="X1690" s="82" t="n"/>
      <c r="Y1690" s="82" t="n"/>
      <c r="Z1690" s="82" t="n"/>
    </row>
    <row r="1691" ht="15.75" customHeight="1" s="83">
      <c r="A1691" s="82" t="n"/>
      <c r="B1691" s="44" t="n"/>
      <c r="C1691" s="82" t="n"/>
      <c r="D1691" s="82" t="n"/>
      <c r="E1691" s="81" t="n"/>
      <c r="F1691" s="82" t="n"/>
      <c r="G1691" s="82" t="n"/>
      <c r="H1691" s="82" t="n"/>
      <c r="I1691" s="82" t="n"/>
      <c r="J1691" s="82" t="n"/>
      <c r="K1691" s="82" t="n"/>
      <c r="L1691" s="82" t="n"/>
      <c r="M1691" s="82" t="n"/>
      <c r="N1691" s="82" t="n"/>
      <c r="O1691" s="82" t="n"/>
      <c r="P1691" s="82" t="n"/>
      <c r="Q1691" s="82" t="n"/>
      <c r="R1691" s="82" t="n"/>
      <c r="S1691" s="82" t="n"/>
      <c r="T1691" s="82" t="n"/>
      <c r="U1691" s="82" t="n"/>
      <c r="V1691" s="82" t="n"/>
      <c r="W1691" s="82" t="n"/>
      <c r="X1691" s="82" t="n"/>
      <c r="Y1691" s="82" t="n"/>
      <c r="Z1691" s="82" t="n"/>
    </row>
    <row r="1692" ht="15.75" customHeight="1" s="83">
      <c r="A1692" s="82" t="n"/>
      <c r="B1692" s="44" t="n"/>
      <c r="C1692" s="82" t="n"/>
      <c r="D1692" s="82" t="n"/>
      <c r="E1692" s="81" t="n"/>
      <c r="F1692" s="82" t="n"/>
      <c r="G1692" s="82" t="n"/>
      <c r="H1692" s="82" t="n"/>
      <c r="I1692" s="82" t="n"/>
      <c r="J1692" s="82" t="n"/>
      <c r="K1692" s="82" t="n"/>
      <c r="L1692" s="82" t="n"/>
      <c r="M1692" s="82" t="n"/>
      <c r="N1692" s="82" t="n"/>
      <c r="O1692" s="82" t="n"/>
      <c r="P1692" s="82" t="n"/>
      <c r="Q1692" s="82" t="n"/>
      <c r="R1692" s="82" t="n"/>
      <c r="S1692" s="82" t="n"/>
      <c r="T1692" s="82" t="n"/>
      <c r="U1692" s="82" t="n"/>
      <c r="V1692" s="82" t="n"/>
      <c r="W1692" s="82" t="n"/>
      <c r="X1692" s="82" t="n"/>
      <c r="Y1692" s="82" t="n"/>
      <c r="Z1692" s="82" t="n"/>
    </row>
    <row r="1693" ht="15.75" customHeight="1" s="83">
      <c r="A1693" s="82" t="n"/>
      <c r="B1693" s="44" t="n"/>
      <c r="C1693" s="82" t="n"/>
      <c r="D1693" s="82" t="n"/>
      <c r="E1693" s="81" t="n"/>
      <c r="F1693" s="82" t="n"/>
      <c r="G1693" s="82" t="n"/>
      <c r="H1693" s="82" t="n"/>
      <c r="I1693" s="82" t="n"/>
      <c r="J1693" s="82" t="n"/>
      <c r="K1693" s="82" t="n"/>
      <c r="L1693" s="82" t="n"/>
      <c r="M1693" s="82" t="n"/>
      <c r="N1693" s="82" t="n"/>
      <c r="O1693" s="82" t="n"/>
      <c r="P1693" s="82" t="n"/>
      <c r="Q1693" s="82" t="n"/>
      <c r="R1693" s="82" t="n"/>
      <c r="S1693" s="82" t="n"/>
      <c r="T1693" s="82" t="n"/>
      <c r="U1693" s="82" t="n"/>
      <c r="V1693" s="82" t="n"/>
      <c r="W1693" s="82" t="n"/>
      <c r="X1693" s="82" t="n"/>
      <c r="Y1693" s="82" t="n"/>
      <c r="Z1693" s="82" t="n"/>
    </row>
    <row r="1694" ht="15.75" customHeight="1" s="83">
      <c r="A1694" s="82" t="n"/>
      <c r="B1694" s="44" t="n"/>
      <c r="C1694" s="82" t="n"/>
      <c r="D1694" s="82" t="n"/>
      <c r="E1694" s="81" t="n"/>
      <c r="F1694" s="82" t="n"/>
      <c r="G1694" s="82" t="n"/>
      <c r="H1694" s="82" t="n"/>
      <c r="I1694" s="82" t="n"/>
      <c r="J1694" s="82" t="n"/>
      <c r="K1694" s="82" t="n"/>
      <c r="L1694" s="82" t="n"/>
      <c r="M1694" s="82" t="n"/>
      <c r="N1694" s="82" t="n"/>
      <c r="O1694" s="82" t="n"/>
      <c r="P1694" s="82" t="n"/>
      <c r="Q1694" s="82" t="n"/>
      <c r="R1694" s="82" t="n"/>
      <c r="S1694" s="82" t="n"/>
      <c r="T1694" s="82" t="n"/>
      <c r="U1694" s="82" t="n"/>
      <c r="V1694" s="82" t="n"/>
      <c r="W1694" s="82" t="n"/>
      <c r="X1694" s="82" t="n"/>
      <c r="Y1694" s="82" t="n"/>
      <c r="Z1694" s="82" t="n"/>
    </row>
    <row r="1695" ht="15.75" customHeight="1" s="83">
      <c r="A1695" s="82" t="n"/>
      <c r="B1695" s="44" t="n"/>
      <c r="C1695" s="82" t="n"/>
      <c r="D1695" s="82" t="n"/>
      <c r="E1695" s="81" t="n"/>
      <c r="F1695" s="82" t="n"/>
      <c r="G1695" s="82" t="n"/>
      <c r="H1695" s="82" t="n"/>
      <c r="I1695" s="82" t="n"/>
      <c r="J1695" s="82" t="n"/>
      <c r="K1695" s="82" t="n"/>
      <c r="L1695" s="82" t="n"/>
      <c r="M1695" s="82" t="n"/>
      <c r="N1695" s="82" t="n"/>
      <c r="O1695" s="82" t="n"/>
      <c r="P1695" s="82" t="n"/>
      <c r="Q1695" s="82" t="n"/>
      <c r="R1695" s="82" t="n"/>
      <c r="S1695" s="82" t="n"/>
      <c r="T1695" s="82" t="n"/>
      <c r="U1695" s="82" t="n"/>
      <c r="V1695" s="82" t="n"/>
      <c r="W1695" s="82" t="n"/>
      <c r="X1695" s="82" t="n"/>
      <c r="Y1695" s="82" t="n"/>
      <c r="Z1695" s="82" t="n"/>
    </row>
    <row r="1696" ht="15.75" customHeight="1" s="83">
      <c r="A1696" s="82" t="n"/>
      <c r="B1696" s="44" t="n"/>
      <c r="C1696" s="82" t="n"/>
      <c r="D1696" s="82" t="n"/>
      <c r="E1696" s="81" t="n"/>
      <c r="F1696" s="82" t="n"/>
      <c r="G1696" s="82" t="n"/>
      <c r="H1696" s="82" t="n"/>
      <c r="I1696" s="82" t="n"/>
      <c r="J1696" s="82" t="n"/>
      <c r="K1696" s="82" t="n"/>
      <c r="L1696" s="82" t="n"/>
      <c r="M1696" s="82" t="n"/>
      <c r="N1696" s="82" t="n"/>
      <c r="O1696" s="82" t="n"/>
      <c r="P1696" s="82" t="n"/>
      <c r="Q1696" s="82" t="n"/>
      <c r="R1696" s="82" t="n"/>
      <c r="S1696" s="82" t="n"/>
      <c r="T1696" s="82" t="n"/>
      <c r="U1696" s="82" t="n"/>
      <c r="V1696" s="82" t="n"/>
      <c r="W1696" s="82" t="n"/>
      <c r="X1696" s="82" t="n"/>
      <c r="Y1696" s="82" t="n"/>
      <c r="Z1696" s="82" t="n"/>
    </row>
    <row r="1697" ht="15.75" customHeight="1" s="83">
      <c r="A1697" s="82" t="n"/>
      <c r="B1697" s="44" t="n"/>
      <c r="C1697" s="82" t="n"/>
      <c r="D1697" s="82" t="n"/>
      <c r="E1697" s="81" t="n"/>
      <c r="F1697" s="82" t="n"/>
      <c r="G1697" s="82" t="n"/>
      <c r="H1697" s="82" t="n"/>
      <c r="I1697" s="82" t="n"/>
      <c r="J1697" s="82" t="n"/>
      <c r="K1697" s="82" t="n"/>
      <c r="L1697" s="82" t="n"/>
      <c r="M1697" s="82" t="n"/>
      <c r="N1697" s="82" t="n"/>
      <c r="O1697" s="82" t="n"/>
      <c r="P1697" s="82" t="n"/>
      <c r="Q1697" s="82" t="n"/>
      <c r="R1697" s="82" t="n"/>
      <c r="S1697" s="82" t="n"/>
      <c r="T1697" s="82" t="n"/>
      <c r="U1697" s="82" t="n"/>
      <c r="V1697" s="82" t="n"/>
      <c r="W1697" s="82" t="n"/>
      <c r="X1697" s="82" t="n"/>
      <c r="Y1697" s="82" t="n"/>
      <c r="Z1697" s="82" t="n"/>
    </row>
    <row r="1698" ht="15.75" customHeight="1" s="83">
      <c r="A1698" s="82" t="n"/>
      <c r="B1698" s="44" t="n"/>
      <c r="C1698" s="82" t="n"/>
      <c r="D1698" s="82" t="n"/>
      <c r="E1698" s="81" t="n"/>
      <c r="F1698" s="82" t="n"/>
      <c r="G1698" s="82" t="n"/>
      <c r="H1698" s="82" t="n"/>
      <c r="I1698" s="82" t="n"/>
      <c r="J1698" s="82" t="n"/>
      <c r="K1698" s="82" t="n"/>
      <c r="L1698" s="82" t="n"/>
      <c r="M1698" s="82" t="n"/>
      <c r="N1698" s="82" t="n"/>
      <c r="O1698" s="82" t="n"/>
      <c r="P1698" s="82" t="n"/>
      <c r="Q1698" s="82" t="n"/>
      <c r="R1698" s="82" t="n"/>
      <c r="S1698" s="82" t="n"/>
      <c r="T1698" s="82" t="n"/>
      <c r="U1698" s="82" t="n"/>
      <c r="V1698" s="82" t="n"/>
      <c r="W1698" s="82" t="n"/>
      <c r="X1698" s="82" t="n"/>
      <c r="Y1698" s="82" t="n"/>
      <c r="Z1698" s="82" t="n"/>
    </row>
    <row r="1699" ht="15.75" customHeight="1" s="83">
      <c r="A1699" s="82" t="n"/>
      <c r="B1699" s="44" t="n"/>
      <c r="C1699" s="82" t="n"/>
      <c r="D1699" s="82" t="n"/>
      <c r="E1699" s="81" t="n"/>
      <c r="F1699" s="82" t="n"/>
      <c r="G1699" s="82" t="n"/>
      <c r="H1699" s="82" t="n"/>
      <c r="I1699" s="82" t="n"/>
      <c r="J1699" s="82" t="n"/>
      <c r="K1699" s="82" t="n"/>
      <c r="L1699" s="82" t="n"/>
      <c r="M1699" s="82" t="n"/>
      <c r="N1699" s="82" t="n"/>
      <c r="O1699" s="82" t="n"/>
      <c r="P1699" s="82" t="n"/>
      <c r="Q1699" s="82" t="n"/>
      <c r="R1699" s="82" t="n"/>
      <c r="S1699" s="82" t="n"/>
      <c r="T1699" s="82" t="n"/>
      <c r="U1699" s="82" t="n"/>
      <c r="V1699" s="82" t="n"/>
      <c r="W1699" s="82" t="n"/>
      <c r="X1699" s="82" t="n"/>
      <c r="Y1699" s="82" t="n"/>
      <c r="Z1699" s="82" t="n"/>
    </row>
    <row r="1700" ht="15.75" customHeight="1" s="83">
      <c r="A1700" s="82" t="n"/>
      <c r="B1700" s="44" t="n"/>
      <c r="C1700" s="82" t="n"/>
      <c r="D1700" s="82" t="n"/>
      <c r="E1700" s="81" t="n"/>
      <c r="F1700" s="82" t="n"/>
      <c r="G1700" s="82" t="n"/>
      <c r="H1700" s="82" t="n"/>
      <c r="I1700" s="82" t="n"/>
      <c r="J1700" s="82" t="n"/>
      <c r="K1700" s="82" t="n"/>
      <c r="L1700" s="82" t="n"/>
      <c r="M1700" s="82" t="n"/>
      <c r="N1700" s="82" t="n"/>
      <c r="O1700" s="82" t="n"/>
      <c r="P1700" s="82" t="n"/>
      <c r="Q1700" s="82" t="n"/>
      <c r="R1700" s="82" t="n"/>
      <c r="S1700" s="82" t="n"/>
      <c r="T1700" s="82" t="n"/>
      <c r="U1700" s="82" t="n"/>
      <c r="V1700" s="82" t="n"/>
      <c r="W1700" s="82" t="n"/>
      <c r="X1700" s="82" t="n"/>
      <c r="Y1700" s="82" t="n"/>
      <c r="Z1700" s="82" t="n"/>
    </row>
    <row r="1701" ht="15.75" customHeight="1" s="83">
      <c r="A1701" s="82" t="n"/>
      <c r="B1701" s="44" t="n"/>
      <c r="C1701" s="82" t="n"/>
      <c r="D1701" s="82" t="n"/>
      <c r="E1701" s="81" t="n"/>
      <c r="F1701" s="82" t="n"/>
      <c r="G1701" s="82" t="n"/>
      <c r="H1701" s="82" t="n"/>
      <c r="I1701" s="82" t="n"/>
      <c r="J1701" s="82" t="n"/>
      <c r="K1701" s="82" t="n"/>
      <c r="L1701" s="82" t="n"/>
      <c r="M1701" s="82" t="n"/>
      <c r="N1701" s="82" t="n"/>
      <c r="O1701" s="82" t="n"/>
      <c r="P1701" s="82" t="n"/>
      <c r="Q1701" s="82" t="n"/>
      <c r="R1701" s="82" t="n"/>
      <c r="S1701" s="82" t="n"/>
      <c r="T1701" s="82" t="n"/>
      <c r="U1701" s="82" t="n"/>
      <c r="V1701" s="82" t="n"/>
      <c r="W1701" s="82" t="n"/>
      <c r="X1701" s="82" t="n"/>
      <c r="Y1701" s="82" t="n"/>
      <c r="Z1701" s="82" t="n"/>
    </row>
    <row r="1702" ht="15.75" customHeight="1" s="83">
      <c r="A1702" s="82" t="n"/>
      <c r="B1702" s="44" t="n"/>
      <c r="C1702" s="82" t="n"/>
      <c r="D1702" s="82" t="n"/>
      <c r="E1702" s="81" t="n"/>
      <c r="F1702" s="82" t="n"/>
      <c r="G1702" s="82" t="n"/>
      <c r="H1702" s="82" t="n"/>
      <c r="I1702" s="82" t="n"/>
      <c r="J1702" s="82" t="n"/>
      <c r="K1702" s="82" t="n"/>
      <c r="L1702" s="82" t="n"/>
      <c r="M1702" s="82" t="n"/>
      <c r="N1702" s="82" t="n"/>
      <c r="O1702" s="82" t="n"/>
      <c r="P1702" s="82" t="n"/>
      <c r="Q1702" s="82" t="n"/>
      <c r="R1702" s="82" t="n"/>
      <c r="S1702" s="82" t="n"/>
      <c r="T1702" s="82" t="n"/>
      <c r="U1702" s="82" t="n"/>
      <c r="V1702" s="82" t="n"/>
      <c r="W1702" s="82" t="n"/>
      <c r="X1702" s="82" t="n"/>
      <c r="Y1702" s="82" t="n"/>
      <c r="Z1702" s="82" t="n"/>
    </row>
    <row r="1703" ht="15.75" customHeight="1" s="83">
      <c r="A1703" s="82" t="n"/>
      <c r="B1703" s="44" t="n"/>
      <c r="C1703" s="82" t="n"/>
      <c r="D1703" s="82" t="n"/>
      <c r="E1703" s="81" t="n"/>
      <c r="F1703" s="82" t="n"/>
      <c r="G1703" s="82" t="n"/>
      <c r="H1703" s="82" t="n"/>
      <c r="I1703" s="82" t="n"/>
      <c r="J1703" s="82" t="n"/>
      <c r="K1703" s="82" t="n"/>
      <c r="L1703" s="82" t="n"/>
      <c r="M1703" s="82" t="n"/>
      <c r="N1703" s="82" t="n"/>
      <c r="O1703" s="82" t="n"/>
      <c r="P1703" s="82" t="n"/>
      <c r="Q1703" s="82" t="n"/>
      <c r="R1703" s="82" t="n"/>
      <c r="S1703" s="82" t="n"/>
      <c r="T1703" s="82" t="n"/>
      <c r="U1703" s="82" t="n"/>
      <c r="V1703" s="82" t="n"/>
      <c r="W1703" s="82" t="n"/>
      <c r="X1703" s="82" t="n"/>
      <c r="Y1703" s="82" t="n"/>
      <c r="Z1703" s="82" t="n"/>
    </row>
    <row r="1704" ht="15.75" customHeight="1" s="83">
      <c r="A1704" s="82" t="n"/>
      <c r="B1704" s="44" t="n"/>
      <c r="C1704" s="82" t="n"/>
      <c r="D1704" s="82" t="n"/>
      <c r="E1704" s="81" t="n"/>
      <c r="F1704" s="82" t="n"/>
      <c r="G1704" s="82" t="n"/>
      <c r="H1704" s="82" t="n"/>
      <c r="I1704" s="82" t="n"/>
      <c r="J1704" s="82" t="n"/>
      <c r="K1704" s="82" t="n"/>
      <c r="L1704" s="82" t="n"/>
      <c r="M1704" s="82" t="n"/>
      <c r="N1704" s="82" t="n"/>
      <c r="O1704" s="82" t="n"/>
      <c r="P1704" s="82" t="n"/>
      <c r="Q1704" s="82" t="n"/>
      <c r="R1704" s="82" t="n"/>
      <c r="S1704" s="82" t="n"/>
      <c r="T1704" s="82" t="n"/>
      <c r="U1704" s="82" t="n"/>
      <c r="V1704" s="82" t="n"/>
      <c r="W1704" s="82" t="n"/>
      <c r="X1704" s="82" t="n"/>
      <c r="Y1704" s="82" t="n"/>
      <c r="Z1704" s="82" t="n"/>
    </row>
    <row r="1705" ht="15.75" customHeight="1" s="83">
      <c r="A1705" s="82" t="n"/>
      <c r="B1705" s="44" t="n"/>
      <c r="C1705" s="82" t="n"/>
      <c r="D1705" s="82" t="n"/>
      <c r="E1705" s="81" t="n"/>
      <c r="F1705" s="82" t="n"/>
      <c r="G1705" s="82" t="n"/>
      <c r="H1705" s="82" t="n"/>
      <c r="I1705" s="82" t="n"/>
      <c r="J1705" s="82" t="n"/>
      <c r="K1705" s="82" t="n"/>
      <c r="L1705" s="82" t="n"/>
      <c r="M1705" s="82" t="n"/>
      <c r="N1705" s="82" t="n"/>
      <c r="O1705" s="82" t="n"/>
      <c r="P1705" s="82" t="n"/>
      <c r="Q1705" s="82" t="n"/>
      <c r="R1705" s="82" t="n"/>
      <c r="S1705" s="82" t="n"/>
      <c r="T1705" s="82" t="n"/>
      <c r="U1705" s="82" t="n"/>
      <c r="V1705" s="82" t="n"/>
      <c r="W1705" s="82" t="n"/>
      <c r="X1705" s="82" t="n"/>
      <c r="Y1705" s="82" t="n"/>
      <c r="Z1705" s="82" t="n"/>
    </row>
    <row r="1706" ht="15.75" customHeight="1" s="83">
      <c r="A1706" s="82" t="n"/>
      <c r="B1706" s="44" t="n"/>
      <c r="C1706" s="82" t="n"/>
      <c r="D1706" s="82" t="n"/>
      <c r="E1706" s="81" t="n"/>
      <c r="F1706" s="82" t="n"/>
      <c r="G1706" s="82" t="n"/>
      <c r="H1706" s="82" t="n"/>
      <c r="I1706" s="82" t="n"/>
      <c r="J1706" s="82" t="n"/>
      <c r="K1706" s="82" t="n"/>
      <c r="L1706" s="82" t="n"/>
      <c r="M1706" s="82" t="n"/>
      <c r="N1706" s="82" t="n"/>
      <c r="O1706" s="82" t="n"/>
      <c r="P1706" s="82" t="n"/>
      <c r="Q1706" s="82" t="n"/>
      <c r="R1706" s="82" t="n"/>
      <c r="S1706" s="82" t="n"/>
      <c r="T1706" s="82" t="n"/>
      <c r="U1706" s="82" t="n"/>
      <c r="V1706" s="82" t="n"/>
      <c r="W1706" s="82" t="n"/>
      <c r="X1706" s="82" t="n"/>
      <c r="Y1706" s="82" t="n"/>
      <c r="Z1706" s="82" t="n"/>
    </row>
    <row r="1707" ht="15.75" customHeight="1" s="83">
      <c r="A1707" s="82" t="n"/>
      <c r="B1707" s="44" t="n"/>
      <c r="C1707" s="82" t="n"/>
      <c r="D1707" s="82" t="n"/>
      <c r="E1707" s="81" t="n"/>
      <c r="F1707" s="82" t="n"/>
      <c r="G1707" s="82" t="n"/>
      <c r="H1707" s="82" t="n"/>
      <c r="I1707" s="82" t="n"/>
      <c r="J1707" s="82" t="n"/>
      <c r="K1707" s="82" t="n"/>
      <c r="L1707" s="82" t="n"/>
      <c r="M1707" s="82" t="n"/>
      <c r="N1707" s="82" t="n"/>
      <c r="O1707" s="82" t="n"/>
      <c r="P1707" s="82" t="n"/>
      <c r="Q1707" s="82" t="n"/>
      <c r="R1707" s="82" t="n"/>
      <c r="S1707" s="82" t="n"/>
      <c r="T1707" s="82" t="n"/>
      <c r="U1707" s="82" t="n"/>
      <c r="V1707" s="82" t="n"/>
      <c r="W1707" s="82" t="n"/>
      <c r="X1707" s="82" t="n"/>
      <c r="Y1707" s="82" t="n"/>
      <c r="Z1707" s="82" t="n"/>
    </row>
    <row r="1708" ht="15.75" customHeight="1" s="83">
      <c r="A1708" s="82" t="n"/>
      <c r="B1708" s="44" t="n"/>
      <c r="C1708" s="82" t="n"/>
      <c r="D1708" s="82" t="n"/>
      <c r="E1708" s="81" t="n"/>
      <c r="F1708" s="82" t="n"/>
      <c r="G1708" s="82" t="n"/>
      <c r="H1708" s="82" t="n"/>
      <c r="I1708" s="82" t="n"/>
      <c r="J1708" s="82" t="n"/>
      <c r="K1708" s="82" t="n"/>
      <c r="L1708" s="82" t="n"/>
      <c r="M1708" s="82" t="n"/>
      <c r="N1708" s="82" t="n"/>
      <c r="O1708" s="82" t="n"/>
      <c r="P1708" s="82" t="n"/>
      <c r="Q1708" s="82" t="n"/>
      <c r="R1708" s="82" t="n"/>
      <c r="S1708" s="82" t="n"/>
      <c r="T1708" s="82" t="n"/>
      <c r="U1708" s="82" t="n"/>
      <c r="V1708" s="82" t="n"/>
      <c r="W1708" s="82" t="n"/>
      <c r="X1708" s="82" t="n"/>
      <c r="Y1708" s="82" t="n"/>
      <c r="Z1708" s="82" t="n"/>
    </row>
    <row r="1709" ht="15.75" customHeight="1" s="83">
      <c r="A1709" s="82" t="n"/>
      <c r="B1709" s="44" t="n"/>
      <c r="C1709" s="82" t="n"/>
      <c r="D1709" s="82" t="n"/>
      <c r="E1709" s="81" t="n"/>
      <c r="F1709" s="82" t="n"/>
      <c r="G1709" s="82" t="n"/>
      <c r="H1709" s="82" t="n"/>
      <c r="I1709" s="82" t="n"/>
      <c r="J1709" s="82" t="n"/>
      <c r="K1709" s="82" t="n"/>
      <c r="L1709" s="82" t="n"/>
      <c r="M1709" s="82" t="n"/>
      <c r="N1709" s="82" t="n"/>
      <c r="O1709" s="82" t="n"/>
      <c r="P1709" s="82" t="n"/>
      <c r="Q1709" s="82" t="n"/>
      <c r="R1709" s="82" t="n"/>
      <c r="S1709" s="82" t="n"/>
      <c r="T1709" s="82" t="n"/>
      <c r="U1709" s="82" t="n"/>
      <c r="V1709" s="82" t="n"/>
      <c r="W1709" s="82" t="n"/>
      <c r="X1709" s="82" t="n"/>
      <c r="Y1709" s="82" t="n"/>
      <c r="Z1709" s="82" t="n"/>
    </row>
    <row r="1710" ht="15.75" customHeight="1" s="83">
      <c r="A1710" s="82" t="n"/>
      <c r="B1710" s="44" t="n"/>
      <c r="C1710" s="82" t="n"/>
      <c r="D1710" s="82" t="n"/>
      <c r="E1710" s="81" t="n"/>
      <c r="F1710" s="82" t="n"/>
      <c r="G1710" s="82" t="n"/>
      <c r="H1710" s="82" t="n"/>
      <c r="I1710" s="82" t="n"/>
      <c r="J1710" s="82" t="n"/>
      <c r="K1710" s="82" t="n"/>
      <c r="L1710" s="82" t="n"/>
      <c r="M1710" s="82" t="n"/>
      <c r="N1710" s="82" t="n"/>
      <c r="O1710" s="82" t="n"/>
      <c r="P1710" s="82" t="n"/>
      <c r="Q1710" s="82" t="n"/>
      <c r="R1710" s="82" t="n"/>
      <c r="S1710" s="82" t="n"/>
      <c r="T1710" s="82" t="n"/>
      <c r="U1710" s="82" t="n"/>
      <c r="V1710" s="82" t="n"/>
      <c r="W1710" s="82" t="n"/>
      <c r="X1710" s="82" t="n"/>
      <c r="Y1710" s="82" t="n"/>
      <c r="Z1710" s="82" t="n"/>
    </row>
    <row r="1711" ht="15.75" customHeight="1" s="83">
      <c r="A1711" s="82" t="n"/>
      <c r="B1711" s="44" t="n"/>
      <c r="C1711" s="82" t="n"/>
      <c r="D1711" s="82" t="n"/>
      <c r="E1711" s="81" t="n"/>
      <c r="F1711" s="82" t="n"/>
      <c r="G1711" s="82" t="n"/>
      <c r="H1711" s="82" t="n"/>
      <c r="I1711" s="82" t="n"/>
      <c r="J1711" s="82" t="n"/>
      <c r="K1711" s="82" t="n"/>
      <c r="L1711" s="82" t="n"/>
      <c r="M1711" s="82" t="n"/>
      <c r="N1711" s="82" t="n"/>
      <c r="O1711" s="82" t="n"/>
      <c r="P1711" s="82" t="n"/>
      <c r="Q1711" s="82" t="n"/>
      <c r="R1711" s="82" t="n"/>
      <c r="S1711" s="82" t="n"/>
      <c r="T1711" s="82" t="n"/>
      <c r="U1711" s="82" t="n"/>
      <c r="V1711" s="82" t="n"/>
      <c r="W1711" s="82" t="n"/>
      <c r="X1711" s="82" t="n"/>
      <c r="Y1711" s="82" t="n"/>
      <c r="Z1711" s="82" t="n"/>
    </row>
    <row r="1712" ht="15.75" customHeight="1" s="83">
      <c r="A1712" s="82" t="n"/>
      <c r="B1712" s="44" t="n"/>
      <c r="C1712" s="82" t="n"/>
      <c r="D1712" s="82" t="n"/>
      <c r="E1712" s="81" t="n"/>
      <c r="F1712" s="82" t="n"/>
      <c r="G1712" s="82" t="n"/>
      <c r="H1712" s="82" t="n"/>
      <c r="I1712" s="82" t="n"/>
      <c r="J1712" s="82" t="n"/>
      <c r="K1712" s="82" t="n"/>
      <c r="L1712" s="82" t="n"/>
      <c r="M1712" s="82" t="n"/>
      <c r="N1712" s="82" t="n"/>
      <c r="O1712" s="82" t="n"/>
      <c r="P1712" s="82" t="n"/>
      <c r="Q1712" s="82" t="n"/>
      <c r="R1712" s="82" t="n"/>
      <c r="S1712" s="82" t="n"/>
      <c r="T1712" s="82" t="n"/>
      <c r="U1712" s="82" t="n"/>
      <c r="V1712" s="82" t="n"/>
      <c r="W1712" s="82" t="n"/>
      <c r="X1712" s="82" t="n"/>
      <c r="Y1712" s="82" t="n"/>
      <c r="Z1712" s="82" t="n"/>
    </row>
    <row r="1713" ht="15.75" customHeight="1" s="83">
      <c r="A1713" s="82" t="n"/>
      <c r="B1713" s="44" t="n"/>
      <c r="C1713" s="82" t="n"/>
      <c r="D1713" s="82" t="n"/>
      <c r="E1713" s="81" t="n"/>
      <c r="F1713" s="82" t="n"/>
      <c r="G1713" s="82" t="n"/>
      <c r="H1713" s="82" t="n"/>
      <c r="I1713" s="82" t="n"/>
      <c r="J1713" s="82" t="n"/>
      <c r="K1713" s="82" t="n"/>
      <c r="L1713" s="82" t="n"/>
      <c r="M1713" s="82" t="n"/>
      <c r="N1713" s="82" t="n"/>
      <c r="O1713" s="82" t="n"/>
      <c r="P1713" s="82" t="n"/>
      <c r="Q1713" s="82" t="n"/>
      <c r="R1713" s="82" t="n"/>
      <c r="S1713" s="82" t="n"/>
      <c r="T1713" s="82" t="n"/>
      <c r="U1713" s="82" t="n"/>
      <c r="V1713" s="82" t="n"/>
      <c r="W1713" s="82" t="n"/>
      <c r="X1713" s="82" t="n"/>
      <c r="Y1713" s="82" t="n"/>
      <c r="Z1713" s="82" t="n"/>
    </row>
    <row r="1714" ht="15.75" customHeight="1" s="83">
      <c r="A1714" s="82" t="n"/>
      <c r="B1714" s="44" t="n"/>
      <c r="C1714" s="82" t="n"/>
      <c r="D1714" s="82" t="n"/>
      <c r="E1714" s="81" t="n"/>
      <c r="F1714" s="82" t="n"/>
      <c r="G1714" s="82" t="n"/>
      <c r="H1714" s="82" t="n"/>
      <c r="I1714" s="82" t="n"/>
      <c r="J1714" s="82" t="n"/>
      <c r="K1714" s="82" t="n"/>
      <c r="L1714" s="82" t="n"/>
      <c r="M1714" s="82" t="n"/>
      <c r="N1714" s="82" t="n"/>
      <c r="O1714" s="82" t="n"/>
      <c r="P1714" s="82" t="n"/>
      <c r="Q1714" s="82" t="n"/>
      <c r="R1714" s="82" t="n"/>
      <c r="S1714" s="82" t="n"/>
      <c r="T1714" s="82" t="n"/>
      <c r="U1714" s="82" t="n"/>
      <c r="V1714" s="82" t="n"/>
      <c r="W1714" s="82" t="n"/>
      <c r="X1714" s="82" t="n"/>
      <c r="Y1714" s="82" t="n"/>
      <c r="Z1714" s="82" t="n"/>
    </row>
    <row r="1715" ht="15.75" customHeight="1" s="83">
      <c r="A1715" s="82" t="n"/>
      <c r="B1715" s="44" t="n"/>
      <c r="C1715" s="82" t="n"/>
      <c r="D1715" s="82" t="n"/>
      <c r="E1715" s="81" t="n"/>
      <c r="F1715" s="82" t="n"/>
      <c r="G1715" s="82" t="n"/>
      <c r="H1715" s="82" t="n"/>
      <c r="I1715" s="82" t="n"/>
      <c r="J1715" s="82" t="n"/>
      <c r="K1715" s="82" t="n"/>
      <c r="L1715" s="82" t="n"/>
      <c r="M1715" s="82" t="n"/>
      <c r="N1715" s="82" t="n"/>
      <c r="O1715" s="82" t="n"/>
      <c r="P1715" s="82" t="n"/>
      <c r="Q1715" s="82" t="n"/>
      <c r="R1715" s="82" t="n"/>
      <c r="S1715" s="82" t="n"/>
      <c r="T1715" s="82" t="n"/>
      <c r="U1715" s="82" t="n"/>
      <c r="V1715" s="82" t="n"/>
      <c r="W1715" s="82" t="n"/>
      <c r="X1715" s="82" t="n"/>
      <c r="Y1715" s="82" t="n"/>
      <c r="Z1715" s="82" t="n"/>
    </row>
    <row r="1716" ht="15.75" customHeight="1" s="83">
      <c r="A1716" s="82" t="n"/>
      <c r="B1716" s="44" t="n"/>
      <c r="C1716" s="82" t="n"/>
      <c r="D1716" s="82" t="n"/>
      <c r="E1716" s="81" t="n"/>
      <c r="F1716" s="82" t="n"/>
      <c r="G1716" s="82" t="n"/>
      <c r="H1716" s="82" t="n"/>
      <c r="I1716" s="82" t="n"/>
      <c r="J1716" s="82" t="n"/>
      <c r="K1716" s="82" t="n"/>
      <c r="L1716" s="82" t="n"/>
      <c r="M1716" s="82" t="n"/>
      <c r="N1716" s="82" t="n"/>
      <c r="O1716" s="82" t="n"/>
      <c r="P1716" s="82" t="n"/>
      <c r="Q1716" s="82" t="n"/>
      <c r="R1716" s="82" t="n"/>
      <c r="S1716" s="82" t="n"/>
      <c r="T1716" s="82" t="n"/>
      <c r="U1716" s="82" t="n"/>
      <c r="V1716" s="82" t="n"/>
      <c r="W1716" s="82" t="n"/>
      <c r="X1716" s="82" t="n"/>
      <c r="Y1716" s="82" t="n"/>
      <c r="Z1716" s="82" t="n"/>
    </row>
    <row r="1717" ht="15.75" customHeight="1" s="83">
      <c r="A1717" s="82" t="n"/>
      <c r="B1717" s="44" t="n"/>
      <c r="C1717" s="82" t="n"/>
      <c r="D1717" s="82" t="n"/>
      <c r="E1717" s="81" t="n"/>
      <c r="F1717" s="82" t="n"/>
      <c r="G1717" s="82" t="n"/>
      <c r="H1717" s="82" t="n"/>
      <c r="I1717" s="82" t="n"/>
      <c r="J1717" s="82" t="n"/>
      <c r="K1717" s="82" t="n"/>
      <c r="L1717" s="82" t="n"/>
      <c r="M1717" s="82" t="n"/>
      <c r="N1717" s="82" t="n"/>
      <c r="O1717" s="82" t="n"/>
      <c r="P1717" s="82" t="n"/>
      <c r="Q1717" s="82" t="n"/>
      <c r="R1717" s="82" t="n"/>
      <c r="S1717" s="82" t="n"/>
      <c r="T1717" s="82" t="n"/>
      <c r="U1717" s="82" t="n"/>
      <c r="V1717" s="82" t="n"/>
      <c r="W1717" s="82" t="n"/>
      <c r="X1717" s="82" t="n"/>
      <c r="Y1717" s="82" t="n"/>
      <c r="Z1717" s="82" t="n"/>
    </row>
    <row r="1718" ht="15.75" customHeight="1" s="83">
      <c r="A1718" s="82" t="n"/>
      <c r="B1718" s="44" t="n"/>
      <c r="C1718" s="82" t="n"/>
      <c r="D1718" s="82" t="n"/>
      <c r="E1718" s="81" t="n"/>
      <c r="F1718" s="82" t="n"/>
      <c r="G1718" s="82" t="n"/>
      <c r="H1718" s="82" t="n"/>
      <c r="I1718" s="82" t="n"/>
      <c r="J1718" s="82" t="n"/>
      <c r="K1718" s="82" t="n"/>
      <c r="L1718" s="82" t="n"/>
      <c r="M1718" s="82" t="n"/>
      <c r="N1718" s="82" t="n"/>
      <c r="O1718" s="82" t="n"/>
      <c r="P1718" s="82" t="n"/>
      <c r="Q1718" s="82" t="n"/>
      <c r="R1718" s="82" t="n"/>
      <c r="S1718" s="82" t="n"/>
      <c r="T1718" s="82" t="n"/>
      <c r="U1718" s="82" t="n"/>
      <c r="V1718" s="82" t="n"/>
      <c r="W1718" s="82" t="n"/>
      <c r="X1718" s="82" t="n"/>
      <c r="Y1718" s="82" t="n"/>
      <c r="Z1718" s="82" t="n"/>
    </row>
    <row r="1719" ht="15.75" customHeight="1" s="83">
      <c r="A1719" s="82" t="n"/>
      <c r="B1719" s="44" t="n"/>
      <c r="C1719" s="82" t="n"/>
      <c r="D1719" s="82" t="n"/>
      <c r="E1719" s="81" t="n"/>
      <c r="F1719" s="82" t="n"/>
      <c r="G1719" s="82" t="n"/>
      <c r="H1719" s="82" t="n"/>
      <c r="I1719" s="82" t="n"/>
      <c r="J1719" s="82" t="n"/>
      <c r="K1719" s="82" t="n"/>
      <c r="L1719" s="82" t="n"/>
      <c r="M1719" s="82" t="n"/>
      <c r="N1719" s="82" t="n"/>
      <c r="O1719" s="82" t="n"/>
      <c r="P1719" s="82" t="n"/>
      <c r="Q1719" s="82" t="n"/>
      <c r="R1719" s="82" t="n"/>
      <c r="S1719" s="82" t="n"/>
      <c r="T1719" s="82" t="n"/>
      <c r="U1719" s="82" t="n"/>
      <c r="V1719" s="82" t="n"/>
      <c r="W1719" s="82" t="n"/>
      <c r="X1719" s="82" t="n"/>
      <c r="Y1719" s="82" t="n"/>
      <c r="Z1719" s="82" t="n"/>
    </row>
    <row r="1720" ht="15.75" customHeight="1" s="83">
      <c r="A1720" s="82" t="n"/>
      <c r="B1720" s="44" t="n"/>
      <c r="C1720" s="82" t="n"/>
      <c r="D1720" s="82" t="n"/>
      <c r="E1720" s="81" t="n"/>
      <c r="F1720" s="82" t="n"/>
      <c r="G1720" s="82" t="n"/>
      <c r="H1720" s="82" t="n"/>
      <c r="I1720" s="82" t="n"/>
      <c r="J1720" s="82" t="n"/>
      <c r="K1720" s="82" t="n"/>
      <c r="L1720" s="82" t="n"/>
      <c r="M1720" s="82" t="n"/>
      <c r="N1720" s="82" t="n"/>
      <c r="O1720" s="82" t="n"/>
      <c r="P1720" s="82" t="n"/>
      <c r="Q1720" s="82" t="n"/>
      <c r="R1720" s="82" t="n"/>
      <c r="S1720" s="82" t="n"/>
      <c r="T1720" s="82" t="n"/>
      <c r="U1720" s="82" t="n"/>
      <c r="V1720" s="82" t="n"/>
      <c r="W1720" s="82" t="n"/>
      <c r="X1720" s="82" t="n"/>
      <c r="Y1720" s="82" t="n"/>
      <c r="Z1720" s="82" t="n"/>
    </row>
    <row r="1721" ht="15.75" customHeight="1" s="83">
      <c r="A1721" s="82" t="n"/>
      <c r="B1721" s="44" t="n"/>
      <c r="C1721" s="82" t="n"/>
      <c r="D1721" s="82" t="n"/>
      <c r="E1721" s="81" t="n"/>
      <c r="F1721" s="82" t="n"/>
      <c r="G1721" s="82" t="n"/>
      <c r="H1721" s="82" t="n"/>
      <c r="I1721" s="82" t="n"/>
      <c r="J1721" s="82" t="n"/>
      <c r="K1721" s="82" t="n"/>
      <c r="L1721" s="82" t="n"/>
      <c r="M1721" s="82" t="n"/>
      <c r="N1721" s="82" t="n"/>
      <c r="O1721" s="82" t="n"/>
      <c r="P1721" s="82" t="n"/>
      <c r="Q1721" s="82" t="n"/>
      <c r="R1721" s="82" t="n"/>
      <c r="S1721" s="82" t="n"/>
      <c r="T1721" s="82" t="n"/>
      <c r="U1721" s="82" t="n"/>
      <c r="V1721" s="82" t="n"/>
      <c r="W1721" s="82" t="n"/>
      <c r="X1721" s="82" t="n"/>
      <c r="Y1721" s="82" t="n"/>
      <c r="Z1721" s="82" t="n"/>
    </row>
    <row r="1722" ht="15.75" customHeight="1" s="83">
      <c r="A1722" s="82" t="n"/>
      <c r="B1722" s="44" t="n"/>
      <c r="C1722" s="82" t="n"/>
      <c r="D1722" s="82" t="n"/>
      <c r="E1722" s="81" t="n"/>
      <c r="F1722" s="82" t="n"/>
      <c r="G1722" s="82" t="n"/>
      <c r="H1722" s="82" t="n"/>
      <c r="I1722" s="82" t="n"/>
      <c r="J1722" s="82" t="n"/>
      <c r="K1722" s="82" t="n"/>
      <c r="L1722" s="82" t="n"/>
      <c r="M1722" s="82" t="n"/>
      <c r="N1722" s="82" t="n"/>
      <c r="O1722" s="82" t="n"/>
      <c r="P1722" s="82" t="n"/>
      <c r="Q1722" s="82" t="n"/>
      <c r="R1722" s="82" t="n"/>
      <c r="S1722" s="82" t="n"/>
      <c r="T1722" s="82" t="n"/>
      <c r="U1722" s="82" t="n"/>
      <c r="V1722" s="82" t="n"/>
      <c r="W1722" s="82" t="n"/>
      <c r="X1722" s="82" t="n"/>
      <c r="Y1722" s="82" t="n"/>
      <c r="Z1722" s="82" t="n"/>
    </row>
    <row r="1723" ht="15.75" customHeight="1" s="83">
      <c r="A1723" s="82" t="n"/>
      <c r="B1723" s="44" t="n"/>
      <c r="C1723" s="82" t="n"/>
      <c r="D1723" s="82" t="n"/>
      <c r="E1723" s="81" t="n"/>
      <c r="F1723" s="82" t="n"/>
      <c r="G1723" s="82" t="n"/>
      <c r="H1723" s="82" t="n"/>
      <c r="I1723" s="82" t="n"/>
      <c r="J1723" s="82" t="n"/>
      <c r="K1723" s="82" t="n"/>
      <c r="L1723" s="82" t="n"/>
      <c r="M1723" s="82" t="n"/>
      <c r="N1723" s="82" t="n"/>
      <c r="O1723" s="82" t="n"/>
      <c r="P1723" s="82" t="n"/>
      <c r="Q1723" s="82" t="n"/>
      <c r="R1723" s="82" t="n"/>
      <c r="S1723" s="82" t="n"/>
      <c r="T1723" s="82" t="n"/>
      <c r="U1723" s="82" t="n"/>
      <c r="V1723" s="82" t="n"/>
      <c r="W1723" s="82" t="n"/>
      <c r="X1723" s="82" t="n"/>
      <c r="Y1723" s="82" t="n"/>
      <c r="Z1723" s="82" t="n"/>
    </row>
    <row r="1724" ht="15.75" customHeight="1" s="83">
      <c r="A1724" s="82" t="n"/>
      <c r="B1724" s="44" t="n"/>
      <c r="C1724" s="82" t="n"/>
      <c r="D1724" s="82" t="n"/>
      <c r="E1724" s="81" t="n"/>
      <c r="F1724" s="82" t="n"/>
      <c r="G1724" s="82" t="n"/>
      <c r="H1724" s="82" t="n"/>
      <c r="I1724" s="82" t="n"/>
      <c r="J1724" s="82" t="n"/>
      <c r="K1724" s="82" t="n"/>
      <c r="L1724" s="82" t="n"/>
      <c r="M1724" s="82" t="n"/>
      <c r="N1724" s="82" t="n"/>
      <c r="O1724" s="82" t="n"/>
      <c r="P1724" s="82" t="n"/>
      <c r="Q1724" s="82" t="n"/>
      <c r="R1724" s="82" t="n"/>
      <c r="S1724" s="82" t="n"/>
      <c r="T1724" s="82" t="n"/>
      <c r="U1724" s="82" t="n"/>
      <c r="V1724" s="82" t="n"/>
      <c r="W1724" s="82" t="n"/>
      <c r="X1724" s="82" t="n"/>
      <c r="Y1724" s="82" t="n"/>
      <c r="Z1724" s="82" t="n"/>
    </row>
    <row r="1725" ht="15.75" customHeight="1" s="83">
      <c r="A1725" s="82" t="n"/>
      <c r="B1725" s="44" t="n"/>
      <c r="C1725" s="82" t="n"/>
      <c r="D1725" s="82" t="n"/>
      <c r="E1725" s="81" t="n"/>
      <c r="F1725" s="82" t="n"/>
      <c r="G1725" s="82" t="n"/>
      <c r="H1725" s="82" t="n"/>
      <c r="I1725" s="82" t="n"/>
      <c r="J1725" s="82" t="n"/>
      <c r="K1725" s="82" t="n"/>
      <c r="L1725" s="82" t="n"/>
      <c r="M1725" s="82" t="n"/>
      <c r="N1725" s="82" t="n"/>
      <c r="O1725" s="82" t="n"/>
      <c r="P1725" s="82" t="n"/>
      <c r="Q1725" s="82" t="n"/>
      <c r="R1725" s="82" t="n"/>
      <c r="S1725" s="82" t="n"/>
      <c r="T1725" s="82" t="n"/>
      <c r="U1725" s="82" t="n"/>
      <c r="V1725" s="82" t="n"/>
      <c r="W1725" s="82" t="n"/>
      <c r="X1725" s="82" t="n"/>
      <c r="Y1725" s="82" t="n"/>
      <c r="Z1725" s="82" t="n"/>
    </row>
    <row r="1726" ht="15.75" customHeight="1" s="83">
      <c r="A1726" s="82" t="n"/>
      <c r="B1726" s="44" t="n"/>
      <c r="C1726" s="82" t="n"/>
      <c r="D1726" s="82" t="n"/>
      <c r="E1726" s="81" t="n"/>
      <c r="F1726" s="82" t="n"/>
      <c r="G1726" s="82" t="n"/>
      <c r="H1726" s="82" t="n"/>
      <c r="I1726" s="82" t="n"/>
      <c r="J1726" s="82" t="n"/>
      <c r="K1726" s="82" t="n"/>
      <c r="L1726" s="82" t="n"/>
      <c r="M1726" s="82" t="n"/>
      <c r="N1726" s="82" t="n"/>
      <c r="O1726" s="82" t="n"/>
      <c r="P1726" s="82" t="n"/>
      <c r="Q1726" s="82" t="n"/>
      <c r="R1726" s="82" t="n"/>
      <c r="S1726" s="82" t="n"/>
      <c r="T1726" s="82" t="n"/>
      <c r="U1726" s="82" t="n"/>
      <c r="V1726" s="82" t="n"/>
      <c r="W1726" s="82" t="n"/>
      <c r="X1726" s="82" t="n"/>
      <c r="Y1726" s="82" t="n"/>
      <c r="Z1726" s="82" t="n"/>
    </row>
    <row r="1727" ht="15.75" customHeight="1" s="83">
      <c r="A1727" s="82" t="n"/>
      <c r="B1727" s="44" t="n"/>
      <c r="C1727" s="82" t="n"/>
      <c r="D1727" s="82" t="n"/>
      <c r="E1727" s="81" t="n"/>
      <c r="F1727" s="82" t="n"/>
      <c r="G1727" s="82" t="n"/>
      <c r="H1727" s="82" t="n"/>
      <c r="I1727" s="82" t="n"/>
      <c r="J1727" s="82" t="n"/>
      <c r="K1727" s="82" t="n"/>
      <c r="L1727" s="82" t="n"/>
      <c r="M1727" s="82" t="n"/>
      <c r="N1727" s="82" t="n"/>
      <c r="O1727" s="82" t="n"/>
      <c r="P1727" s="82" t="n"/>
      <c r="Q1727" s="82" t="n"/>
      <c r="R1727" s="82" t="n"/>
      <c r="S1727" s="82" t="n"/>
      <c r="T1727" s="82" t="n"/>
      <c r="U1727" s="82" t="n"/>
      <c r="V1727" s="82" t="n"/>
      <c r="W1727" s="82" t="n"/>
      <c r="X1727" s="82" t="n"/>
      <c r="Y1727" s="82" t="n"/>
      <c r="Z1727" s="82" t="n"/>
    </row>
    <row r="1728" ht="15.75" customHeight="1" s="83">
      <c r="A1728" s="82" t="n"/>
      <c r="B1728" s="44" t="n"/>
      <c r="C1728" s="82" t="n"/>
      <c r="D1728" s="82" t="n"/>
      <c r="E1728" s="81" t="n"/>
      <c r="F1728" s="82" t="n"/>
      <c r="G1728" s="82" t="n"/>
      <c r="H1728" s="82" t="n"/>
      <c r="I1728" s="82" t="n"/>
      <c r="J1728" s="82" t="n"/>
      <c r="K1728" s="82" t="n"/>
      <c r="L1728" s="82" t="n"/>
      <c r="M1728" s="82" t="n"/>
      <c r="N1728" s="82" t="n"/>
      <c r="O1728" s="82" t="n"/>
      <c r="P1728" s="82" t="n"/>
      <c r="Q1728" s="82" t="n"/>
      <c r="R1728" s="82" t="n"/>
      <c r="S1728" s="82" t="n"/>
      <c r="T1728" s="82" t="n"/>
      <c r="U1728" s="82" t="n"/>
      <c r="V1728" s="82" t="n"/>
      <c r="W1728" s="82" t="n"/>
      <c r="X1728" s="82" t="n"/>
      <c r="Y1728" s="82" t="n"/>
      <c r="Z1728" s="82" t="n"/>
    </row>
    <row r="1729" ht="15.75" customHeight="1" s="83">
      <c r="A1729" s="82" t="n"/>
      <c r="B1729" s="44" t="n"/>
      <c r="C1729" s="82" t="n"/>
      <c r="D1729" s="82" t="n"/>
      <c r="E1729" s="81" t="n"/>
      <c r="F1729" s="82" t="n"/>
      <c r="G1729" s="82" t="n"/>
      <c r="H1729" s="82" t="n"/>
      <c r="I1729" s="82" t="n"/>
      <c r="J1729" s="82" t="n"/>
      <c r="K1729" s="82" t="n"/>
      <c r="L1729" s="82" t="n"/>
      <c r="M1729" s="82" t="n"/>
      <c r="N1729" s="82" t="n"/>
      <c r="O1729" s="82" t="n"/>
      <c r="P1729" s="82" t="n"/>
      <c r="Q1729" s="82" t="n"/>
      <c r="R1729" s="82" t="n"/>
      <c r="S1729" s="82" t="n"/>
      <c r="T1729" s="82" t="n"/>
      <c r="U1729" s="82" t="n"/>
      <c r="V1729" s="82" t="n"/>
      <c r="W1729" s="82" t="n"/>
      <c r="X1729" s="82" t="n"/>
      <c r="Y1729" s="82" t="n"/>
      <c r="Z1729" s="82" t="n"/>
    </row>
    <row r="1730" ht="15.75" customHeight="1" s="83">
      <c r="A1730" s="82" t="n"/>
      <c r="B1730" s="44" t="n"/>
      <c r="C1730" s="82" t="n"/>
      <c r="D1730" s="82" t="n"/>
      <c r="E1730" s="81" t="n"/>
      <c r="F1730" s="82" t="n"/>
      <c r="G1730" s="82" t="n"/>
      <c r="H1730" s="82" t="n"/>
      <c r="I1730" s="82" t="n"/>
      <c r="J1730" s="82" t="n"/>
      <c r="K1730" s="82" t="n"/>
      <c r="L1730" s="82" t="n"/>
      <c r="M1730" s="82" t="n"/>
      <c r="N1730" s="82" t="n"/>
      <c r="O1730" s="82" t="n"/>
      <c r="P1730" s="82" t="n"/>
      <c r="Q1730" s="82" t="n"/>
      <c r="R1730" s="82" t="n"/>
      <c r="S1730" s="82" t="n"/>
      <c r="T1730" s="82" t="n"/>
      <c r="U1730" s="82" t="n"/>
      <c r="V1730" s="82" t="n"/>
      <c r="W1730" s="82" t="n"/>
      <c r="X1730" s="82" t="n"/>
      <c r="Y1730" s="82" t="n"/>
      <c r="Z1730" s="82" t="n"/>
    </row>
    <row r="1731" ht="15.75" customHeight="1" s="83">
      <c r="A1731" s="82" t="n"/>
      <c r="B1731" s="44" t="n"/>
      <c r="C1731" s="82" t="n"/>
      <c r="D1731" s="82" t="n"/>
      <c r="E1731" s="81" t="n"/>
      <c r="F1731" s="82" t="n"/>
      <c r="G1731" s="82" t="n"/>
      <c r="H1731" s="82" t="n"/>
      <c r="I1731" s="82" t="n"/>
      <c r="J1731" s="82" t="n"/>
      <c r="K1731" s="82" t="n"/>
      <c r="L1731" s="82" t="n"/>
      <c r="M1731" s="82" t="n"/>
      <c r="N1731" s="82" t="n"/>
      <c r="O1731" s="82" t="n"/>
      <c r="P1731" s="82" t="n"/>
      <c r="Q1731" s="82" t="n"/>
      <c r="R1731" s="82" t="n"/>
      <c r="S1731" s="82" t="n"/>
      <c r="T1731" s="82" t="n"/>
      <c r="U1731" s="82" t="n"/>
      <c r="V1731" s="82" t="n"/>
      <c r="W1731" s="82" t="n"/>
      <c r="X1731" s="82" t="n"/>
      <c r="Y1731" s="82" t="n"/>
      <c r="Z1731" s="82" t="n"/>
    </row>
    <row r="1732" ht="15.75" customHeight="1" s="83">
      <c r="A1732" s="82" t="n"/>
      <c r="B1732" s="44" t="n"/>
      <c r="C1732" s="82" t="n"/>
      <c r="D1732" s="82" t="n"/>
      <c r="E1732" s="81" t="n"/>
      <c r="F1732" s="82" t="n"/>
      <c r="G1732" s="82" t="n"/>
      <c r="H1732" s="82" t="n"/>
      <c r="I1732" s="82" t="n"/>
      <c r="J1732" s="82" t="n"/>
      <c r="K1732" s="82" t="n"/>
      <c r="L1732" s="82" t="n"/>
      <c r="M1732" s="82" t="n"/>
      <c r="N1732" s="82" t="n"/>
      <c r="O1732" s="82" t="n"/>
      <c r="P1732" s="82" t="n"/>
      <c r="Q1732" s="82" t="n"/>
      <c r="R1732" s="82" t="n"/>
      <c r="S1732" s="82" t="n"/>
      <c r="T1732" s="82" t="n"/>
      <c r="U1732" s="82" t="n"/>
      <c r="V1732" s="82" t="n"/>
      <c r="W1732" s="82" t="n"/>
      <c r="X1732" s="82" t="n"/>
      <c r="Y1732" s="82" t="n"/>
      <c r="Z1732" s="82" t="n"/>
    </row>
    <row r="1733" ht="15.75" customHeight="1" s="83">
      <c r="A1733" s="82" t="n"/>
      <c r="B1733" s="44" t="n"/>
      <c r="C1733" s="82" t="n"/>
      <c r="D1733" s="82" t="n"/>
      <c r="E1733" s="81" t="n"/>
      <c r="F1733" s="82" t="n"/>
      <c r="G1733" s="82" t="n"/>
      <c r="H1733" s="82" t="n"/>
      <c r="I1733" s="82" t="n"/>
      <c r="J1733" s="82" t="n"/>
      <c r="K1733" s="82" t="n"/>
      <c r="L1733" s="82" t="n"/>
      <c r="M1733" s="82" t="n"/>
      <c r="N1733" s="82" t="n"/>
      <c r="O1733" s="82" t="n"/>
      <c r="P1733" s="82" t="n"/>
      <c r="Q1733" s="82" t="n"/>
      <c r="R1733" s="82" t="n"/>
      <c r="S1733" s="82" t="n"/>
      <c r="T1733" s="82" t="n"/>
      <c r="U1733" s="82" t="n"/>
      <c r="V1733" s="82" t="n"/>
      <c r="W1733" s="82" t="n"/>
      <c r="X1733" s="82" t="n"/>
      <c r="Y1733" s="82" t="n"/>
      <c r="Z1733" s="82" t="n"/>
    </row>
    <row r="1734" ht="15.75" customHeight="1" s="83">
      <c r="A1734" s="82" t="n"/>
      <c r="B1734" s="44" t="n"/>
      <c r="C1734" s="82" t="n"/>
      <c r="D1734" s="82" t="n"/>
      <c r="E1734" s="81" t="n"/>
      <c r="F1734" s="82" t="n"/>
      <c r="G1734" s="82" t="n"/>
      <c r="H1734" s="82" t="n"/>
      <c r="I1734" s="82" t="n"/>
      <c r="J1734" s="82" t="n"/>
      <c r="K1734" s="82" t="n"/>
      <c r="L1734" s="82" t="n"/>
      <c r="M1734" s="82" t="n"/>
      <c r="N1734" s="82" t="n"/>
      <c r="O1734" s="82" t="n"/>
      <c r="P1734" s="82" t="n"/>
      <c r="Q1734" s="82" t="n"/>
      <c r="R1734" s="82" t="n"/>
      <c r="S1734" s="82" t="n"/>
      <c r="T1734" s="82" t="n"/>
      <c r="U1734" s="82" t="n"/>
      <c r="V1734" s="82" t="n"/>
      <c r="W1734" s="82" t="n"/>
      <c r="X1734" s="82" t="n"/>
      <c r="Y1734" s="82" t="n"/>
      <c r="Z1734" s="82" t="n"/>
    </row>
    <row r="1735" ht="15.75" customHeight="1" s="83">
      <c r="A1735" s="82" t="n"/>
      <c r="B1735" s="44" t="n"/>
      <c r="C1735" s="82" t="n"/>
      <c r="D1735" s="82" t="n"/>
      <c r="E1735" s="81" t="n"/>
      <c r="F1735" s="82" t="n"/>
      <c r="G1735" s="82" t="n"/>
      <c r="H1735" s="82" t="n"/>
      <c r="I1735" s="82" t="n"/>
      <c r="J1735" s="82" t="n"/>
      <c r="K1735" s="82" t="n"/>
      <c r="L1735" s="82" t="n"/>
      <c r="M1735" s="82" t="n"/>
      <c r="N1735" s="82" t="n"/>
      <c r="O1735" s="82" t="n"/>
      <c r="P1735" s="82" t="n"/>
      <c r="Q1735" s="82" t="n"/>
      <c r="R1735" s="82" t="n"/>
      <c r="S1735" s="82" t="n"/>
      <c r="T1735" s="82" t="n"/>
      <c r="U1735" s="82" t="n"/>
      <c r="V1735" s="82" t="n"/>
      <c r="W1735" s="82" t="n"/>
      <c r="X1735" s="82" t="n"/>
      <c r="Y1735" s="82" t="n"/>
      <c r="Z1735" s="82" t="n"/>
    </row>
    <row r="1736" ht="15.75" customHeight="1" s="83">
      <c r="A1736" s="82" t="n"/>
      <c r="B1736" s="44" t="n"/>
      <c r="C1736" s="82" t="n"/>
      <c r="D1736" s="82" t="n"/>
      <c r="E1736" s="81" t="n"/>
      <c r="F1736" s="82" t="n"/>
      <c r="G1736" s="82" t="n"/>
      <c r="H1736" s="82" t="n"/>
      <c r="I1736" s="82" t="n"/>
      <c r="J1736" s="82" t="n"/>
      <c r="K1736" s="82" t="n"/>
      <c r="L1736" s="82" t="n"/>
      <c r="M1736" s="82" t="n"/>
      <c r="N1736" s="82" t="n"/>
      <c r="O1736" s="82" t="n"/>
      <c r="P1736" s="82" t="n"/>
      <c r="Q1736" s="82" t="n"/>
      <c r="R1736" s="82" t="n"/>
      <c r="S1736" s="82" t="n"/>
      <c r="T1736" s="82" t="n"/>
      <c r="U1736" s="82" t="n"/>
      <c r="V1736" s="82" t="n"/>
      <c r="W1736" s="82" t="n"/>
      <c r="X1736" s="82" t="n"/>
      <c r="Y1736" s="82" t="n"/>
      <c r="Z1736" s="82" t="n"/>
    </row>
    <row r="1737" ht="15.75" customHeight="1" s="83">
      <c r="A1737" s="82" t="n"/>
      <c r="B1737" s="44" t="n"/>
      <c r="C1737" s="82" t="n"/>
      <c r="D1737" s="82" t="n"/>
      <c r="E1737" s="81" t="n"/>
      <c r="F1737" s="82" t="n"/>
      <c r="G1737" s="82" t="n"/>
      <c r="H1737" s="82" t="n"/>
      <c r="I1737" s="82" t="n"/>
      <c r="J1737" s="82" t="n"/>
      <c r="K1737" s="82" t="n"/>
      <c r="L1737" s="82" t="n"/>
      <c r="M1737" s="82" t="n"/>
      <c r="N1737" s="82" t="n"/>
      <c r="O1737" s="82" t="n"/>
      <c r="P1737" s="82" t="n"/>
      <c r="Q1737" s="82" t="n"/>
      <c r="R1737" s="82" t="n"/>
      <c r="S1737" s="82" t="n"/>
      <c r="T1737" s="82" t="n"/>
      <c r="U1737" s="82" t="n"/>
      <c r="V1737" s="82" t="n"/>
      <c r="W1737" s="82" t="n"/>
      <c r="X1737" s="82" t="n"/>
      <c r="Y1737" s="82" t="n"/>
      <c r="Z1737" s="82" t="n"/>
    </row>
    <row r="1738" ht="15.75" customHeight="1" s="83">
      <c r="A1738" s="82" t="n"/>
      <c r="B1738" s="44" t="n"/>
      <c r="C1738" s="82" t="n"/>
      <c r="D1738" s="82" t="n"/>
      <c r="E1738" s="81" t="n"/>
      <c r="F1738" s="82" t="n"/>
      <c r="G1738" s="82" t="n"/>
      <c r="H1738" s="82" t="n"/>
      <c r="I1738" s="82" t="n"/>
      <c r="J1738" s="82" t="n"/>
      <c r="K1738" s="82" t="n"/>
      <c r="L1738" s="82" t="n"/>
      <c r="M1738" s="82" t="n"/>
      <c r="N1738" s="82" t="n"/>
      <c r="O1738" s="82" t="n"/>
      <c r="P1738" s="82" t="n"/>
      <c r="Q1738" s="82" t="n"/>
      <c r="R1738" s="82" t="n"/>
      <c r="S1738" s="82" t="n"/>
      <c r="T1738" s="82" t="n"/>
      <c r="U1738" s="82" t="n"/>
      <c r="V1738" s="82" t="n"/>
      <c r="W1738" s="82" t="n"/>
      <c r="X1738" s="82" t="n"/>
      <c r="Y1738" s="82" t="n"/>
      <c r="Z1738" s="82" t="n"/>
    </row>
    <row r="1739" ht="15.75" customHeight="1" s="83">
      <c r="A1739" s="82" t="n"/>
      <c r="B1739" s="44" t="n"/>
      <c r="C1739" s="82" t="n"/>
      <c r="D1739" s="82" t="n"/>
      <c r="E1739" s="81" t="n"/>
      <c r="F1739" s="82" t="n"/>
      <c r="G1739" s="82" t="n"/>
      <c r="H1739" s="82" t="n"/>
      <c r="I1739" s="82" t="n"/>
      <c r="J1739" s="82" t="n"/>
      <c r="K1739" s="82" t="n"/>
      <c r="L1739" s="82" t="n"/>
      <c r="M1739" s="82" t="n"/>
      <c r="N1739" s="82" t="n"/>
      <c r="O1739" s="82" t="n"/>
      <c r="P1739" s="82" t="n"/>
      <c r="Q1739" s="82" t="n"/>
      <c r="R1739" s="82" t="n"/>
      <c r="S1739" s="82" t="n"/>
      <c r="T1739" s="82" t="n"/>
      <c r="U1739" s="82" t="n"/>
      <c r="V1739" s="82" t="n"/>
      <c r="W1739" s="82" t="n"/>
      <c r="X1739" s="82" t="n"/>
      <c r="Y1739" s="82" t="n"/>
      <c r="Z1739" s="82" t="n"/>
    </row>
    <row r="1740" ht="15.75" customHeight="1" s="83">
      <c r="A1740" s="82" t="n"/>
      <c r="B1740" s="44" t="n"/>
      <c r="C1740" s="82" t="n"/>
      <c r="D1740" s="82" t="n"/>
      <c r="E1740" s="81" t="n"/>
      <c r="F1740" s="82" t="n"/>
      <c r="G1740" s="82" t="n"/>
      <c r="H1740" s="82" t="n"/>
      <c r="I1740" s="82" t="n"/>
      <c r="J1740" s="82" t="n"/>
      <c r="K1740" s="82" t="n"/>
      <c r="L1740" s="82" t="n"/>
      <c r="M1740" s="82" t="n"/>
      <c r="N1740" s="82" t="n"/>
      <c r="O1740" s="82" t="n"/>
      <c r="P1740" s="82" t="n"/>
      <c r="Q1740" s="82" t="n"/>
      <c r="R1740" s="82" t="n"/>
      <c r="S1740" s="82" t="n"/>
      <c r="T1740" s="82" t="n"/>
      <c r="U1740" s="82" t="n"/>
      <c r="V1740" s="82" t="n"/>
      <c r="W1740" s="82" t="n"/>
      <c r="X1740" s="82" t="n"/>
      <c r="Y1740" s="82" t="n"/>
      <c r="Z1740" s="82" t="n"/>
    </row>
    <row r="1741" ht="15.75" customHeight="1" s="83">
      <c r="A1741" s="82" t="n"/>
      <c r="B1741" s="44" t="n"/>
      <c r="C1741" s="82" t="n"/>
      <c r="D1741" s="82" t="n"/>
      <c r="E1741" s="81" t="n"/>
      <c r="F1741" s="82" t="n"/>
      <c r="G1741" s="82" t="n"/>
      <c r="H1741" s="82" t="n"/>
      <c r="I1741" s="82" t="n"/>
      <c r="J1741" s="82" t="n"/>
      <c r="K1741" s="82" t="n"/>
      <c r="L1741" s="82" t="n"/>
      <c r="M1741" s="82" t="n"/>
      <c r="N1741" s="82" t="n"/>
      <c r="O1741" s="82" t="n"/>
      <c r="P1741" s="82" t="n"/>
      <c r="Q1741" s="82" t="n"/>
      <c r="R1741" s="82" t="n"/>
      <c r="S1741" s="82" t="n"/>
      <c r="T1741" s="82" t="n"/>
      <c r="U1741" s="82" t="n"/>
      <c r="V1741" s="82" t="n"/>
      <c r="W1741" s="82" t="n"/>
      <c r="X1741" s="82" t="n"/>
      <c r="Y1741" s="82" t="n"/>
      <c r="Z1741" s="82" t="n"/>
    </row>
    <row r="1742" ht="15.75" customHeight="1" s="83">
      <c r="A1742" s="82" t="n"/>
      <c r="B1742" s="44" t="n"/>
      <c r="C1742" s="82" t="n"/>
      <c r="D1742" s="82" t="n"/>
      <c r="E1742" s="81" t="n"/>
      <c r="F1742" s="82" t="n"/>
      <c r="G1742" s="82" t="n"/>
      <c r="H1742" s="82" t="n"/>
      <c r="I1742" s="82" t="n"/>
      <c r="J1742" s="82" t="n"/>
      <c r="K1742" s="82" t="n"/>
      <c r="L1742" s="82" t="n"/>
      <c r="M1742" s="82" t="n"/>
      <c r="N1742" s="82" t="n"/>
      <c r="O1742" s="82" t="n"/>
      <c r="P1742" s="82" t="n"/>
      <c r="Q1742" s="82" t="n"/>
      <c r="R1742" s="82" t="n"/>
      <c r="S1742" s="82" t="n"/>
      <c r="T1742" s="82" t="n"/>
      <c r="U1742" s="82" t="n"/>
      <c r="V1742" s="82" t="n"/>
      <c r="W1742" s="82" t="n"/>
      <c r="X1742" s="82" t="n"/>
      <c r="Y1742" s="82" t="n"/>
      <c r="Z1742" s="82" t="n"/>
    </row>
    <row r="1743" ht="15.75" customHeight="1" s="83">
      <c r="A1743" s="82" t="n"/>
      <c r="B1743" s="44" t="n"/>
      <c r="C1743" s="82" t="n"/>
      <c r="D1743" s="82" t="n"/>
      <c r="E1743" s="81" t="n"/>
      <c r="F1743" s="82" t="n"/>
      <c r="G1743" s="82" t="n"/>
      <c r="H1743" s="82" t="n"/>
      <c r="I1743" s="82" t="n"/>
      <c r="J1743" s="82" t="n"/>
      <c r="K1743" s="82" t="n"/>
      <c r="L1743" s="82" t="n"/>
      <c r="M1743" s="82" t="n"/>
      <c r="N1743" s="82" t="n"/>
      <c r="O1743" s="82" t="n"/>
      <c r="P1743" s="82" t="n"/>
      <c r="Q1743" s="82" t="n"/>
      <c r="R1743" s="82" t="n"/>
      <c r="S1743" s="82" t="n"/>
      <c r="T1743" s="82" t="n"/>
      <c r="U1743" s="82" t="n"/>
      <c r="V1743" s="82" t="n"/>
      <c r="W1743" s="82" t="n"/>
      <c r="X1743" s="82" t="n"/>
      <c r="Y1743" s="82" t="n"/>
      <c r="Z1743" s="82" t="n"/>
    </row>
    <row r="1744" ht="15.75" customHeight="1" s="83">
      <c r="A1744" s="82" t="n"/>
      <c r="B1744" s="44" t="n"/>
      <c r="C1744" s="82" t="n"/>
      <c r="D1744" s="82" t="n"/>
      <c r="E1744" s="81" t="n"/>
      <c r="F1744" s="82" t="n"/>
      <c r="G1744" s="82" t="n"/>
      <c r="H1744" s="82" t="n"/>
      <c r="I1744" s="82" t="n"/>
      <c r="J1744" s="82" t="n"/>
      <c r="K1744" s="82" t="n"/>
      <c r="L1744" s="82" t="n"/>
      <c r="M1744" s="82" t="n"/>
      <c r="N1744" s="82" t="n"/>
      <c r="O1744" s="82" t="n"/>
      <c r="P1744" s="82" t="n"/>
      <c r="Q1744" s="82" t="n"/>
      <c r="R1744" s="82" t="n"/>
      <c r="S1744" s="82" t="n"/>
      <c r="T1744" s="82" t="n"/>
      <c r="U1744" s="82" t="n"/>
      <c r="V1744" s="82" t="n"/>
      <c r="W1744" s="82" t="n"/>
      <c r="X1744" s="82" t="n"/>
      <c r="Y1744" s="82" t="n"/>
      <c r="Z1744" s="82" t="n"/>
    </row>
    <row r="1745" ht="15.75" customHeight="1" s="83">
      <c r="A1745" s="82" t="n"/>
      <c r="B1745" s="44" t="n"/>
      <c r="C1745" s="82" t="n"/>
      <c r="D1745" s="82" t="n"/>
      <c r="E1745" s="81" t="n"/>
      <c r="F1745" s="82" t="n"/>
      <c r="G1745" s="82" t="n"/>
      <c r="H1745" s="82" t="n"/>
      <c r="I1745" s="82" t="n"/>
      <c r="J1745" s="82" t="n"/>
      <c r="K1745" s="82" t="n"/>
      <c r="L1745" s="82" t="n"/>
      <c r="M1745" s="82" t="n"/>
      <c r="N1745" s="82" t="n"/>
      <c r="O1745" s="82" t="n"/>
      <c r="P1745" s="82" t="n"/>
      <c r="Q1745" s="82" t="n"/>
      <c r="R1745" s="82" t="n"/>
      <c r="S1745" s="82" t="n"/>
      <c r="T1745" s="82" t="n"/>
      <c r="U1745" s="82" t="n"/>
      <c r="V1745" s="82" t="n"/>
      <c r="W1745" s="82" t="n"/>
      <c r="X1745" s="82" t="n"/>
      <c r="Y1745" s="82" t="n"/>
      <c r="Z1745" s="82" t="n"/>
    </row>
    <row r="1746" ht="15.75" customHeight="1" s="83">
      <c r="A1746" s="82" t="n"/>
      <c r="B1746" s="44" t="n"/>
      <c r="C1746" s="82" t="n"/>
      <c r="D1746" s="82" t="n"/>
      <c r="E1746" s="81" t="n"/>
      <c r="F1746" s="82" t="n"/>
      <c r="G1746" s="82" t="n"/>
      <c r="H1746" s="82" t="n"/>
      <c r="I1746" s="82" t="n"/>
      <c r="J1746" s="82" t="n"/>
      <c r="K1746" s="82" t="n"/>
      <c r="L1746" s="82" t="n"/>
      <c r="M1746" s="82" t="n"/>
      <c r="N1746" s="82" t="n"/>
      <c r="O1746" s="82" t="n"/>
      <c r="P1746" s="82" t="n"/>
      <c r="Q1746" s="82" t="n"/>
      <c r="R1746" s="82" t="n"/>
      <c r="S1746" s="82" t="n"/>
      <c r="T1746" s="82" t="n"/>
      <c r="U1746" s="82" t="n"/>
      <c r="V1746" s="82" t="n"/>
      <c r="W1746" s="82" t="n"/>
      <c r="X1746" s="82" t="n"/>
      <c r="Y1746" s="82" t="n"/>
      <c r="Z1746" s="82" t="n"/>
    </row>
    <row r="1747" ht="15.75" customHeight="1" s="83">
      <c r="A1747" s="82" t="n"/>
      <c r="B1747" s="44" t="n"/>
      <c r="C1747" s="82" t="n"/>
      <c r="D1747" s="82" t="n"/>
      <c r="E1747" s="81" t="n"/>
      <c r="F1747" s="82" t="n"/>
      <c r="G1747" s="82" t="n"/>
      <c r="H1747" s="82" t="n"/>
      <c r="I1747" s="82" t="n"/>
      <c r="J1747" s="82" t="n"/>
      <c r="K1747" s="82" t="n"/>
      <c r="L1747" s="82" t="n"/>
      <c r="M1747" s="82" t="n"/>
      <c r="N1747" s="82" t="n"/>
      <c r="O1747" s="82" t="n"/>
      <c r="P1747" s="82" t="n"/>
      <c r="Q1747" s="82" t="n"/>
      <c r="R1747" s="82" t="n"/>
      <c r="S1747" s="82" t="n"/>
      <c r="T1747" s="82" t="n"/>
      <c r="U1747" s="82" t="n"/>
      <c r="V1747" s="82" t="n"/>
      <c r="W1747" s="82" t="n"/>
      <c r="X1747" s="82" t="n"/>
      <c r="Y1747" s="82" t="n"/>
      <c r="Z1747" s="82" t="n"/>
    </row>
    <row r="1748" ht="15.75" customHeight="1" s="83">
      <c r="A1748" s="82" t="n"/>
      <c r="B1748" s="44" t="n"/>
      <c r="C1748" s="82" t="n"/>
      <c r="D1748" s="82" t="n"/>
      <c r="E1748" s="81" t="n"/>
      <c r="F1748" s="82" t="n"/>
      <c r="G1748" s="82" t="n"/>
      <c r="H1748" s="82" t="n"/>
      <c r="I1748" s="82" t="n"/>
      <c r="J1748" s="82" t="n"/>
      <c r="K1748" s="82" t="n"/>
      <c r="L1748" s="82" t="n"/>
      <c r="M1748" s="82" t="n"/>
      <c r="N1748" s="82" t="n"/>
      <c r="O1748" s="82" t="n"/>
      <c r="P1748" s="82" t="n"/>
      <c r="Q1748" s="82" t="n"/>
      <c r="R1748" s="82" t="n"/>
      <c r="S1748" s="82" t="n"/>
      <c r="T1748" s="82" t="n"/>
      <c r="U1748" s="82" t="n"/>
      <c r="V1748" s="82" t="n"/>
      <c r="W1748" s="82" t="n"/>
      <c r="X1748" s="82" t="n"/>
      <c r="Y1748" s="82" t="n"/>
      <c r="Z1748" s="82" t="n"/>
    </row>
    <row r="1749" ht="15.75" customHeight="1" s="83">
      <c r="A1749" s="82" t="n"/>
      <c r="B1749" s="44" t="n"/>
      <c r="C1749" s="82" t="n"/>
      <c r="D1749" s="82" t="n"/>
      <c r="E1749" s="81" t="n"/>
      <c r="F1749" s="82" t="n"/>
      <c r="G1749" s="82" t="n"/>
      <c r="H1749" s="82" t="n"/>
      <c r="I1749" s="82" t="n"/>
      <c r="J1749" s="82" t="n"/>
      <c r="K1749" s="82" t="n"/>
      <c r="L1749" s="82" t="n"/>
      <c r="M1749" s="82" t="n"/>
      <c r="N1749" s="82" t="n"/>
      <c r="O1749" s="82" t="n"/>
      <c r="P1749" s="82" t="n"/>
      <c r="Q1749" s="82" t="n"/>
      <c r="R1749" s="82" t="n"/>
      <c r="S1749" s="82" t="n"/>
      <c r="T1749" s="82" t="n"/>
      <c r="U1749" s="82" t="n"/>
      <c r="V1749" s="82" t="n"/>
      <c r="W1749" s="82" t="n"/>
      <c r="X1749" s="82" t="n"/>
      <c r="Y1749" s="82" t="n"/>
      <c r="Z1749" s="82" t="n"/>
    </row>
    <row r="1750" ht="15.75" customHeight="1" s="83">
      <c r="A1750" s="82" t="n"/>
      <c r="B1750" s="44" t="n"/>
      <c r="C1750" s="82" t="n"/>
      <c r="D1750" s="82" t="n"/>
      <c r="E1750" s="81" t="n"/>
      <c r="F1750" s="82" t="n"/>
      <c r="G1750" s="82" t="n"/>
      <c r="H1750" s="82" t="n"/>
      <c r="I1750" s="82" t="n"/>
      <c r="J1750" s="82" t="n"/>
      <c r="K1750" s="82" t="n"/>
      <c r="L1750" s="82" t="n"/>
      <c r="M1750" s="82" t="n"/>
      <c r="N1750" s="82" t="n"/>
      <c r="O1750" s="82" t="n"/>
      <c r="P1750" s="82" t="n"/>
      <c r="Q1750" s="82" t="n"/>
      <c r="R1750" s="82" t="n"/>
      <c r="S1750" s="82" t="n"/>
      <c r="T1750" s="82" t="n"/>
      <c r="U1750" s="82" t="n"/>
      <c r="V1750" s="82" t="n"/>
      <c r="W1750" s="82" t="n"/>
      <c r="X1750" s="82" t="n"/>
      <c r="Y1750" s="82" t="n"/>
      <c r="Z1750" s="82" t="n"/>
    </row>
    <row r="1751" ht="15.75" customHeight="1" s="83">
      <c r="A1751" s="82" t="n"/>
      <c r="B1751" s="44" t="n"/>
      <c r="C1751" s="82" t="n"/>
      <c r="D1751" s="82" t="n"/>
      <c r="E1751" s="81" t="n"/>
      <c r="F1751" s="82" t="n"/>
      <c r="G1751" s="82" t="n"/>
      <c r="H1751" s="82" t="n"/>
      <c r="I1751" s="82" t="n"/>
      <c r="J1751" s="82" t="n"/>
      <c r="K1751" s="82" t="n"/>
      <c r="L1751" s="82" t="n"/>
      <c r="M1751" s="82" t="n"/>
      <c r="N1751" s="82" t="n"/>
      <c r="O1751" s="82" t="n"/>
      <c r="P1751" s="82" t="n"/>
      <c r="Q1751" s="82" t="n"/>
      <c r="R1751" s="82" t="n"/>
      <c r="S1751" s="82" t="n"/>
      <c r="T1751" s="82" t="n"/>
      <c r="U1751" s="82" t="n"/>
      <c r="V1751" s="82" t="n"/>
      <c r="W1751" s="82" t="n"/>
      <c r="X1751" s="82" t="n"/>
      <c r="Y1751" s="82" t="n"/>
      <c r="Z1751" s="82" t="n"/>
    </row>
    <row r="1752" ht="15.75" customHeight="1" s="83">
      <c r="A1752" s="82" t="n"/>
      <c r="B1752" s="44" t="n"/>
      <c r="C1752" s="82" t="n"/>
      <c r="D1752" s="82" t="n"/>
      <c r="E1752" s="81" t="n"/>
      <c r="F1752" s="82" t="n"/>
      <c r="G1752" s="82" t="n"/>
      <c r="H1752" s="82" t="n"/>
      <c r="I1752" s="82" t="n"/>
      <c r="J1752" s="82" t="n"/>
      <c r="K1752" s="82" t="n"/>
      <c r="L1752" s="82" t="n"/>
      <c r="M1752" s="82" t="n"/>
      <c r="N1752" s="82" t="n"/>
      <c r="O1752" s="82" t="n"/>
      <c r="P1752" s="82" t="n"/>
      <c r="Q1752" s="82" t="n"/>
      <c r="R1752" s="82" t="n"/>
      <c r="S1752" s="82" t="n"/>
      <c r="T1752" s="82" t="n"/>
      <c r="U1752" s="82" t="n"/>
      <c r="V1752" s="82" t="n"/>
      <c r="W1752" s="82" t="n"/>
      <c r="X1752" s="82" t="n"/>
      <c r="Y1752" s="82" t="n"/>
      <c r="Z1752" s="82" t="n"/>
    </row>
    <row r="1753" ht="15.75" customHeight="1" s="83">
      <c r="A1753" s="82" t="n"/>
      <c r="B1753" s="44" t="n"/>
      <c r="C1753" s="82" t="n"/>
      <c r="D1753" s="82" t="n"/>
      <c r="E1753" s="81" t="n"/>
      <c r="F1753" s="82" t="n"/>
      <c r="G1753" s="82" t="n"/>
      <c r="H1753" s="82" t="n"/>
      <c r="I1753" s="82" t="n"/>
      <c r="J1753" s="82" t="n"/>
      <c r="K1753" s="82" t="n"/>
      <c r="L1753" s="82" t="n"/>
      <c r="M1753" s="82" t="n"/>
      <c r="N1753" s="82" t="n"/>
      <c r="O1753" s="82" t="n"/>
      <c r="P1753" s="82" t="n"/>
      <c r="Q1753" s="82" t="n"/>
      <c r="R1753" s="82" t="n"/>
      <c r="S1753" s="82" t="n"/>
      <c r="T1753" s="82" t="n"/>
      <c r="U1753" s="82" t="n"/>
      <c r="V1753" s="82" t="n"/>
      <c r="W1753" s="82" t="n"/>
      <c r="X1753" s="82" t="n"/>
      <c r="Y1753" s="82" t="n"/>
      <c r="Z1753" s="82" t="n"/>
    </row>
    <row r="1754" ht="15.75" customHeight="1" s="83">
      <c r="A1754" s="82" t="n"/>
      <c r="B1754" s="44" t="n"/>
      <c r="C1754" s="82" t="n"/>
      <c r="D1754" s="82" t="n"/>
      <c r="E1754" s="81" t="n"/>
      <c r="F1754" s="82" t="n"/>
      <c r="G1754" s="82" t="n"/>
      <c r="H1754" s="82" t="n"/>
      <c r="I1754" s="82" t="n"/>
      <c r="J1754" s="82" t="n"/>
      <c r="K1754" s="82" t="n"/>
      <c r="L1754" s="82" t="n"/>
      <c r="M1754" s="82" t="n"/>
      <c r="N1754" s="82" t="n"/>
      <c r="O1754" s="82" t="n"/>
      <c r="P1754" s="82" t="n"/>
      <c r="Q1754" s="82" t="n"/>
      <c r="R1754" s="82" t="n"/>
      <c r="S1754" s="82" t="n"/>
      <c r="T1754" s="82" t="n"/>
      <c r="U1754" s="82" t="n"/>
      <c r="V1754" s="82" t="n"/>
      <c r="W1754" s="82" t="n"/>
      <c r="X1754" s="82" t="n"/>
      <c r="Y1754" s="82" t="n"/>
      <c r="Z1754" s="82" t="n"/>
    </row>
    <row r="1755" ht="15.75" customHeight="1" s="83">
      <c r="A1755" s="82" t="n"/>
      <c r="B1755" s="44" t="n"/>
      <c r="C1755" s="82" t="n"/>
      <c r="D1755" s="82" t="n"/>
      <c r="E1755" s="81" t="n"/>
      <c r="F1755" s="82" t="n"/>
      <c r="G1755" s="82" t="n"/>
      <c r="H1755" s="82" t="n"/>
      <c r="I1755" s="82" t="n"/>
      <c r="J1755" s="82" t="n"/>
      <c r="K1755" s="82" t="n"/>
      <c r="L1755" s="82" t="n"/>
      <c r="M1755" s="82" t="n"/>
      <c r="N1755" s="82" t="n"/>
      <c r="O1755" s="82" t="n"/>
      <c r="P1755" s="82" t="n"/>
      <c r="Q1755" s="82" t="n"/>
      <c r="R1755" s="82" t="n"/>
      <c r="S1755" s="82" t="n"/>
      <c r="T1755" s="82" t="n"/>
      <c r="U1755" s="82" t="n"/>
      <c r="V1755" s="82" t="n"/>
      <c r="W1755" s="82" t="n"/>
      <c r="X1755" s="82" t="n"/>
      <c r="Y1755" s="82" t="n"/>
      <c r="Z1755" s="82" t="n"/>
    </row>
    <row r="1756" ht="15.75" customHeight="1" s="83">
      <c r="A1756" s="82" t="n"/>
      <c r="B1756" s="44" t="n"/>
      <c r="C1756" s="82" t="n"/>
      <c r="D1756" s="82" t="n"/>
      <c r="E1756" s="81" t="n"/>
      <c r="F1756" s="82" t="n"/>
      <c r="G1756" s="82" t="n"/>
      <c r="H1756" s="82" t="n"/>
      <c r="I1756" s="82" t="n"/>
      <c r="J1756" s="82" t="n"/>
      <c r="K1756" s="82" t="n"/>
      <c r="L1756" s="82" t="n"/>
      <c r="M1756" s="82" t="n"/>
      <c r="N1756" s="82" t="n"/>
      <c r="O1756" s="82" t="n"/>
      <c r="P1756" s="82" t="n"/>
      <c r="Q1756" s="82" t="n"/>
      <c r="R1756" s="82" t="n"/>
      <c r="S1756" s="82" t="n"/>
      <c r="T1756" s="82" t="n"/>
      <c r="U1756" s="82" t="n"/>
      <c r="V1756" s="82" t="n"/>
      <c r="W1756" s="82" t="n"/>
      <c r="X1756" s="82" t="n"/>
      <c r="Y1756" s="82" t="n"/>
      <c r="Z1756" s="82" t="n"/>
    </row>
    <row r="1757" ht="15.75" customHeight="1" s="83">
      <c r="A1757" s="82" t="n"/>
      <c r="B1757" s="44" t="n"/>
      <c r="C1757" s="82" t="n"/>
      <c r="D1757" s="82" t="n"/>
      <c r="E1757" s="81" t="n"/>
      <c r="F1757" s="82" t="n"/>
      <c r="G1757" s="82" t="n"/>
      <c r="H1757" s="82" t="n"/>
      <c r="I1757" s="82" t="n"/>
      <c r="J1757" s="82" t="n"/>
      <c r="K1757" s="82" t="n"/>
      <c r="L1757" s="82" t="n"/>
      <c r="M1757" s="82" t="n"/>
      <c r="N1757" s="82" t="n"/>
      <c r="O1757" s="82" t="n"/>
      <c r="P1757" s="82" t="n"/>
      <c r="Q1757" s="82" t="n"/>
      <c r="R1757" s="82" t="n"/>
      <c r="S1757" s="82" t="n"/>
      <c r="T1757" s="82" t="n"/>
      <c r="U1757" s="82" t="n"/>
      <c r="V1757" s="82" t="n"/>
      <c r="W1757" s="82" t="n"/>
      <c r="X1757" s="82" t="n"/>
      <c r="Y1757" s="82" t="n"/>
      <c r="Z1757" s="82" t="n"/>
    </row>
    <row r="1758" ht="15.75" customHeight="1" s="83">
      <c r="A1758" s="82" t="n"/>
      <c r="B1758" s="44" t="n"/>
      <c r="C1758" s="82" t="n"/>
      <c r="D1758" s="82" t="n"/>
      <c r="E1758" s="81" t="n"/>
      <c r="F1758" s="82" t="n"/>
      <c r="G1758" s="82" t="n"/>
      <c r="H1758" s="82" t="n"/>
      <c r="I1758" s="82" t="n"/>
      <c r="J1758" s="82" t="n"/>
      <c r="K1758" s="82" t="n"/>
      <c r="L1758" s="82" t="n"/>
      <c r="M1758" s="82" t="n"/>
      <c r="N1758" s="82" t="n"/>
      <c r="O1758" s="82" t="n"/>
      <c r="P1758" s="82" t="n"/>
      <c r="Q1758" s="82" t="n"/>
      <c r="R1758" s="82" t="n"/>
      <c r="S1758" s="82" t="n"/>
      <c r="T1758" s="82" t="n"/>
      <c r="U1758" s="82" t="n"/>
      <c r="V1758" s="82" t="n"/>
      <c r="W1758" s="82" t="n"/>
      <c r="X1758" s="82" t="n"/>
      <c r="Y1758" s="82" t="n"/>
      <c r="Z1758" s="82" t="n"/>
    </row>
    <row r="1759" ht="15.75" customHeight="1" s="83">
      <c r="A1759" s="82" t="n"/>
      <c r="B1759" s="44" t="n"/>
      <c r="C1759" s="82" t="n"/>
      <c r="D1759" s="82" t="n"/>
      <c r="E1759" s="81" t="n"/>
      <c r="F1759" s="82" t="n"/>
      <c r="G1759" s="82" t="n"/>
      <c r="H1759" s="82" t="n"/>
      <c r="I1759" s="82" t="n"/>
      <c r="J1759" s="82" t="n"/>
      <c r="K1759" s="82" t="n"/>
      <c r="L1759" s="82" t="n"/>
      <c r="M1759" s="82" t="n"/>
      <c r="N1759" s="82" t="n"/>
      <c r="O1759" s="82" t="n"/>
      <c r="P1759" s="82" t="n"/>
      <c r="Q1759" s="82" t="n"/>
      <c r="R1759" s="82" t="n"/>
      <c r="S1759" s="82" t="n"/>
      <c r="T1759" s="82" t="n"/>
      <c r="U1759" s="82" t="n"/>
      <c r="V1759" s="82" t="n"/>
      <c r="W1759" s="82" t="n"/>
      <c r="X1759" s="82" t="n"/>
      <c r="Y1759" s="82" t="n"/>
      <c r="Z1759" s="82" t="n"/>
    </row>
    <row r="1760" ht="15.75" customHeight="1" s="83">
      <c r="A1760" s="82" t="n"/>
      <c r="B1760" s="44" t="n"/>
      <c r="C1760" s="82" t="n"/>
      <c r="D1760" s="82" t="n"/>
      <c r="E1760" s="81" t="n"/>
      <c r="F1760" s="82" t="n"/>
      <c r="G1760" s="82" t="n"/>
      <c r="H1760" s="82" t="n"/>
      <c r="I1760" s="82" t="n"/>
      <c r="J1760" s="82" t="n"/>
      <c r="K1760" s="82" t="n"/>
      <c r="L1760" s="82" t="n"/>
      <c r="M1760" s="82" t="n"/>
      <c r="N1760" s="82" t="n"/>
      <c r="O1760" s="82" t="n"/>
      <c r="P1760" s="82" t="n"/>
      <c r="Q1760" s="82" t="n"/>
      <c r="R1760" s="82" t="n"/>
      <c r="S1760" s="82" t="n"/>
      <c r="T1760" s="82" t="n"/>
      <c r="U1760" s="82" t="n"/>
      <c r="V1760" s="82" t="n"/>
      <c r="W1760" s="82" t="n"/>
      <c r="X1760" s="82" t="n"/>
      <c r="Y1760" s="82" t="n"/>
      <c r="Z1760" s="82" t="n"/>
    </row>
    <row r="1761" ht="15.75" customHeight="1" s="83">
      <c r="A1761" s="82" t="n"/>
      <c r="B1761" s="44" t="n"/>
      <c r="C1761" s="82" t="n"/>
      <c r="D1761" s="82" t="n"/>
      <c r="E1761" s="81" t="n"/>
      <c r="F1761" s="82" t="n"/>
      <c r="G1761" s="82" t="n"/>
      <c r="H1761" s="82" t="n"/>
      <c r="I1761" s="82" t="n"/>
      <c r="J1761" s="82" t="n"/>
      <c r="K1761" s="82" t="n"/>
      <c r="L1761" s="82" t="n"/>
      <c r="M1761" s="82" t="n"/>
      <c r="N1761" s="82" t="n"/>
      <c r="O1761" s="82" t="n"/>
      <c r="P1761" s="82" t="n"/>
      <c r="Q1761" s="82" t="n"/>
      <c r="R1761" s="82" t="n"/>
      <c r="S1761" s="82" t="n"/>
      <c r="T1761" s="82" t="n"/>
      <c r="U1761" s="82" t="n"/>
      <c r="V1761" s="82" t="n"/>
      <c r="W1761" s="82" t="n"/>
      <c r="X1761" s="82" t="n"/>
      <c r="Y1761" s="82" t="n"/>
      <c r="Z1761" s="82" t="n"/>
    </row>
    <row r="1762" ht="15.75" customHeight="1" s="83">
      <c r="A1762" s="82" t="n"/>
      <c r="B1762" s="44" t="n"/>
      <c r="C1762" s="82" t="n"/>
      <c r="D1762" s="82" t="n"/>
      <c r="E1762" s="81" t="n"/>
      <c r="F1762" s="82" t="n"/>
      <c r="G1762" s="82" t="n"/>
      <c r="H1762" s="82" t="n"/>
      <c r="I1762" s="82" t="n"/>
      <c r="J1762" s="82" t="n"/>
      <c r="K1762" s="82" t="n"/>
      <c r="L1762" s="82" t="n"/>
      <c r="M1762" s="82" t="n"/>
      <c r="N1762" s="82" t="n"/>
      <c r="O1762" s="82" t="n"/>
      <c r="P1762" s="82" t="n"/>
      <c r="Q1762" s="82" t="n"/>
      <c r="R1762" s="82" t="n"/>
      <c r="S1762" s="82" t="n"/>
      <c r="T1762" s="82" t="n"/>
      <c r="U1762" s="82" t="n"/>
      <c r="V1762" s="82" t="n"/>
      <c r="W1762" s="82" t="n"/>
      <c r="X1762" s="82" t="n"/>
      <c r="Y1762" s="82" t="n"/>
      <c r="Z1762" s="82" t="n"/>
    </row>
    <row r="1763" ht="15.75" customHeight="1" s="83">
      <c r="A1763" s="82" t="n"/>
      <c r="B1763" s="44" t="n"/>
      <c r="C1763" s="82" t="n"/>
      <c r="D1763" s="82" t="n"/>
      <c r="E1763" s="81" t="n"/>
      <c r="F1763" s="82" t="n"/>
      <c r="G1763" s="82" t="n"/>
      <c r="H1763" s="82" t="n"/>
      <c r="I1763" s="82" t="n"/>
      <c r="J1763" s="82" t="n"/>
      <c r="K1763" s="82" t="n"/>
      <c r="L1763" s="82" t="n"/>
      <c r="M1763" s="82" t="n"/>
      <c r="N1763" s="82" t="n"/>
      <c r="O1763" s="82" t="n"/>
      <c r="P1763" s="82" t="n"/>
      <c r="Q1763" s="82" t="n"/>
      <c r="R1763" s="82" t="n"/>
      <c r="S1763" s="82" t="n"/>
      <c r="T1763" s="82" t="n"/>
      <c r="U1763" s="82" t="n"/>
      <c r="V1763" s="82" t="n"/>
      <c r="W1763" s="82" t="n"/>
      <c r="X1763" s="82" t="n"/>
      <c r="Y1763" s="82" t="n"/>
      <c r="Z1763" s="82" t="n"/>
    </row>
    <row r="1764" ht="15.75" customHeight="1" s="83">
      <c r="A1764" s="82" t="n"/>
      <c r="B1764" s="44" t="n"/>
      <c r="C1764" s="82" t="n"/>
      <c r="D1764" s="82" t="n"/>
      <c r="E1764" s="81" t="n"/>
      <c r="F1764" s="82" t="n"/>
      <c r="G1764" s="82" t="n"/>
      <c r="H1764" s="82" t="n"/>
      <c r="I1764" s="82" t="n"/>
      <c r="J1764" s="82" t="n"/>
      <c r="K1764" s="82" t="n"/>
      <c r="L1764" s="82" t="n"/>
      <c r="M1764" s="82" t="n"/>
      <c r="N1764" s="82" t="n"/>
      <c r="O1764" s="82" t="n"/>
      <c r="P1764" s="82" t="n"/>
      <c r="Q1764" s="82" t="n"/>
      <c r="R1764" s="82" t="n"/>
      <c r="S1764" s="82" t="n"/>
      <c r="T1764" s="82" t="n"/>
      <c r="U1764" s="82" t="n"/>
      <c r="V1764" s="82" t="n"/>
      <c r="W1764" s="82" t="n"/>
      <c r="X1764" s="82" t="n"/>
      <c r="Y1764" s="82" t="n"/>
      <c r="Z1764" s="82" t="n"/>
    </row>
    <row r="1765" ht="15.75" customHeight="1" s="83">
      <c r="A1765" s="82" t="n"/>
      <c r="B1765" s="44" t="n"/>
      <c r="C1765" s="82" t="n"/>
      <c r="D1765" s="82" t="n"/>
      <c r="E1765" s="81" t="n"/>
      <c r="F1765" s="82" t="n"/>
      <c r="G1765" s="82" t="n"/>
      <c r="H1765" s="82" t="n"/>
      <c r="I1765" s="82" t="n"/>
      <c r="J1765" s="82" t="n"/>
      <c r="K1765" s="82" t="n"/>
      <c r="L1765" s="82" t="n"/>
      <c r="M1765" s="82" t="n"/>
      <c r="N1765" s="82" t="n"/>
      <c r="O1765" s="82" t="n"/>
      <c r="P1765" s="82" t="n"/>
      <c r="Q1765" s="82" t="n"/>
      <c r="R1765" s="82" t="n"/>
      <c r="S1765" s="82" t="n"/>
      <c r="T1765" s="82" t="n"/>
      <c r="U1765" s="82" t="n"/>
      <c r="V1765" s="82" t="n"/>
      <c r="W1765" s="82" t="n"/>
      <c r="X1765" s="82" t="n"/>
      <c r="Y1765" s="82" t="n"/>
      <c r="Z1765" s="82" t="n"/>
    </row>
    <row r="1766" ht="15.75" customHeight="1" s="83">
      <c r="A1766" s="82" t="n"/>
      <c r="B1766" s="44" t="n"/>
      <c r="C1766" s="82" t="n"/>
      <c r="D1766" s="82" t="n"/>
      <c r="E1766" s="81" t="n"/>
      <c r="F1766" s="82" t="n"/>
      <c r="G1766" s="82" t="n"/>
      <c r="H1766" s="82" t="n"/>
      <c r="I1766" s="82" t="n"/>
      <c r="J1766" s="82" t="n"/>
      <c r="K1766" s="82" t="n"/>
      <c r="L1766" s="82" t="n"/>
      <c r="M1766" s="82" t="n"/>
      <c r="N1766" s="82" t="n"/>
      <c r="O1766" s="82" t="n"/>
      <c r="P1766" s="82" t="n"/>
      <c r="Q1766" s="82" t="n"/>
      <c r="R1766" s="82" t="n"/>
      <c r="S1766" s="82" t="n"/>
      <c r="T1766" s="82" t="n"/>
      <c r="U1766" s="82" t="n"/>
      <c r="V1766" s="82" t="n"/>
      <c r="W1766" s="82" t="n"/>
      <c r="X1766" s="82" t="n"/>
      <c r="Y1766" s="82" t="n"/>
      <c r="Z1766" s="82" t="n"/>
    </row>
    <row r="1767" ht="15.75" customHeight="1" s="83">
      <c r="A1767" s="82" t="n"/>
      <c r="B1767" s="44" t="n"/>
      <c r="C1767" s="82" t="n"/>
      <c r="D1767" s="82" t="n"/>
      <c r="E1767" s="81" t="n"/>
      <c r="F1767" s="82" t="n"/>
      <c r="G1767" s="82" t="n"/>
      <c r="H1767" s="82" t="n"/>
      <c r="I1767" s="82" t="n"/>
      <c r="J1767" s="82" t="n"/>
      <c r="K1767" s="82" t="n"/>
      <c r="L1767" s="82" t="n"/>
      <c r="M1767" s="82" t="n"/>
      <c r="N1767" s="82" t="n"/>
      <c r="O1767" s="82" t="n"/>
      <c r="P1767" s="82" t="n"/>
      <c r="Q1767" s="82" t="n"/>
      <c r="R1767" s="82" t="n"/>
      <c r="S1767" s="82" t="n"/>
      <c r="T1767" s="82" t="n"/>
      <c r="U1767" s="82" t="n"/>
      <c r="V1767" s="82" t="n"/>
      <c r="W1767" s="82" t="n"/>
      <c r="X1767" s="82" t="n"/>
      <c r="Y1767" s="82" t="n"/>
      <c r="Z1767" s="82" t="n"/>
    </row>
    <row r="1768" ht="15.75" customHeight="1" s="83">
      <c r="A1768" s="82" t="n"/>
      <c r="B1768" s="44" t="n"/>
      <c r="C1768" s="82" t="n"/>
      <c r="D1768" s="82" t="n"/>
      <c r="E1768" s="81" t="n"/>
      <c r="F1768" s="82" t="n"/>
      <c r="G1768" s="82" t="n"/>
      <c r="H1768" s="82" t="n"/>
      <c r="I1768" s="82" t="n"/>
      <c r="J1768" s="82" t="n"/>
      <c r="K1768" s="82" t="n"/>
      <c r="L1768" s="82" t="n"/>
      <c r="M1768" s="82" t="n"/>
      <c r="N1768" s="82" t="n"/>
      <c r="O1768" s="82" t="n"/>
      <c r="P1768" s="82" t="n"/>
      <c r="Q1768" s="82" t="n"/>
      <c r="R1768" s="82" t="n"/>
      <c r="S1768" s="82" t="n"/>
      <c r="T1768" s="82" t="n"/>
      <c r="U1768" s="82" t="n"/>
      <c r="V1768" s="82" t="n"/>
      <c r="W1768" s="82" t="n"/>
      <c r="X1768" s="82" t="n"/>
      <c r="Y1768" s="82" t="n"/>
      <c r="Z1768" s="82" t="n"/>
    </row>
    <row r="1769" ht="15.75" customHeight="1" s="83">
      <c r="A1769" s="82" t="n"/>
      <c r="B1769" s="44" t="n"/>
      <c r="C1769" s="82" t="n"/>
      <c r="D1769" s="82" t="n"/>
      <c r="E1769" s="81" t="n"/>
      <c r="F1769" s="82" t="n"/>
      <c r="G1769" s="82" t="n"/>
      <c r="H1769" s="82" t="n"/>
      <c r="I1769" s="82" t="n"/>
      <c r="J1769" s="82" t="n"/>
      <c r="K1769" s="82" t="n"/>
      <c r="L1769" s="82" t="n"/>
      <c r="M1769" s="82" t="n"/>
      <c r="N1769" s="82" t="n"/>
      <c r="O1769" s="82" t="n"/>
      <c r="P1769" s="82" t="n"/>
      <c r="Q1769" s="82" t="n"/>
      <c r="R1769" s="82" t="n"/>
      <c r="S1769" s="82" t="n"/>
      <c r="T1769" s="82" t="n"/>
      <c r="U1769" s="82" t="n"/>
      <c r="V1769" s="82" t="n"/>
      <c r="W1769" s="82" t="n"/>
      <c r="X1769" s="82" t="n"/>
      <c r="Y1769" s="82" t="n"/>
      <c r="Z1769" s="82" t="n"/>
    </row>
    <row r="1770" ht="15.75" customHeight="1" s="83">
      <c r="A1770" s="82" t="n"/>
      <c r="B1770" s="44" t="n"/>
      <c r="C1770" s="82" t="n"/>
      <c r="D1770" s="82" t="n"/>
      <c r="E1770" s="81" t="n"/>
      <c r="F1770" s="82" t="n"/>
      <c r="G1770" s="82" t="n"/>
      <c r="H1770" s="82" t="n"/>
      <c r="I1770" s="82" t="n"/>
      <c r="J1770" s="82" t="n"/>
      <c r="K1770" s="82" t="n"/>
      <c r="L1770" s="82" t="n"/>
      <c r="M1770" s="82" t="n"/>
      <c r="N1770" s="82" t="n"/>
      <c r="O1770" s="82" t="n"/>
      <c r="P1770" s="82" t="n"/>
      <c r="Q1770" s="82" t="n"/>
      <c r="R1770" s="82" t="n"/>
      <c r="S1770" s="82" t="n"/>
      <c r="T1770" s="82" t="n"/>
      <c r="U1770" s="82" t="n"/>
      <c r="V1770" s="82" t="n"/>
      <c r="W1770" s="82" t="n"/>
      <c r="X1770" s="82" t="n"/>
      <c r="Y1770" s="82" t="n"/>
      <c r="Z1770" s="82" t="n"/>
    </row>
    <row r="1771" ht="15.75" customHeight="1" s="83">
      <c r="A1771" s="82" t="n"/>
      <c r="B1771" s="44" t="n"/>
      <c r="C1771" s="82" t="n"/>
      <c r="D1771" s="82" t="n"/>
      <c r="E1771" s="81" t="n"/>
      <c r="F1771" s="82" t="n"/>
      <c r="G1771" s="82" t="n"/>
      <c r="H1771" s="82" t="n"/>
      <c r="I1771" s="82" t="n"/>
      <c r="J1771" s="82" t="n"/>
      <c r="K1771" s="82" t="n"/>
      <c r="L1771" s="82" t="n"/>
      <c r="M1771" s="82" t="n"/>
      <c r="N1771" s="82" t="n"/>
      <c r="O1771" s="82" t="n"/>
      <c r="P1771" s="82" t="n"/>
      <c r="Q1771" s="82" t="n"/>
      <c r="R1771" s="82" t="n"/>
      <c r="S1771" s="82" t="n"/>
      <c r="T1771" s="82" t="n"/>
      <c r="U1771" s="82" t="n"/>
      <c r="V1771" s="82" t="n"/>
      <c r="W1771" s="82" t="n"/>
      <c r="X1771" s="82" t="n"/>
      <c r="Y1771" s="82" t="n"/>
      <c r="Z1771" s="82" t="n"/>
    </row>
    <row r="1772" ht="15.75" customHeight="1" s="83">
      <c r="A1772" s="82" t="n"/>
      <c r="B1772" s="44" t="n"/>
      <c r="C1772" s="82" t="n"/>
      <c r="D1772" s="82" t="n"/>
      <c r="E1772" s="81" t="n"/>
      <c r="F1772" s="82" t="n"/>
      <c r="G1772" s="82" t="n"/>
      <c r="H1772" s="82" t="n"/>
      <c r="I1772" s="82" t="n"/>
      <c r="J1772" s="82" t="n"/>
      <c r="K1772" s="82" t="n"/>
      <c r="L1772" s="82" t="n"/>
      <c r="M1772" s="82" t="n"/>
      <c r="N1772" s="82" t="n"/>
      <c r="O1772" s="82" t="n"/>
      <c r="P1772" s="82" t="n"/>
      <c r="Q1772" s="82" t="n"/>
      <c r="R1772" s="82" t="n"/>
      <c r="S1772" s="82" t="n"/>
      <c r="T1772" s="82" t="n"/>
      <c r="U1772" s="82" t="n"/>
      <c r="V1772" s="82" t="n"/>
      <c r="W1772" s="82" t="n"/>
      <c r="X1772" s="82" t="n"/>
      <c r="Y1772" s="82" t="n"/>
      <c r="Z1772" s="82" t="n"/>
    </row>
    <row r="1773" ht="15.75" customHeight="1" s="83">
      <c r="A1773" s="82" t="n"/>
      <c r="B1773" s="44" t="n"/>
      <c r="C1773" s="82" t="n"/>
      <c r="D1773" s="82" t="n"/>
      <c r="E1773" s="81" t="n"/>
      <c r="F1773" s="82" t="n"/>
      <c r="G1773" s="82" t="n"/>
      <c r="H1773" s="82" t="n"/>
      <c r="I1773" s="82" t="n"/>
      <c r="J1773" s="82" t="n"/>
      <c r="K1773" s="82" t="n"/>
      <c r="L1773" s="82" t="n"/>
      <c r="M1773" s="82" t="n"/>
      <c r="N1773" s="82" t="n"/>
      <c r="O1773" s="82" t="n"/>
      <c r="P1773" s="82" t="n"/>
      <c r="Q1773" s="82" t="n"/>
      <c r="R1773" s="82" t="n"/>
      <c r="S1773" s="82" t="n"/>
      <c r="T1773" s="82" t="n"/>
      <c r="U1773" s="82" t="n"/>
      <c r="V1773" s="82" t="n"/>
      <c r="W1773" s="82" t="n"/>
      <c r="X1773" s="82" t="n"/>
      <c r="Y1773" s="82" t="n"/>
      <c r="Z1773" s="82" t="n"/>
    </row>
    <row r="1774" ht="15.75" customHeight="1" s="83">
      <c r="A1774" s="82" t="n"/>
      <c r="B1774" s="44" t="n"/>
      <c r="C1774" s="82" t="n"/>
      <c r="D1774" s="82" t="n"/>
      <c r="E1774" s="81" t="n"/>
      <c r="F1774" s="82" t="n"/>
      <c r="G1774" s="82" t="n"/>
      <c r="H1774" s="82" t="n"/>
      <c r="I1774" s="82" t="n"/>
      <c r="J1774" s="82" t="n"/>
      <c r="K1774" s="82" t="n"/>
      <c r="L1774" s="82" t="n"/>
      <c r="M1774" s="82" t="n"/>
      <c r="N1774" s="82" t="n"/>
      <c r="O1774" s="82" t="n"/>
      <c r="P1774" s="82" t="n"/>
      <c r="Q1774" s="82" t="n"/>
      <c r="R1774" s="82" t="n"/>
      <c r="S1774" s="82" t="n"/>
      <c r="T1774" s="82" t="n"/>
      <c r="U1774" s="82" t="n"/>
      <c r="V1774" s="82" t="n"/>
      <c r="W1774" s="82" t="n"/>
      <c r="X1774" s="82" t="n"/>
      <c r="Y1774" s="82" t="n"/>
      <c r="Z1774" s="82" t="n"/>
    </row>
    <row r="1775" ht="15.75" customHeight="1" s="83">
      <c r="A1775" s="82" t="n"/>
      <c r="B1775" s="44" t="n"/>
      <c r="C1775" s="82" t="n"/>
      <c r="D1775" s="82" t="n"/>
      <c r="E1775" s="81" t="n"/>
      <c r="F1775" s="82" t="n"/>
      <c r="G1775" s="82" t="n"/>
      <c r="H1775" s="82" t="n"/>
      <c r="I1775" s="82" t="n"/>
      <c r="J1775" s="82" t="n"/>
      <c r="K1775" s="82" t="n"/>
      <c r="L1775" s="82" t="n"/>
      <c r="M1775" s="82" t="n"/>
      <c r="N1775" s="82" t="n"/>
      <c r="O1775" s="82" t="n"/>
      <c r="P1775" s="82" t="n"/>
      <c r="Q1775" s="82" t="n"/>
      <c r="R1775" s="82" t="n"/>
      <c r="S1775" s="82" t="n"/>
      <c r="T1775" s="82" t="n"/>
      <c r="U1775" s="82" t="n"/>
      <c r="V1775" s="82" t="n"/>
      <c r="W1775" s="82" t="n"/>
      <c r="X1775" s="82" t="n"/>
      <c r="Y1775" s="82" t="n"/>
      <c r="Z1775" s="82" t="n"/>
    </row>
    <row r="1776" ht="15.75" customHeight="1" s="83">
      <c r="A1776" s="82" t="n"/>
      <c r="B1776" s="44" t="n"/>
      <c r="C1776" s="82" t="n"/>
      <c r="D1776" s="82" t="n"/>
      <c r="E1776" s="81" t="n"/>
      <c r="F1776" s="82" t="n"/>
      <c r="G1776" s="82" t="n"/>
      <c r="H1776" s="82" t="n"/>
      <c r="I1776" s="82" t="n"/>
      <c r="J1776" s="82" t="n"/>
      <c r="K1776" s="82" t="n"/>
      <c r="L1776" s="82" t="n"/>
      <c r="M1776" s="82" t="n"/>
      <c r="N1776" s="82" t="n"/>
      <c r="O1776" s="82" t="n"/>
      <c r="P1776" s="82" t="n"/>
      <c r="Q1776" s="82" t="n"/>
      <c r="R1776" s="82" t="n"/>
      <c r="S1776" s="82" t="n"/>
      <c r="T1776" s="82" t="n"/>
      <c r="U1776" s="82" t="n"/>
      <c r="V1776" s="82" t="n"/>
      <c r="W1776" s="82" t="n"/>
      <c r="X1776" s="82" t="n"/>
      <c r="Y1776" s="82" t="n"/>
      <c r="Z1776" s="82" t="n"/>
    </row>
    <row r="1777" ht="15.75" customHeight="1" s="83">
      <c r="A1777" s="82" t="n"/>
      <c r="B1777" s="44" t="n"/>
      <c r="C1777" s="82" t="n"/>
      <c r="D1777" s="82" t="n"/>
      <c r="E1777" s="81" t="n"/>
      <c r="F1777" s="82" t="n"/>
      <c r="G1777" s="82" t="n"/>
      <c r="H1777" s="82" t="n"/>
      <c r="I1777" s="82" t="n"/>
      <c r="J1777" s="82" t="n"/>
      <c r="K1777" s="82" t="n"/>
      <c r="L1777" s="82" t="n"/>
      <c r="M1777" s="82" t="n"/>
      <c r="N1777" s="82" t="n"/>
      <c r="O1777" s="82" t="n"/>
      <c r="P1777" s="82" t="n"/>
      <c r="Q1777" s="82" t="n"/>
      <c r="R1777" s="82" t="n"/>
      <c r="S1777" s="82" t="n"/>
      <c r="T1777" s="82" t="n"/>
      <c r="U1777" s="82" t="n"/>
      <c r="V1777" s="82" t="n"/>
      <c r="W1777" s="82" t="n"/>
      <c r="X1777" s="82" t="n"/>
      <c r="Y1777" s="82" t="n"/>
      <c r="Z1777" s="82" t="n"/>
    </row>
    <row r="1778" ht="15.75" customHeight="1" s="83">
      <c r="A1778" s="82" t="n"/>
      <c r="B1778" s="44" t="n"/>
      <c r="C1778" s="82" t="n"/>
      <c r="D1778" s="82" t="n"/>
      <c r="E1778" s="81" t="n"/>
      <c r="F1778" s="82" t="n"/>
      <c r="G1778" s="82" t="n"/>
      <c r="H1778" s="82" t="n"/>
      <c r="I1778" s="82" t="n"/>
      <c r="J1778" s="82" t="n"/>
      <c r="K1778" s="82" t="n"/>
      <c r="L1778" s="82" t="n"/>
      <c r="M1778" s="82" t="n"/>
      <c r="N1778" s="82" t="n"/>
      <c r="O1778" s="82" t="n"/>
      <c r="P1778" s="82" t="n"/>
      <c r="Q1778" s="82" t="n"/>
      <c r="R1778" s="82" t="n"/>
      <c r="S1778" s="82" t="n"/>
      <c r="T1778" s="82" t="n"/>
      <c r="U1778" s="82" t="n"/>
      <c r="V1778" s="82" t="n"/>
      <c r="W1778" s="82" t="n"/>
      <c r="X1778" s="82" t="n"/>
      <c r="Y1778" s="82" t="n"/>
      <c r="Z1778" s="82" t="n"/>
    </row>
    <row r="1779" ht="15.75" customHeight="1" s="83">
      <c r="A1779" s="82" t="n"/>
      <c r="B1779" s="44" t="n"/>
      <c r="C1779" s="82" t="n"/>
      <c r="D1779" s="82" t="n"/>
      <c r="E1779" s="81" t="n"/>
      <c r="F1779" s="82" t="n"/>
      <c r="G1779" s="82" t="n"/>
      <c r="H1779" s="82" t="n"/>
      <c r="I1779" s="82" t="n"/>
      <c r="J1779" s="82" t="n"/>
      <c r="K1779" s="82" t="n"/>
      <c r="L1779" s="82" t="n"/>
      <c r="M1779" s="82" t="n"/>
      <c r="N1779" s="82" t="n"/>
      <c r="O1779" s="82" t="n"/>
      <c r="P1779" s="82" t="n"/>
      <c r="Q1779" s="82" t="n"/>
      <c r="R1779" s="82" t="n"/>
      <c r="S1779" s="82" t="n"/>
      <c r="T1779" s="82" t="n"/>
      <c r="U1779" s="82" t="n"/>
      <c r="V1779" s="82" t="n"/>
      <c r="W1779" s="82" t="n"/>
      <c r="X1779" s="82" t="n"/>
      <c r="Y1779" s="82" t="n"/>
      <c r="Z1779" s="82" t="n"/>
    </row>
    <row r="1780" ht="15.75" customHeight="1" s="83">
      <c r="A1780" s="82" t="n"/>
      <c r="B1780" s="44" t="n"/>
      <c r="C1780" s="82" t="n"/>
      <c r="D1780" s="82" t="n"/>
      <c r="E1780" s="81" t="n"/>
      <c r="F1780" s="82" t="n"/>
      <c r="G1780" s="82" t="n"/>
      <c r="H1780" s="82" t="n"/>
      <c r="I1780" s="82" t="n"/>
      <c r="J1780" s="82" t="n"/>
      <c r="K1780" s="82" t="n"/>
      <c r="L1780" s="82" t="n"/>
      <c r="M1780" s="82" t="n"/>
      <c r="N1780" s="82" t="n"/>
      <c r="O1780" s="82" t="n"/>
      <c r="P1780" s="82" t="n"/>
      <c r="Q1780" s="82" t="n"/>
      <c r="R1780" s="82" t="n"/>
      <c r="S1780" s="82" t="n"/>
      <c r="T1780" s="82" t="n"/>
      <c r="U1780" s="82" t="n"/>
      <c r="V1780" s="82" t="n"/>
      <c r="W1780" s="82" t="n"/>
      <c r="X1780" s="82" t="n"/>
      <c r="Y1780" s="82" t="n"/>
      <c r="Z1780" s="82" t="n"/>
    </row>
    <row r="1781" ht="15.75" customHeight="1" s="83">
      <c r="A1781" s="82" t="n"/>
      <c r="B1781" s="44" t="n"/>
      <c r="C1781" s="82" t="n"/>
      <c r="D1781" s="82" t="n"/>
      <c r="E1781" s="81" t="n"/>
      <c r="F1781" s="82" t="n"/>
      <c r="G1781" s="82" t="n"/>
      <c r="H1781" s="82" t="n"/>
      <c r="I1781" s="82" t="n"/>
      <c r="J1781" s="82" t="n"/>
      <c r="K1781" s="82" t="n"/>
      <c r="L1781" s="82" t="n"/>
      <c r="M1781" s="82" t="n"/>
      <c r="N1781" s="82" t="n"/>
      <c r="O1781" s="82" t="n"/>
      <c r="P1781" s="82" t="n"/>
      <c r="Q1781" s="82" t="n"/>
      <c r="R1781" s="82" t="n"/>
      <c r="S1781" s="82" t="n"/>
      <c r="T1781" s="82" t="n"/>
      <c r="U1781" s="82" t="n"/>
      <c r="V1781" s="82" t="n"/>
      <c r="W1781" s="82" t="n"/>
      <c r="X1781" s="82" t="n"/>
      <c r="Y1781" s="82" t="n"/>
      <c r="Z1781" s="82" t="n"/>
    </row>
    <row r="1782" ht="15.75" customHeight="1" s="83">
      <c r="A1782" s="82" t="n"/>
      <c r="B1782" s="44" t="n"/>
      <c r="C1782" s="82" t="n"/>
      <c r="D1782" s="82" t="n"/>
      <c r="E1782" s="81" t="n"/>
      <c r="F1782" s="82" t="n"/>
      <c r="G1782" s="82" t="n"/>
      <c r="H1782" s="82" t="n"/>
      <c r="I1782" s="82" t="n"/>
      <c r="J1782" s="82" t="n"/>
      <c r="K1782" s="82" t="n"/>
      <c r="L1782" s="82" t="n"/>
      <c r="M1782" s="82" t="n"/>
      <c r="N1782" s="82" t="n"/>
      <c r="O1782" s="82" t="n"/>
      <c r="P1782" s="82" t="n"/>
      <c r="Q1782" s="82" t="n"/>
      <c r="R1782" s="82" t="n"/>
      <c r="S1782" s="82" t="n"/>
      <c r="T1782" s="82" t="n"/>
      <c r="U1782" s="82" t="n"/>
      <c r="V1782" s="82" t="n"/>
      <c r="W1782" s="82" t="n"/>
      <c r="X1782" s="82" t="n"/>
      <c r="Y1782" s="82" t="n"/>
      <c r="Z1782" s="82" t="n"/>
    </row>
    <row r="1783" ht="15.75" customHeight="1" s="83">
      <c r="A1783" s="82" t="n"/>
      <c r="B1783" s="44" t="n"/>
      <c r="C1783" s="82" t="n"/>
      <c r="D1783" s="82" t="n"/>
      <c r="E1783" s="81" t="n"/>
      <c r="F1783" s="82" t="n"/>
      <c r="G1783" s="82" t="n"/>
      <c r="H1783" s="82" t="n"/>
      <c r="I1783" s="82" t="n"/>
      <c r="J1783" s="82" t="n"/>
      <c r="K1783" s="82" t="n"/>
      <c r="L1783" s="82" t="n"/>
      <c r="M1783" s="82" t="n"/>
      <c r="N1783" s="82" t="n"/>
      <c r="O1783" s="82" t="n"/>
      <c r="P1783" s="82" t="n"/>
      <c r="Q1783" s="82" t="n"/>
      <c r="R1783" s="82" t="n"/>
      <c r="S1783" s="82" t="n"/>
      <c r="T1783" s="82" t="n"/>
      <c r="U1783" s="82" t="n"/>
      <c r="V1783" s="82" t="n"/>
      <c r="W1783" s="82" t="n"/>
      <c r="X1783" s="82" t="n"/>
      <c r="Y1783" s="82" t="n"/>
      <c r="Z1783" s="82" t="n"/>
    </row>
    <row r="1784" ht="15.75" customHeight="1" s="83">
      <c r="A1784" s="82" t="n"/>
      <c r="B1784" s="44" t="n"/>
      <c r="C1784" s="82" t="n"/>
      <c r="D1784" s="82" t="n"/>
      <c r="E1784" s="81" t="n"/>
      <c r="F1784" s="82" t="n"/>
      <c r="G1784" s="82" t="n"/>
      <c r="H1784" s="82" t="n"/>
      <c r="I1784" s="82" t="n"/>
      <c r="J1784" s="82" t="n"/>
      <c r="K1784" s="82" t="n"/>
      <c r="L1784" s="82" t="n"/>
      <c r="M1784" s="82" t="n"/>
      <c r="N1784" s="82" t="n"/>
      <c r="O1784" s="82" t="n"/>
      <c r="P1784" s="82" t="n"/>
      <c r="Q1784" s="82" t="n"/>
      <c r="R1784" s="82" t="n"/>
      <c r="S1784" s="82" t="n"/>
      <c r="T1784" s="82" t="n"/>
      <c r="U1784" s="82" t="n"/>
      <c r="V1784" s="82" t="n"/>
      <c r="W1784" s="82" t="n"/>
      <c r="X1784" s="82" t="n"/>
      <c r="Y1784" s="82" t="n"/>
      <c r="Z1784" s="82" t="n"/>
    </row>
    <row r="1785" ht="15.75" customHeight="1" s="83">
      <c r="A1785" s="82" t="n"/>
      <c r="B1785" s="44" t="n"/>
      <c r="C1785" s="82" t="n"/>
      <c r="D1785" s="82" t="n"/>
      <c r="E1785" s="81" t="n"/>
      <c r="F1785" s="82" t="n"/>
      <c r="G1785" s="82" t="n"/>
      <c r="H1785" s="82" t="n"/>
      <c r="I1785" s="82" t="n"/>
      <c r="J1785" s="82" t="n"/>
      <c r="K1785" s="82" t="n"/>
      <c r="L1785" s="82" t="n"/>
      <c r="M1785" s="82" t="n"/>
      <c r="N1785" s="82" t="n"/>
      <c r="O1785" s="82" t="n"/>
      <c r="P1785" s="82" t="n"/>
      <c r="Q1785" s="82" t="n"/>
      <c r="R1785" s="82" t="n"/>
      <c r="S1785" s="82" t="n"/>
      <c r="T1785" s="82" t="n"/>
      <c r="U1785" s="82" t="n"/>
      <c r="V1785" s="82" t="n"/>
      <c r="W1785" s="82" t="n"/>
      <c r="X1785" s="82" t="n"/>
      <c r="Y1785" s="82" t="n"/>
      <c r="Z1785" s="82" t="n"/>
    </row>
    <row r="1786" ht="15.75" customHeight="1" s="83">
      <c r="A1786" s="82" t="n"/>
      <c r="B1786" s="44" t="n"/>
      <c r="C1786" s="82" t="n"/>
      <c r="D1786" s="82" t="n"/>
      <c r="E1786" s="81" t="n"/>
      <c r="F1786" s="82" t="n"/>
      <c r="G1786" s="82" t="n"/>
      <c r="H1786" s="82" t="n"/>
      <c r="I1786" s="82" t="n"/>
      <c r="J1786" s="82" t="n"/>
      <c r="K1786" s="82" t="n"/>
      <c r="L1786" s="82" t="n"/>
      <c r="M1786" s="82" t="n"/>
      <c r="N1786" s="82" t="n"/>
      <c r="O1786" s="82" t="n"/>
      <c r="P1786" s="82" t="n"/>
      <c r="Q1786" s="82" t="n"/>
      <c r="R1786" s="82" t="n"/>
      <c r="S1786" s="82" t="n"/>
      <c r="T1786" s="82" t="n"/>
      <c r="U1786" s="82" t="n"/>
      <c r="V1786" s="82" t="n"/>
      <c r="W1786" s="82" t="n"/>
      <c r="X1786" s="82" t="n"/>
      <c r="Y1786" s="82" t="n"/>
      <c r="Z1786" s="82" t="n"/>
    </row>
    <row r="1787" ht="15.75" customHeight="1" s="83">
      <c r="A1787" s="82" t="n"/>
      <c r="B1787" s="44" t="n"/>
      <c r="C1787" s="82" t="n"/>
      <c r="D1787" s="82" t="n"/>
      <c r="E1787" s="81" t="n"/>
      <c r="F1787" s="82" t="n"/>
      <c r="G1787" s="82" t="n"/>
      <c r="H1787" s="82" t="n"/>
      <c r="I1787" s="82" t="n"/>
      <c r="J1787" s="82" t="n"/>
      <c r="K1787" s="82" t="n"/>
      <c r="L1787" s="82" t="n"/>
      <c r="M1787" s="82" t="n"/>
      <c r="N1787" s="82" t="n"/>
      <c r="O1787" s="82" t="n"/>
      <c r="P1787" s="82" t="n"/>
      <c r="Q1787" s="82" t="n"/>
      <c r="R1787" s="82" t="n"/>
      <c r="S1787" s="82" t="n"/>
      <c r="T1787" s="82" t="n"/>
      <c r="U1787" s="82" t="n"/>
      <c r="V1787" s="82" t="n"/>
      <c r="W1787" s="82" t="n"/>
      <c r="X1787" s="82" t="n"/>
      <c r="Y1787" s="82" t="n"/>
      <c r="Z1787" s="82" t="n"/>
    </row>
    <row r="1788" ht="15.75" customHeight="1" s="83">
      <c r="A1788" s="82" t="n"/>
      <c r="B1788" s="44" t="n"/>
      <c r="C1788" s="82" t="n"/>
      <c r="D1788" s="82" t="n"/>
      <c r="E1788" s="81" t="n"/>
      <c r="F1788" s="82" t="n"/>
      <c r="G1788" s="82" t="n"/>
      <c r="H1788" s="82" t="n"/>
      <c r="I1788" s="82" t="n"/>
      <c r="J1788" s="82" t="n"/>
      <c r="K1788" s="82" t="n"/>
      <c r="L1788" s="82" t="n"/>
      <c r="M1788" s="82" t="n"/>
      <c r="N1788" s="82" t="n"/>
      <c r="O1788" s="82" t="n"/>
      <c r="P1788" s="82" t="n"/>
      <c r="Q1788" s="82" t="n"/>
      <c r="R1788" s="82" t="n"/>
      <c r="S1788" s="82" t="n"/>
      <c r="T1788" s="82" t="n"/>
      <c r="U1788" s="82" t="n"/>
      <c r="V1788" s="82" t="n"/>
      <c r="W1788" s="82" t="n"/>
      <c r="X1788" s="82" t="n"/>
      <c r="Y1788" s="82" t="n"/>
      <c r="Z1788" s="82" t="n"/>
    </row>
    <row r="1789" ht="15.75" customHeight="1" s="83">
      <c r="A1789" s="82" t="n"/>
      <c r="B1789" s="44" t="n"/>
      <c r="C1789" s="82" t="n"/>
      <c r="D1789" s="82" t="n"/>
      <c r="E1789" s="81" t="n"/>
      <c r="F1789" s="82" t="n"/>
      <c r="G1789" s="82" t="n"/>
      <c r="H1789" s="82" t="n"/>
      <c r="I1789" s="82" t="n"/>
      <c r="J1789" s="82" t="n"/>
      <c r="K1789" s="82" t="n"/>
      <c r="L1789" s="82" t="n"/>
      <c r="M1789" s="82" t="n"/>
      <c r="N1789" s="82" t="n"/>
      <c r="O1789" s="82" t="n"/>
      <c r="P1789" s="82" t="n"/>
      <c r="Q1789" s="82" t="n"/>
      <c r="R1789" s="82" t="n"/>
      <c r="S1789" s="82" t="n"/>
      <c r="T1789" s="82" t="n"/>
      <c r="U1789" s="82" t="n"/>
      <c r="V1789" s="82" t="n"/>
      <c r="W1789" s="82" t="n"/>
      <c r="X1789" s="82" t="n"/>
      <c r="Y1789" s="82" t="n"/>
      <c r="Z1789" s="82" t="n"/>
    </row>
    <row r="1790" ht="15.75" customHeight="1" s="83">
      <c r="A1790" s="82" t="n"/>
      <c r="B1790" s="44" t="n"/>
      <c r="C1790" s="82" t="n"/>
      <c r="D1790" s="82" t="n"/>
      <c r="E1790" s="81" t="n"/>
      <c r="F1790" s="82" t="n"/>
      <c r="G1790" s="82" t="n"/>
      <c r="H1790" s="82" t="n"/>
      <c r="I1790" s="82" t="n"/>
      <c r="J1790" s="82" t="n"/>
      <c r="K1790" s="82" t="n"/>
      <c r="L1790" s="82" t="n"/>
      <c r="M1790" s="82" t="n"/>
      <c r="N1790" s="82" t="n"/>
      <c r="O1790" s="82" t="n"/>
      <c r="P1790" s="82" t="n"/>
      <c r="Q1790" s="82" t="n"/>
      <c r="R1790" s="82" t="n"/>
      <c r="S1790" s="82" t="n"/>
      <c r="T1790" s="82" t="n"/>
      <c r="U1790" s="82" t="n"/>
      <c r="V1790" s="82" t="n"/>
      <c r="W1790" s="82" t="n"/>
      <c r="X1790" s="82" t="n"/>
      <c r="Y1790" s="82" t="n"/>
      <c r="Z1790" s="82" t="n"/>
    </row>
    <row r="1791" ht="15.75" customHeight="1" s="83">
      <c r="A1791" s="82" t="n"/>
      <c r="B1791" s="44" t="n"/>
      <c r="C1791" s="82" t="n"/>
      <c r="D1791" s="82" t="n"/>
      <c r="E1791" s="81" t="n"/>
      <c r="F1791" s="82" t="n"/>
      <c r="G1791" s="82" t="n"/>
      <c r="H1791" s="82" t="n"/>
      <c r="I1791" s="82" t="n"/>
      <c r="J1791" s="82" t="n"/>
      <c r="K1791" s="82" t="n"/>
      <c r="L1791" s="82" t="n"/>
      <c r="M1791" s="82" t="n"/>
      <c r="N1791" s="82" t="n"/>
      <c r="O1791" s="82" t="n"/>
      <c r="P1791" s="82" t="n"/>
      <c r="Q1791" s="82" t="n"/>
      <c r="R1791" s="82" t="n"/>
      <c r="S1791" s="82" t="n"/>
      <c r="T1791" s="82" t="n"/>
      <c r="U1791" s="82" t="n"/>
      <c r="V1791" s="82" t="n"/>
      <c r="W1791" s="82" t="n"/>
      <c r="X1791" s="82" t="n"/>
      <c r="Y1791" s="82" t="n"/>
      <c r="Z1791" s="82" t="n"/>
    </row>
    <row r="1792" ht="15.75" customHeight="1" s="83">
      <c r="A1792" s="82" t="n"/>
      <c r="B1792" s="44" t="n"/>
      <c r="C1792" s="82" t="n"/>
      <c r="D1792" s="82" t="n"/>
      <c r="E1792" s="81" t="n"/>
      <c r="F1792" s="82" t="n"/>
      <c r="G1792" s="82" t="n"/>
      <c r="H1792" s="82" t="n"/>
      <c r="I1792" s="82" t="n"/>
      <c r="J1792" s="82" t="n"/>
      <c r="K1792" s="82" t="n"/>
      <c r="L1792" s="82" t="n"/>
      <c r="M1792" s="82" t="n"/>
      <c r="N1792" s="82" t="n"/>
      <c r="O1792" s="82" t="n"/>
      <c r="P1792" s="82" t="n"/>
      <c r="Q1792" s="82" t="n"/>
      <c r="R1792" s="82" t="n"/>
      <c r="S1792" s="82" t="n"/>
      <c r="T1792" s="82" t="n"/>
      <c r="U1792" s="82" t="n"/>
      <c r="V1792" s="82" t="n"/>
      <c r="W1792" s="82" t="n"/>
      <c r="X1792" s="82" t="n"/>
      <c r="Y1792" s="82" t="n"/>
      <c r="Z1792" s="82" t="n"/>
    </row>
    <row r="1793" ht="15.75" customHeight="1" s="83">
      <c r="A1793" s="82" t="n"/>
      <c r="B1793" s="44" t="n"/>
      <c r="C1793" s="82" t="n"/>
      <c r="D1793" s="82" t="n"/>
      <c r="E1793" s="81" t="n"/>
      <c r="F1793" s="82" t="n"/>
      <c r="G1793" s="82" t="n"/>
      <c r="H1793" s="82" t="n"/>
      <c r="I1793" s="82" t="n"/>
      <c r="J1793" s="82" t="n"/>
      <c r="K1793" s="82" t="n"/>
      <c r="L1793" s="82" t="n"/>
      <c r="M1793" s="82" t="n"/>
      <c r="N1793" s="82" t="n"/>
      <c r="O1793" s="82" t="n"/>
      <c r="P1793" s="82" t="n"/>
      <c r="Q1793" s="82" t="n"/>
      <c r="R1793" s="82" t="n"/>
      <c r="S1793" s="82" t="n"/>
      <c r="T1793" s="82" t="n"/>
      <c r="U1793" s="82" t="n"/>
      <c r="V1793" s="82" t="n"/>
      <c r="W1793" s="82" t="n"/>
      <c r="X1793" s="82" t="n"/>
      <c r="Y1793" s="82" t="n"/>
      <c r="Z1793" s="82" t="n"/>
    </row>
    <row r="1794" ht="15.75" customHeight="1" s="83">
      <c r="A1794" s="82" t="n"/>
      <c r="B1794" s="44" t="n"/>
      <c r="C1794" s="82" t="n"/>
      <c r="D1794" s="82" t="n"/>
      <c r="E1794" s="81" t="n"/>
      <c r="F1794" s="82" t="n"/>
      <c r="G1794" s="82" t="n"/>
      <c r="H1794" s="82" t="n"/>
      <c r="I1794" s="82" t="n"/>
      <c r="J1794" s="82" t="n"/>
      <c r="K1794" s="82" t="n"/>
      <c r="L1794" s="82" t="n"/>
      <c r="M1794" s="82" t="n"/>
      <c r="N1794" s="82" t="n"/>
      <c r="O1794" s="82" t="n"/>
      <c r="P1794" s="82" t="n"/>
      <c r="Q1794" s="82" t="n"/>
      <c r="R1794" s="82" t="n"/>
      <c r="S1794" s="82" t="n"/>
      <c r="T1794" s="82" t="n"/>
      <c r="U1794" s="82" t="n"/>
      <c r="V1794" s="82" t="n"/>
      <c r="W1794" s="82" t="n"/>
      <c r="X1794" s="82" t="n"/>
      <c r="Y1794" s="82" t="n"/>
      <c r="Z1794" s="82" t="n"/>
    </row>
    <row r="1795" ht="15.75" customHeight="1" s="83">
      <c r="A1795" s="82" t="n"/>
      <c r="B1795" s="44" t="n"/>
      <c r="C1795" s="82" t="n"/>
      <c r="D1795" s="82" t="n"/>
      <c r="E1795" s="81" t="n"/>
      <c r="F1795" s="82" t="n"/>
      <c r="G1795" s="82" t="n"/>
      <c r="H1795" s="82" t="n"/>
      <c r="I1795" s="82" t="n"/>
      <c r="J1795" s="82" t="n"/>
      <c r="K1795" s="82" t="n"/>
      <c r="L1795" s="82" t="n"/>
      <c r="M1795" s="82" t="n"/>
      <c r="N1795" s="82" t="n"/>
      <c r="O1795" s="82" t="n"/>
      <c r="P1795" s="82" t="n"/>
      <c r="Q1795" s="82" t="n"/>
      <c r="R1795" s="82" t="n"/>
      <c r="S1795" s="82" t="n"/>
      <c r="T1795" s="82" t="n"/>
      <c r="U1795" s="82" t="n"/>
      <c r="V1795" s="82" t="n"/>
      <c r="W1795" s="82" t="n"/>
      <c r="X1795" s="82" t="n"/>
      <c r="Y1795" s="82" t="n"/>
      <c r="Z1795" s="82" t="n"/>
    </row>
    <row r="1796" ht="15.75" customHeight="1" s="83">
      <c r="A1796" s="82" t="n"/>
      <c r="B1796" s="44" t="n"/>
      <c r="C1796" s="82" t="n"/>
      <c r="D1796" s="82" t="n"/>
      <c r="E1796" s="81" t="n"/>
      <c r="F1796" s="82" t="n"/>
      <c r="G1796" s="82" t="n"/>
      <c r="H1796" s="82" t="n"/>
      <c r="I1796" s="82" t="n"/>
      <c r="J1796" s="82" t="n"/>
      <c r="K1796" s="82" t="n"/>
      <c r="L1796" s="82" t="n"/>
      <c r="M1796" s="82" t="n"/>
      <c r="N1796" s="82" t="n"/>
      <c r="O1796" s="82" t="n"/>
      <c r="P1796" s="82" t="n"/>
      <c r="Q1796" s="82" t="n"/>
      <c r="R1796" s="82" t="n"/>
      <c r="S1796" s="82" t="n"/>
      <c r="T1796" s="82" t="n"/>
      <c r="U1796" s="82" t="n"/>
      <c r="V1796" s="82" t="n"/>
      <c r="W1796" s="82" t="n"/>
      <c r="X1796" s="82" t="n"/>
      <c r="Y1796" s="82" t="n"/>
      <c r="Z1796" s="82" t="n"/>
    </row>
    <row r="1797" ht="15.75" customHeight="1" s="83">
      <c r="A1797" s="82" t="n"/>
      <c r="B1797" s="44" t="n"/>
      <c r="C1797" s="82" t="n"/>
      <c r="D1797" s="82" t="n"/>
      <c r="E1797" s="81" t="n"/>
      <c r="F1797" s="82" t="n"/>
      <c r="G1797" s="82" t="n"/>
      <c r="H1797" s="82" t="n"/>
      <c r="I1797" s="82" t="n"/>
      <c r="J1797" s="82" t="n"/>
      <c r="K1797" s="82" t="n"/>
      <c r="L1797" s="82" t="n"/>
      <c r="M1797" s="82" t="n"/>
      <c r="N1797" s="82" t="n"/>
      <c r="O1797" s="82" t="n"/>
      <c r="P1797" s="82" t="n"/>
      <c r="Q1797" s="82" t="n"/>
      <c r="R1797" s="82" t="n"/>
      <c r="S1797" s="82" t="n"/>
      <c r="T1797" s="82" t="n"/>
      <c r="U1797" s="82" t="n"/>
      <c r="V1797" s="82" t="n"/>
      <c r="W1797" s="82" t="n"/>
      <c r="X1797" s="82" t="n"/>
      <c r="Y1797" s="82" t="n"/>
      <c r="Z1797" s="82" t="n"/>
    </row>
    <row r="1798" ht="15.75" customHeight="1" s="83">
      <c r="A1798" s="82" t="n"/>
      <c r="B1798" s="44" t="n"/>
      <c r="C1798" s="82" t="n"/>
      <c r="D1798" s="82" t="n"/>
      <c r="E1798" s="81" t="n"/>
      <c r="F1798" s="82" t="n"/>
      <c r="G1798" s="82" t="n"/>
      <c r="H1798" s="82" t="n"/>
      <c r="I1798" s="82" t="n"/>
      <c r="J1798" s="82" t="n"/>
      <c r="K1798" s="82" t="n"/>
      <c r="L1798" s="82" t="n"/>
      <c r="M1798" s="82" t="n"/>
      <c r="N1798" s="82" t="n"/>
      <c r="O1798" s="82" t="n"/>
      <c r="P1798" s="82" t="n"/>
      <c r="Q1798" s="82" t="n"/>
      <c r="R1798" s="82" t="n"/>
      <c r="S1798" s="82" t="n"/>
      <c r="T1798" s="82" t="n"/>
      <c r="U1798" s="82" t="n"/>
      <c r="V1798" s="82" t="n"/>
      <c r="W1798" s="82" t="n"/>
      <c r="X1798" s="82" t="n"/>
      <c r="Y1798" s="82" t="n"/>
      <c r="Z1798" s="82" t="n"/>
    </row>
    <row r="1799" ht="15.75" customHeight="1" s="83">
      <c r="A1799" s="82" t="n"/>
      <c r="B1799" s="44" t="n"/>
      <c r="C1799" s="82" t="n"/>
      <c r="D1799" s="82" t="n"/>
      <c r="E1799" s="81" t="n"/>
      <c r="F1799" s="82" t="n"/>
      <c r="G1799" s="82" t="n"/>
      <c r="H1799" s="82" t="n"/>
      <c r="I1799" s="82" t="n"/>
      <c r="J1799" s="82" t="n"/>
      <c r="K1799" s="82" t="n"/>
      <c r="L1799" s="82" t="n"/>
      <c r="M1799" s="82" t="n"/>
      <c r="N1799" s="82" t="n"/>
      <c r="O1799" s="82" t="n"/>
      <c r="P1799" s="82" t="n"/>
      <c r="Q1799" s="82" t="n"/>
      <c r="R1799" s="82" t="n"/>
      <c r="S1799" s="82" t="n"/>
      <c r="T1799" s="82" t="n"/>
      <c r="U1799" s="82" t="n"/>
      <c r="V1799" s="82" t="n"/>
      <c r="W1799" s="82" t="n"/>
      <c r="X1799" s="82" t="n"/>
      <c r="Y1799" s="82" t="n"/>
      <c r="Z1799" s="82" t="n"/>
    </row>
    <row r="1800" ht="15.75" customHeight="1" s="83">
      <c r="A1800" s="82" t="n"/>
      <c r="B1800" s="44" t="n"/>
      <c r="C1800" s="82" t="n"/>
      <c r="D1800" s="82" t="n"/>
      <c r="E1800" s="81" t="n"/>
      <c r="F1800" s="82" t="n"/>
      <c r="G1800" s="82" t="n"/>
      <c r="H1800" s="82" t="n"/>
      <c r="I1800" s="82" t="n"/>
      <c r="J1800" s="82" t="n"/>
      <c r="K1800" s="82" t="n"/>
      <c r="L1800" s="82" t="n"/>
      <c r="M1800" s="82" t="n"/>
      <c r="N1800" s="82" t="n"/>
      <c r="O1800" s="82" t="n"/>
      <c r="P1800" s="82" t="n"/>
      <c r="Q1800" s="82" t="n"/>
      <c r="R1800" s="82" t="n"/>
      <c r="S1800" s="82" t="n"/>
      <c r="T1800" s="82" t="n"/>
      <c r="U1800" s="82" t="n"/>
      <c r="V1800" s="82" t="n"/>
      <c r="W1800" s="82" t="n"/>
      <c r="X1800" s="82" t="n"/>
      <c r="Y1800" s="82" t="n"/>
      <c r="Z1800" s="82" t="n"/>
    </row>
    <row r="1801" ht="15.75" customHeight="1" s="83">
      <c r="A1801" s="82" t="n"/>
      <c r="B1801" s="44" t="n"/>
      <c r="C1801" s="82" t="n"/>
      <c r="D1801" s="82" t="n"/>
      <c r="E1801" s="81" t="n"/>
      <c r="F1801" s="82" t="n"/>
      <c r="G1801" s="82" t="n"/>
      <c r="H1801" s="82" t="n"/>
      <c r="I1801" s="82" t="n"/>
      <c r="J1801" s="82" t="n"/>
      <c r="K1801" s="82" t="n"/>
      <c r="L1801" s="82" t="n"/>
      <c r="M1801" s="82" t="n"/>
      <c r="N1801" s="82" t="n"/>
      <c r="O1801" s="82" t="n"/>
      <c r="P1801" s="82" t="n"/>
      <c r="Q1801" s="82" t="n"/>
      <c r="R1801" s="82" t="n"/>
      <c r="S1801" s="82" t="n"/>
      <c r="T1801" s="82" t="n"/>
      <c r="U1801" s="82" t="n"/>
      <c r="V1801" s="82" t="n"/>
      <c r="W1801" s="82" t="n"/>
      <c r="X1801" s="82" t="n"/>
      <c r="Y1801" s="82" t="n"/>
      <c r="Z1801" s="82" t="n"/>
    </row>
    <row r="1802" ht="15.75" customHeight="1" s="83">
      <c r="A1802" s="82" t="n"/>
      <c r="B1802" s="44" t="n"/>
      <c r="C1802" s="82" t="n"/>
      <c r="D1802" s="82" t="n"/>
      <c r="E1802" s="81" t="n"/>
      <c r="F1802" s="82" t="n"/>
      <c r="G1802" s="82" t="n"/>
      <c r="H1802" s="82" t="n"/>
      <c r="I1802" s="82" t="n"/>
      <c r="J1802" s="82" t="n"/>
      <c r="K1802" s="82" t="n"/>
      <c r="L1802" s="82" t="n"/>
      <c r="M1802" s="82" t="n"/>
      <c r="N1802" s="82" t="n"/>
      <c r="O1802" s="82" t="n"/>
      <c r="P1802" s="82" t="n"/>
      <c r="Q1802" s="82" t="n"/>
      <c r="R1802" s="82" t="n"/>
      <c r="S1802" s="82" t="n"/>
      <c r="T1802" s="82" t="n"/>
      <c r="U1802" s="82" t="n"/>
      <c r="V1802" s="82" t="n"/>
      <c r="W1802" s="82" t="n"/>
      <c r="X1802" s="82" t="n"/>
      <c r="Y1802" s="82" t="n"/>
      <c r="Z1802" s="82" t="n"/>
    </row>
    <row r="1803" ht="15.75" customHeight="1" s="83">
      <c r="A1803" s="82" t="n"/>
      <c r="B1803" s="44" t="n"/>
      <c r="C1803" s="82" t="n"/>
      <c r="D1803" s="82" t="n"/>
      <c r="E1803" s="81" t="n"/>
      <c r="F1803" s="82" t="n"/>
      <c r="G1803" s="82" t="n"/>
      <c r="H1803" s="82" t="n"/>
      <c r="I1803" s="82" t="n"/>
      <c r="J1803" s="82" t="n"/>
      <c r="K1803" s="82" t="n"/>
      <c r="L1803" s="82" t="n"/>
      <c r="M1803" s="82" t="n"/>
      <c r="N1803" s="82" t="n"/>
      <c r="O1803" s="82" t="n"/>
      <c r="P1803" s="82" t="n"/>
      <c r="Q1803" s="82" t="n"/>
      <c r="R1803" s="82" t="n"/>
      <c r="S1803" s="82" t="n"/>
      <c r="T1803" s="82" t="n"/>
      <c r="U1803" s="82" t="n"/>
      <c r="V1803" s="82" t="n"/>
      <c r="W1803" s="82" t="n"/>
      <c r="X1803" s="82" t="n"/>
      <c r="Y1803" s="82" t="n"/>
      <c r="Z1803" s="82" t="n"/>
    </row>
    <row r="1804" ht="15.75" customHeight="1" s="83">
      <c r="A1804" s="82" t="n"/>
      <c r="B1804" s="44" t="n"/>
      <c r="C1804" s="82" t="n"/>
      <c r="D1804" s="82" t="n"/>
      <c r="E1804" s="81" t="n"/>
      <c r="F1804" s="82" t="n"/>
      <c r="G1804" s="82" t="n"/>
      <c r="H1804" s="82" t="n"/>
      <c r="I1804" s="82" t="n"/>
      <c r="J1804" s="82" t="n"/>
      <c r="K1804" s="82" t="n"/>
      <c r="L1804" s="82" t="n"/>
      <c r="M1804" s="82" t="n"/>
      <c r="N1804" s="82" t="n"/>
      <c r="O1804" s="82" t="n"/>
      <c r="P1804" s="82" t="n"/>
      <c r="Q1804" s="82" t="n"/>
      <c r="R1804" s="82" t="n"/>
      <c r="S1804" s="82" t="n"/>
      <c r="T1804" s="82" t="n"/>
      <c r="U1804" s="82" t="n"/>
      <c r="V1804" s="82" t="n"/>
      <c r="W1804" s="82" t="n"/>
      <c r="X1804" s="82" t="n"/>
      <c r="Y1804" s="82" t="n"/>
      <c r="Z1804" s="82" t="n"/>
    </row>
    <row r="1805" ht="15.75" customHeight="1" s="83">
      <c r="A1805" s="82" t="n"/>
      <c r="B1805" s="44" t="n"/>
      <c r="C1805" s="82" t="n"/>
      <c r="D1805" s="82" t="n"/>
      <c r="E1805" s="81" t="n"/>
      <c r="F1805" s="82" t="n"/>
      <c r="G1805" s="82" t="n"/>
      <c r="H1805" s="82" t="n"/>
      <c r="I1805" s="82" t="n"/>
      <c r="J1805" s="82" t="n"/>
      <c r="K1805" s="82" t="n"/>
      <c r="L1805" s="82" t="n"/>
      <c r="M1805" s="82" t="n"/>
      <c r="N1805" s="82" t="n"/>
      <c r="O1805" s="82" t="n"/>
      <c r="P1805" s="82" t="n"/>
      <c r="Q1805" s="82" t="n"/>
      <c r="R1805" s="82" t="n"/>
      <c r="S1805" s="82" t="n"/>
      <c r="T1805" s="82" t="n"/>
      <c r="U1805" s="82" t="n"/>
      <c r="V1805" s="82" t="n"/>
      <c r="W1805" s="82" t="n"/>
      <c r="X1805" s="82" t="n"/>
      <c r="Y1805" s="82" t="n"/>
      <c r="Z1805" s="82" t="n"/>
    </row>
    <row r="1806" ht="15.75" customHeight="1" s="83">
      <c r="A1806" s="82" t="n"/>
      <c r="B1806" s="44" t="n"/>
      <c r="C1806" s="82" t="n"/>
      <c r="D1806" s="82" t="n"/>
      <c r="E1806" s="81" t="n"/>
      <c r="F1806" s="82" t="n"/>
      <c r="G1806" s="82" t="n"/>
      <c r="H1806" s="82" t="n"/>
      <c r="I1806" s="82" t="n"/>
      <c r="J1806" s="82" t="n"/>
      <c r="K1806" s="82" t="n"/>
      <c r="L1806" s="82" t="n"/>
      <c r="M1806" s="82" t="n"/>
      <c r="N1806" s="82" t="n"/>
      <c r="O1806" s="82" t="n"/>
      <c r="P1806" s="82" t="n"/>
      <c r="Q1806" s="82" t="n"/>
      <c r="R1806" s="82" t="n"/>
      <c r="S1806" s="82" t="n"/>
      <c r="T1806" s="82" t="n"/>
      <c r="U1806" s="82" t="n"/>
      <c r="V1806" s="82" t="n"/>
      <c r="W1806" s="82" t="n"/>
      <c r="X1806" s="82" t="n"/>
      <c r="Y1806" s="82" t="n"/>
      <c r="Z1806" s="82" t="n"/>
    </row>
    <row r="1807" ht="15.75" customHeight="1" s="83">
      <c r="A1807" s="82" t="n"/>
      <c r="B1807" s="44" t="n"/>
      <c r="C1807" s="82" t="n"/>
      <c r="D1807" s="82" t="n"/>
      <c r="E1807" s="81" t="n"/>
      <c r="F1807" s="82" t="n"/>
      <c r="G1807" s="82" t="n"/>
      <c r="H1807" s="82" t="n"/>
      <c r="I1807" s="82" t="n"/>
      <c r="J1807" s="82" t="n"/>
      <c r="K1807" s="82" t="n"/>
      <c r="L1807" s="82" t="n"/>
      <c r="M1807" s="82" t="n"/>
      <c r="N1807" s="82" t="n"/>
      <c r="O1807" s="82" t="n"/>
      <c r="P1807" s="82" t="n"/>
      <c r="Q1807" s="82" t="n"/>
      <c r="R1807" s="82" t="n"/>
      <c r="S1807" s="82" t="n"/>
      <c r="T1807" s="82" t="n"/>
      <c r="U1807" s="82" t="n"/>
      <c r="V1807" s="82" t="n"/>
      <c r="W1807" s="82" t="n"/>
      <c r="X1807" s="82" t="n"/>
      <c r="Y1807" s="82" t="n"/>
      <c r="Z1807" s="82" t="n"/>
    </row>
    <row r="1808" ht="15.75" customHeight="1" s="83">
      <c r="A1808" s="82" t="n"/>
      <c r="B1808" s="44" t="n"/>
      <c r="C1808" s="82" t="n"/>
      <c r="D1808" s="82" t="n"/>
      <c r="E1808" s="81" t="n"/>
      <c r="F1808" s="82" t="n"/>
      <c r="G1808" s="82" t="n"/>
      <c r="H1808" s="82" t="n"/>
      <c r="I1808" s="82" t="n"/>
      <c r="J1808" s="82" t="n"/>
      <c r="K1808" s="82" t="n"/>
      <c r="L1808" s="82" t="n"/>
      <c r="M1808" s="82" t="n"/>
      <c r="N1808" s="82" t="n"/>
      <c r="O1808" s="82" t="n"/>
      <c r="P1808" s="82" t="n"/>
      <c r="Q1808" s="82" t="n"/>
      <c r="R1808" s="82" t="n"/>
      <c r="S1808" s="82" t="n"/>
      <c r="T1808" s="82" t="n"/>
      <c r="U1808" s="82" t="n"/>
      <c r="V1808" s="82" t="n"/>
      <c r="W1808" s="82" t="n"/>
      <c r="X1808" s="82" t="n"/>
      <c r="Y1808" s="82" t="n"/>
      <c r="Z1808" s="82" t="n"/>
    </row>
    <row r="1809" ht="15.75" customHeight="1" s="83">
      <c r="A1809" s="82" t="n"/>
      <c r="B1809" s="44" t="n"/>
      <c r="C1809" s="82" t="n"/>
      <c r="D1809" s="82" t="n"/>
      <c r="E1809" s="81" t="n"/>
      <c r="F1809" s="82" t="n"/>
      <c r="G1809" s="82" t="n"/>
      <c r="H1809" s="82" t="n"/>
      <c r="I1809" s="82" t="n"/>
      <c r="J1809" s="82" t="n"/>
      <c r="K1809" s="82" t="n"/>
      <c r="L1809" s="82" t="n"/>
      <c r="M1809" s="82" t="n"/>
      <c r="N1809" s="82" t="n"/>
      <c r="O1809" s="82" t="n"/>
      <c r="P1809" s="82" t="n"/>
      <c r="Q1809" s="82" t="n"/>
      <c r="R1809" s="82" t="n"/>
      <c r="S1809" s="82" t="n"/>
      <c r="T1809" s="82" t="n"/>
      <c r="U1809" s="82" t="n"/>
      <c r="V1809" s="82" t="n"/>
      <c r="W1809" s="82" t="n"/>
      <c r="X1809" s="82" t="n"/>
      <c r="Y1809" s="82" t="n"/>
      <c r="Z1809" s="82" t="n"/>
    </row>
    <row r="1810" ht="15.75" customHeight="1" s="83">
      <c r="A1810" s="82" t="n"/>
      <c r="B1810" s="44" t="n"/>
      <c r="C1810" s="82" t="n"/>
      <c r="D1810" s="82" t="n"/>
      <c r="E1810" s="81" t="n"/>
      <c r="F1810" s="82" t="n"/>
      <c r="G1810" s="82" t="n"/>
      <c r="H1810" s="82" t="n"/>
      <c r="I1810" s="82" t="n"/>
      <c r="J1810" s="82" t="n"/>
      <c r="K1810" s="82" t="n"/>
      <c r="L1810" s="82" t="n"/>
      <c r="M1810" s="82" t="n"/>
      <c r="N1810" s="82" t="n"/>
      <c r="O1810" s="82" t="n"/>
      <c r="P1810" s="82" t="n"/>
      <c r="Q1810" s="82" t="n"/>
      <c r="R1810" s="82" t="n"/>
      <c r="S1810" s="82" t="n"/>
      <c r="T1810" s="82" t="n"/>
      <c r="U1810" s="82" t="n"/>
      <c r="V1810" s="82" t="n"/>
      <c r="W1810" s="82" t="n"/>
      <c r="X1810" s="82" t="n"/>
      <c r="Y1810" s="82" t="n"/>
      <c r="Z1810" s="82" t="n"/>
    </row>
    <row r="1811" ht="15.75" customHeight="1" s="83">
      <c r="A1811" s="82" t="n"/>
      <c r="B1811" s="44" t="n"/>
      <c r="C1811" s="82" t="n"/>
      <c r="D1811" s="82" t="n"/>
      <c r="E1811" s="81" t="n"/>
      <c r="F1811" s="82" t="n"/>
      <c r="G1811" s="82" t="n"/>
      <c r="H1811" s="82" t="n"/>
      <c r="I1811" s="82" t="n"/>
      <c r="J1811" s="82" t="n"/>
      <c r="K1811" s="82" t="n"/>
      <c r="L1811" s="82" t="n"/>
      <c r="M1811" s="82" t="n"/>
      <c r="N1811" s="82" t="n"/>
      <c r="O1811" s="82" t="n"/>
      <c r="P1811" s="82" t="n"/>
      <c r="Q1811" s="82" t="n"/>
      <c r="R1811" s="82" t="n"/>
      <c r="S1811" s="82" t="n"/>
      <c r="T1811" s="82" t="n"/>
      <c r="U1811" s="82" t="n"/>
      <c r="V1811" s="82" t="n"/>
      <c r="W1811" s="82" t="n"/>
      <c r="X1811" s="82" t="n"/>
      <c r="Y1811" s="82" t="n"/>
      <c r="Z1811" s="82" t="n"/>
    </row>
    <row r="1812" ht="15.75" customHeight="1" s="83">
      <c r="A1812" s="82" t="n"/>
      <c r="B1812" s="44" t="n"/>
      <c r="C1812" s="82" t="n"/>
      <c r="D1812" s="82" t="n"/>
      <c r="E1812" s="81" t="n"/>
      <c r="F1812" s="82" t="n"/>
      <c r="G1812" s="82" t="n"/>
      <c r="H1812" s="82" t="n"/>
      <c r="I1812" s="82" t="n"/>
      <c r="J1812" s="82" t="n"/>
      <c r="K1812" s="82" t="n"/>
      <c r="L1812" s="82" t="n"/>
      <c r="M1812" s="82" t="n"/>
      <c r="N1812" s="82" t="n"/>
      <c r="O1812" s="82" t="n"/>
      <c r="P1812" s="82" t="n"/>
      <c r="Q1812" s="82" t="n"/>
      <c r="R1812" s="82" t="n"/>
      <c r="S1812" s="82" t="n"/>
      <c r="T1812" s="82" t="n"/>
      <c r="U1812" s="82" t="n"/>
      <c r="V1812" s="82" t="n"/>
      <c r="W1812" s="82" t="n"/>
      <c r="X1812" s="82" t="n"/>
      <c r="Y1812" s="82" t="n"/>
      <c r="Z1812" s="82" t="n"/>
    </row>
    <row r="1813" ht="15.75" customHeight="1" s="83">
      <c r="A1813" s="82" t="n"/>
      <c r="B1813" s="44" t="n"/>
      <c r="C1813" s="82" t="n"/>
      <c r="D1813" s="82" t="n"/>
      <c r="E1813" s="81" t="n"/>
      <c r="F1813" s="82" t="n"/>
      <c r="G1813" s="82" t="n"/>
      <c r="H1813" s="82" t="n"/>
      <c r="I1813" s="82" t="n"/>
      <c r="J1813" s="82" t="n"/>
      <c r="K1813" s="82" t="n"/>
      <c r="L1813" s="82" t="n"/>
      <c r="M1813" s="82" t="n"/>
      <c r="N1813" s="82" t="n"/>
      <c r="O1813" s="82" t="n"/>
      <c r="P1813" s="82" t="n"/>
      <c r="Q1813" s="82" t="n"/>
      <c r="R1813" s="82" t="n"/>
      <c r="S1813" s="82" t="n"/>
      <c r="T1813" s="82" t="n"/>
      <c r="U1813" s="82" t="n"/>
      <c r="V1813" s="82" t="n"/>
      <c r="W1813" s="82" t="n"/>
      <c r="X1813" s="82" t="n"/>
      <c r="Y1813" s="82" t="n"/>
      <c r="Z1813" s="82" t="n"/>
    </row>
    <row r="1814" ht="15.75" customHeight="1" s="83">
      <c r="A1814" s="82" t="n"/>
      <c r="B1814" s="44" t="n"/>
      <c r="C1814" s="82" t="n"/>
      <c r="D1814" s="82" t="n"/>
      <c r="E1814" s="81" t="n"/>
      <c r="F1814" s="82" t="n"/>
      <c r="G1814" s="82" t="n"/>
      <c r="H1814" s="82" t="n"/>
      <c r="I1814" s="82" t="n"/>
      <c r="J1814" s="82" t="n"/>
      <c r="K1814" s="82" t="n"/>
      <c r="L1814" s="82" t="n"/>
      <c r="M1814" s="82" t="n"/>
      <c r="N1814" s="82" t="n"/>
      <c r="O1814" s="82" t="n"/>
      <c r="P1814" s="82" t="n"/>
      <c r="Q1814" s="82" t="n"/>
      <c r="R1814" s="82" t="n"/>
      <c r="S1814" s="82" t="n"/>
      <c r="T1814" s="82" t="n"/>
      <c r="U1814" s="82" t="n"/>
      <c r="V1814" s="82" t="n"/>
      <c r="W1814" s="82" t="n"/>
      <c r="X1814" s="82" t="n"/>
      <c r="Y1814" s="82" t="n"/>
      <c r="Z1814" s="82" t="n"/>
    </row>
    <row r="1815" ht="15.75" customHeight="1" s="83">
      <c r="A1815" s="82" t="n"/>
      <c r="B1815" s="44" t="n"/>
      <c r="C1815" s="82" t="n"/>
      <c r="D1815" s="82" t="n"/>
      <c r="E1815" s="81" t="n"/>
      <c r="F1815" s="82" t="n"/>
      <c r="G1815" s="82" t="n"/>
      <c r="H1815" s="82" t="n"/>
      <c r="I1815" s="82" t="n"/>
      <c r="J1815" s="82" t="n"/>
      <c r="K1815" s="82" t="n"/>
      <c r="L1815" s="82" t="n"/>
      <c r="M1815" s="82" t="n"/>
      <c r="N1815" s="82" t="n"/>
      <c r="O1815" s="82" t="n"/>
      <c r="P1815" s="82" t="n"/>
      <c r="Q1815" s="82" t="n"/>
      <c r="R1815" s="82" t="n"/>
      <c r="S1815" s="82" t="n"/>
      <c r="T1815" s="82" t="n"/>
      <c r="U1815" s="82" t="n"/>
      <c r="V1815" s="82" t="n"/>
      <c r="W1815" s="82" t="n"/>
      <c r="X1815" s="82" t="n"/>
      <c r="Y1815" s="82" t="n"/>
      <c r="Z1815" s="82" t="n"/>
    </row>
    <row r="1816" ht="15.75" customHeight="1" s="83">
      <c r="A1816" s="82" t="n"/>
      <c r="B1816" s="44" t="n"/>
      <c r="C1816" s="82" t="n"/>
      <c r="D1816" s="82" t="n"/>
      <c r="E1816" s="81" t="n"/>
      <c r="F1816" s="82" t="n"/>
      <c r="G1816" s="82" t="n"/>
      <c r="H1816" s="82" t="n"/>
      <c r="I1816" s="82" t="n"/>
      <c r="J1816" s="82" t="n"/>
      <c r="K1816" s="82" t="n"/>
      <c r="L1816" s="82" t="n"/>
      <c r="M1816" s="82" t="n"/>
      <c r="N1816" s="82" t="n"/>
      <c r="O1816" s="82" t="n"/>
      <c r="P1816" s="82" t="n"/>
      <c r="Q1816" s="82" t="n"/>
      <c r="R1816" s="82" t="n"/>
      <c r="S1816" s="82" t="n"/>
      <c r="T1816" s="82" t="n"/>
      <c r="U1816" s="82" t="n"/>
      <c r="V1816" s="82" t="n"/>
      <c r="W1816" s="82" t="n"/>
      <c r="X1816" s="82" t="n"/>
      <c r="Y1816" s="82" t="n"/>
      <c r="Z1816" s="82" t="n"/>
    </row>
    <row r="1817" ht="15.75" customHeight="1" s="83">
      <c r="A1817" s="82" t="n"/>
      <c r="B1817" s="44" t="n"/>
      <c r="C1817" s="82" t="n"/>
      <c r="D1817" s="82" t="n"/>
      <c r="E1817" s="81" t="n"/>
      <c r="F1817" s="82" t="n"/>
      <c r="G1817" s="82" t="n"/>
      <c r="H1817" s="82" t="n"/>
      <c r="I1817" s="82" t="n"/>
      <c r="J1817" s="82" t="n"/>
      <c r="K1817" s="82" t="n"/>
      <c r="L1817" s="82" t="n"/>
      <c r="M1817" s="82" t="n"/>
      <c r="N1817" s="82" t="n"/>
      <c r="O1817" s="82" t="n"/>
      <c r="P1817" s="82" t="n"/>
      <c r="Q1817" s="82" t="n"/>
      <c r="R1817" s="82" t="n"/>
      <c r="S1817" s="82" t="n"/>
      <c r="T1817" s="82" t="n"/>
      <c r="U1817" s="82" t="n"/>
      <c r="V1817" s="82" t="n"/>
      <c r="W1817" s="82" t="n"/>
      <c r="X1817" s="82" t="n"/>
      <c r="Y1817" s="82" t="n"/>
      <c r="Z1817" s="82" t="n"/>
    </row>
    <row r="1818" ht="15.75" customHeight="1" s="83">
      <c r="A1818" s="82" t="n"/>
      <c r="B1818" s="44" t="n"/>
      <c r="C1818" s="82" t="n"/>
      <c r="D1818" s="82" t="n"/>
      <c r="E1818" s="81" t="n"/>
      <c r="F1818" s="82" t="n"/>
      <c r="G1818" s="82" t="n"/>
      <c r="H1818" s="82" t="n"/>
      <c r="I1818" s="82" t="n"/>
      <c r="J1818" s="82" t="n"/>
      <c r="K1818" s="82" t="n"/>
      <c r="L1818" s="82" t="n"/>
      <c r="M1818" s="82" t="n"/>
      <c r="N1818" s="82" t="n"/>
      <c r="O1818" s="82" t="n"/>
      <c r="P1818" s="82" t="n"/>
      <c r="Q1818" s="82" t="n"/>
      <c r="R1818" s="82" t="n"/>
      <c r="S1818" s="82" t="n"/>
      <c r="T1818" s="82" t="n"/>
      <c r="U1818" s="82" t="n"/>
      <c r="V1818" s="82" t="n"/>
      <c r="W1818" s="82" t="n"/>
      <c r="X1818" s="82" t="n"/>
      <c r="Y1818" s="82" t="n"/>
      <c r="Z1818" s="82" t="n"/>
    </row>
    <row r="1819" ht="15.75" customHeight="1" s="83">
      <c r="A1819" s="82" t="n"/>
      <c r="B1819" s="44" t="n"/>
      <c r="C1819" s="82" t="n"/>
      <c r="D1819" s="82" t="n"/>
      <c r="E1819" s="81" t="n"/>
      <c r="F1819" s="82" t="n"/>
      <c r="G1819" s="82" t="n"/>
      <c r="H1819" s="82" t="n"/>
      <c r="I1819" s="82" t="n"/>
      <c r="J1819" s="82" t="n"/>
      <c r="K1819" s="82" t="n"/>
      <c r="L1819" s="82" t="n"/>
      <c r="M1819" s="82" t="n"/>
      <c r="N1819" s="82" t="n"/>
      <c r="O1819" s="82" t="n"/>
      <c r="P1819" s="82" t="n"/>
      <c r="Q1819" s="82" t="n"/>
      <c r="R1819" s="82" t="n"/>
      <c r="S1819" s="82" t="n"/>
      <c r="T1819" s="82" t="n"/>
      <c r="U1819" s="82" t="n"/>
      <c r="V1819" s="82" t="n"/>
      <c r="W1819" s="82" t="n"/>
      <c r="X1819" s="82" t="n"/>
      <c r="Y1819" s="82" t="n"/>
      <c r="Z1819" s="82" t="n"/>
    </row>
    <row r="1820" ht="15.75" customHeight="1" s="83">
      <c r="A1820" s="82" t="n"/>
      <c r="B1820" s="44" t="n"/>
      <c r="C1820" s="82" t="n"/>
      <c r="D1820" s="82" t="n"/>
      <c r="E1820" s="81" t="n"/>
      <c r="F1820" s="82" t="n"/>
      <c r="G1820" s="82" t="n"/>
      <c r="H1820" s="82" t="n"/>
      <c r="I1820" s="82" t="n"/>
      <c r="J1820" s="82" t="n"/>
      <c r="K1820" s="82" t="n"/>
      <c r="L1820" s="82" t="n"/>
      <c r="M1820" s="82" t="n"/>
      <c r="N1820" s="82" t="n"/>
      <c r="O1820" s="82" t="n"/>
      <c r="P1820" s="82" t="n"/>
      <c r="Q1820" s="82" t="n"/>
      <c r="R1820" s="82" t="n"/>
      <c r="S1820" s="82" t="n"/>
      <c r="T1820" s="82" t="n"/>
      <c r="U1820" s="82" t="n"/>
      <c r="V1820" s="82" t="n"/>
      <c r="W1820" s="82" t="n"/>
      <c r="X1820" s="82" t="n"/>
      <c r="Y1820" s="82" t="n"/>
      <c r="Z1820" s="82" t="n"/>
    </row>
    <row r="1821" ht="15.75" customHeight="1" s="83">
      <c r="A1821" s="82" t="n"/>
      <c r="B1821" s="44" t="n"/>
      <c r="C1821" s="82" t="n"/>
      <c r="D1821" s="82" t="n"/>
      <c r="E1821" s="81" t="n"/>
      <c r="F1821" s="82" t="n"/>
      <c r="G1821" s="82" t="n"/>
      <c r="H1821" s="82" t="n"/>
      <c r="I1821" s="82" t="n"/>
      <c r="J1821" s="82" t="n"/>
      <c r="K1821" s="82" t="n"/>
      <c r="L1821" s="82" t="n"/>
      <c r="M1821" s="82" t="n"/>
      <c r="N1821" s="82" t="n"/>
      <c r="O1821" s="82" t="n"/>
      <c r="P1821" s="82" t="n"/>
      <c r="Q1821" s="82" t="n"/>
      <c r="R1821" s="82" t="n"/>
      <c r="S1821" s="82" t="n"/>
      <c r="T1821" s="82" t="n"/>
      <c r="U1821" s="82" t="n"/>
      <c r="V1821" s="82" t="n"/>
      <c r="W1821" s="82" t="n"/>
      <c r="X1821" s="82" t="n"/>
      <c r="Y1821" s="82" t="n"/>
      <c r="Z1821" s="82" t="n"/>
    </row>
    <row r="1822" ht="15.75" customHeight="1" s="83">
      <c r="A1822" s="82" t="n"/>
      <c r="B1822" s="44" t="n"/>
      <c r="C1822" s="82" t="n"/>
      <c r="D1822" s="82" t="n"/>
      <c r="E1822" s="81" t="n"/>
      <c r="F1822" s="82" t="n"/>
      <c r="G1822" s="82" t="n"/>
      <c r="H1822" s="82" t="n"/>
      <c r="I1822" s="82" t="n"/>
      <c r="J1822" s="82" t="n"/>
      <c r="K1822" s="82" t="n"/>
      <c r="L1822" s="82" t="n"/>
      <c r="M1822" s="82" t="n"/>
      <c r="N1822" s="82" t="n"/>
      <c r="O1822" s="82" t="n"/>
      <c r="P1822" s="82" t="n"/>
      <c r="Q1822" s="82" t="n"/>
      <c r="R1822" s="82" t="n"/>
      <c r="S1822" s="82" t="n"/>
      <c r="T1822" s="82" t="n"/>
      <c r="U1822" s="82" t="n"/>
      <c r="V1822" s="82" t="n"/>
      <c r="W1822" s="82" t="n"/>
      <c r="X1822" s="82" t="n"/>
      <c r="Y1822" s="82" t="n"/>
      <c r="Z1822" s="82" t="n"/>
    </row>
    <row r="1823" ht="15.75" customHeight="1" s="83">
      <c r="A1823" s="82" t="n"/>
      <c r="B1823" s="44" t="n"/>
      <c r="C1823" s="82" t="n"/>
      <c r="D1823" s="82" t="n"/>
      <c r="E1823" s="81" t="n"/>
      <c r="F1823" s="82" t="n"/>
      <c r="G1823" s="82" t="n"/>
      <c r="H1823" s="82" t="n"/>
      <c r="I1823" s="82" t="n"/>
      <c r="J1823" s="82" t="n"/>
      <c r="K1823" s="82" t="n"/>
      <c r="L1823" s="82" t="n"/>
      <c r="M1823" s="82" t="n"/>
      <c r="N1823" s="82" t="n"/>
      <c r="O1823" s="82" t="n"/>
      <c r="P1823" s="82" t="n"/>
      <c r="Q1823" s="82" t="n"/>
      <c r="R1823" s="82" t="n"/>
      <c r="S1823" s="82" t="n"/>
      <c r="T1823" s="82" t="n"/>
      <c r="U1823" s="82" t="n"/>
      <c r="V1823" s="82" t="n"/>
      <c r="W1823" s="82" t="n"/>
      <c r="X1823" s="82" t="n"/>
      <c r="Y1823" s="82" t="n"/>
      <c r="Z1823" s="82" t="n"/>
    </row>
    <row r="1824" ht="15.75" customHeight="1" s="83">
      <c r="A1824" s="82" t="n"/>
      <c r="B1824" s="44" t="n"/>
      <c r="C1824" s="82" t="n"/>
      <c r="D1824" s="82" t="n"/>
      <c r="E1824" s="81" t="n"/>
      <c r="F1824" s="82" t="n"/>
      <c r="G1824" s="82" t="n"/>
      <c r="H1824" s="82" t="n"/>
      <c r="I1824" s="82" t="n"/>
      <c r="J1824" s="82" t="n"/>
      <c r="K1824" s="82" t="n"/>
      <c r="L1824" s="82" t="n"/>
      <c r="M1824" s="82" t="n"/>
      <c r="N1824" s="82" t="n"/>
      <c r="O1824" s="82" t="n"/>
      <c r="P1824" s="82" t="n"/>
      <c r="Q1824" s="82" t="n"/>
      <c r="R1824" s="82" t="n"/>
      <c r="S1824" s="82" t="n"/>
      <c r="T1824" s="82" t="n"/>
      <c r="U1824" s="82" t="n"/>
      <c r="V1824" s="82" t="n"/>
      <c r="W1824" s="82" t="n"/>
      <c r="X1824" s="82" t="n"/>
      <c r="Y1824" s="82" t="n"/>
      <c r="Z1824" s="82" t="n"/>
    </row>
    <row r="1825" ht="15.75" customHeight="1" s="83">
      <c r="A1825" s="82" t="n"/>
      <c r="B1825" s="44" t="n"/>
      <c r="C1825" s="82" t="n"/>
      <c r="D1825" s="82" t="n"/>
      <c r="E1825" s="81" t="n"/>
      <c r="F1825" s="82" t="n"/>
      <c r="G1825" s="82" t="n"/>
      <c r="H1825" s="82" t="n"/>
      <c r="I1825" s="82" t="n"/>
      <c r="J1825" s="82" t="n"/>
      <c r="K1825" s="82" t="n"/>
      <c r="L1825" s="82" t="n"/>
      <c r="M1825" s="82" t="n"/>
      <c r="N1825" s="82" t="n"/>
      <c r="O1825" s="82" t="n"/>
      <c r="P1825" s="82" t="n"/>
      <c r="Q1825" s="82" t="n"/>
      <c r="R1825" s="82" t="n"/>
      <c r="S1825" s="82" t="n"/>
      <c r="T1825" s="82" t="n"/>
      <c r="U1825" s="82" t="n"/>
      <c r="V1825" s="82" t="n"/>
      <c r="W1825" s="82" t="n"/>
      <c r="X1825" s="82" t="n"/>
      <c r="Y1825" s="82" t="n"/>
      <c r="Z1825" s="82" t="n"/>
    </row>
    <row r="1826" ht="15.75" customHeight="1" s="83">
      <c r="A1826" s="82" t="n"/>
      <c r="B1826" s="44" t="n"/>
      <c r="C1826" s="82" t="n"/>
      <c r="D1826" s="82" t="n"/>
      <c r="E1826" s="81" t="n"/>
      <c r="F1826" s="82" t="n"/>
      <c r="G1826" s="82" t="n"/>
      <c r="H1826" s="82" t="n"/>
      <c r="I1826" s="82" t="n"/>
      <c r="J1826" s="82" t="n"/>
      <c r="K1826" s="82" t="n"/>
      <c r="L1826" s="82" t="n"/>
      <c r="M1826" s="82" t="n"/>
      <c r="N1826" s="82" t="n"/>
      <c r="O1826" s="82" t="n"/>
      <c r="P1826" s="82" t="n"/>
      <c r="Q1826" s="82" t="n"/>
      <c r="R1826" s="82" t="n"/>
      <c r="S1826" s="82" t="n"/>
      <c r="T1826" s="82" t="n"/>
      <c r="U1826" s="82" t="n"/>
      <c r="V1826" s="82" t="n"/>
      <c r="W1826" s="82" t="n"/>
      <c r="X1826" s="82" t="n"/>
      <c r="Y1826" s="82" t="n"/>
      <c r="Z1826" s="82" t="n"/>
    </row>
    <row r="1827" ht="15.75" customHeight="1" s="83">
      <c r="A1827" s="82" t="n"/>
      <c r="B1827" s="44" t="n"/>
      <c r="C1827" s="82" t="n"/>
      <c r="D1827" s="82" t="n"/>
      <c r="E1827" s="81" t="n"/>
      <c r="F1827" s="82" t="n"/>
      <c r="G1827" s="82" t="n"/>
      <c r="H1827" s="82" t="n"/>
      <c r="I1827" s="82" t="n"/>
      <c r="J1827" s="82" t="n"/>
      <c r="K1827" s="82" t="n"/>
      <c r="L1827" s="82" t="n"/>
      <c r="M1827" s="82" t="n"/>
      <c r="N1827" s="82" t="n"/>
      <c r="O1827" s="82" t="n"/>
      <c r="P1827" s="82" t="n"/>
      <c r="Q1827" s="82" t="n"/>
      <c r="R1827" s="82" t="n"/>
      <c r="S1827" s="82" t="n"/>
      <c r="T1827" s="82" t="n"/>
      <c r="U1827" s="82" t="n"/>
      <c r="V1827" s="82" t="n"/>
      <c r="W1827" s="82" t="n"/>
      <c r="X1827" s="82" t="n"/>
      <c r="Y1827" s="82" t="n"/>
      <c r="Z1827" s="82" t="n"/>
    </row>
    <row r="1828" ht="15.75" customHeight="1" s="83">
      <c r="A1828" s="82" t="n"/>
      <c r="B1828" s="44" t="n"/>
      <c r="C1828" s="82" t="n"/>
      <c r="D1828" s="82" t="n"/>
      <c r="E1828" s="81" t="n"/>
      <c r="F1828" s="82" t="n"/>
      <c r="G1828" s="82" t="n"/>
      <c r="H1828" s="82" t="n"/>
      <c r="I1828" s="82" t="n"/>
      <c r="J1828" s="82" t="n"/>
      <c r="K1828" s="82" t="n"/>
      <c r="L1828" s="82" t="n"/>
      <c r="M1828" s="82" t="n"/>
      <c r="N1828" s="82" t="n"/>
      <c r="O1828" s="82" t="n"/>
      <c r="P1828" s="82" t="n"/>
      <c r="Q1828" s="82" t="n"/>
      <c r="R1828" s="82" t="n"/>
      <c r="S1828" s="82" t="n"/>
      <c r="T1828" s="82" t="n"/>
      <c r="U1828" s="82" t="n"/>
      <c r="V1828" s="82" t="n"/>
      <c r="W1828" s="82" t="n"/>
      <c r="X1828" s="82" t="n"/>
      <c r="Y1828" s="82" t="n"/>
      <c r="Z1828" s="82" t="n"/>
    </row>
    <row r="1829" ht="15.75" customHeight="1" s="83">
      <c r="A1829" s="82" t="n"/>
      <c r="B1829" s="44" t="n"/>
      <c r="C1829" s="82" t="n"/>
      <c r="D1829" s="82" t="n"/>
      <c r="E1829" s="81" t="n"/>
      <c r="F1829" s="82" t="n"/>
      <c r="G1829" s="82" t="n"/>
      <c r="H1829" s="82" t="n"/>
      <c r="I1829" s="82" t="n"/>
      <c r="J1829" s="82" t="n"/>
      <c r="K1829" s="82" t="n"/>
      <c r="L1829" s="82" t="n"/>
      <c r="M1829" s="82" t="n"/>
      <c r="N1829" s="82" t="n"/>
      <c r="O1829" s="82" t="n"/>
      <c r="P1829" s="82" t="n"/>
      <c r="Q1829" s="82" t="n"/>
      <c r="R1829" s="82" t="n"/>
      <c r="S1829" s="82" t="n"/>
      <c r="T1829" s="82" t="n"/>
      <c r="U1829" s="82" t="n"/>
      <c r="V1829" s="82" t="n"/>
      <c r="W1829" s="82" t="n"/>
      <c r="X1829" s="82" t="n"/>
      <c r="Y1829" s="82" t="n"/>
      <c r="Z1829" s="82" t="n"/>
    </row>
    <row r="1830" ht="15.75" customHeight="1" s="83">
      <c r="A1830" s="82" t="n"/>
      <c r="B1830" s="44" t="n"/>
      <c r="C1830" s="82" t="n"/>
      <c r="D1830" s="82" t="n"/>
      <c r="E1830" s="81" t="n"/>
      <c r="F1830" s="82" t="n"/>
      <c r="G1830" s="82" t="n"/>
      <c r="H1830" s="82" t="n"/>
      <c r="I1830" s="82" t="n"/>
      <c r="J1830" s="82" t="n"/>
      <c r="K1830" s="82" t="n"/>
      <c r="L1830" s="82" t="n"/>
      <c r="M1830" s="82" t="n"/>
      <c r="N1830" s="82" t="n"/>
      <c r="O1830" s="82" t="n"/>
      <c r="P1830" s="82" t="n"/>
      <c r="Q1830" s="82" t="n"/>
      <c r="R1830" s="82" t="n"/>
      <c r="S1830" s="82" t="n"/>
      <c r="T1830" s="82" t="n"/>
      <c r="U1830" s="82" t="n"/>
      <c r="V1830" s="82" t="n"/>
      <c r="W1830" s="82" t="n"/>
      <c r="X1830" s="82" t="n"/>
      <c r="Y1830" s="82" t="n"/>
      <c r="Z1830" s="82" t="n"/>
    </row>
    <row r="1831" ht="15.75" customHeight="1" s="83">
      <c r="A1831" s="82" t="n"/>
      <c r="B1831" s="44" t="n"/>
      <c r="C1831" s="82" t="n"/>
      <c r="D1831" s="82" t="n"/>
      <c r="E1831" s="81" t="n"/>
      <c r="F1831" s="82" t="n"/>
      <c r="G1831" s="82" t="n"/>
      <c r="H1831" s="82" t="n"/>
      <c r="I1831" s="82" t="n"/>
      <c r="J1831" s="82" t="n"/>
      <c r="K1831" s="82" t="n"/>
      <c r="L1831" s="82" t="n"/>
      <c r="M1831" s="82" t="n"/>
      <c r="N1831" s="82" t="n"/>
      <c r="O1831" s="82" t="n"/>
      <c r="P1831" s="82" t="n"/>
      <c r="Q1831" s="82" t="n"/>
      <c r="R1831" s="82" t="n"/>
      <c r="S1831" s="82" t="n"/>
      <c r="T1831" s="82" t="n"/>
      <c r="U1831" s="82" t="n"/>
      <c r="V1831" s="82" t="n"/>
      <c r="W1831" s="82" t="n"/>
      <c r="X1831" s="82" t="n"/>
      <c r="Y1831" s="82" t="n"/>
      <c r="Z1831" s="82" t="n"/>
    </row>
    <row r="1832" ht="15.75" customHeight="1" s="83">
      <c r="A1832" s="82" t="n"/>
      <c r="B1832" s="44" t="n"/>
      <c r="C1832" s="82" t="n"/>
      <c r="D1832" s="82" t="n"/>
      <c r="E1832" s="81" t="n"/>
      <c r="F1832" s="82" t="n"/>
      <c r="G1832" s="82" t="n"/>
      <c r="H1832" s="82" t="n"/>
      <c r="I1832" s="82" t="n"/>
      <c r="J1832" s="82" t="n"/>
      <c r="K1832" s="82" t="n"/>
      <c r="L1832" s="82" t="n"/>
      <c r="M1832" s="82" t="n"/>
      <c r="N1832" s="82" t="n"/>
      <c r="O1832" s="82" t="n"/>
      <c r="P1832" s="82" t="n"/>
      <c r="Q1832" s="82" t="n"/>
      <c r="R1832" s="82" t="n"/>
      <c r="S1832" s="82" t="n"/>
      <c r="T1832" s="82" t="n"/>
      <c r="U1832" s="82" t="n"/>
      <c r="V1832" s="82" t="n"/>
      <c r="W1832" s="82" t="n"/>
      <c r="X1832" s="82" t="n"/>
      <c r="Y1832" s="82" t="n"/>
      <c r="Z1832" s="82" t="n"/>
    </row>
    <row r="1833" ht="15.75" customHeight="1" s="83">
      <c r="A1833" s="82" t="n"/>
      <c r="B1833" s="44" t="n"/>
      <c r="C1833" s="82" t="n"/>
      <c r="D1833" s="82" t="n"/>
      <c r="E1833" s="81" t="n"/>
      <c r="F1833" s="82" t="n"/>
      <c r="G1833" s="82" t="n"/>
      <c r="H1833" s="82" t="n"/>
      <c r="I1833" s="82" t="n"/>
      <c r="J1833" s="82" t="n"/>
      <c r="K1833" s="82" t="n"/>
      <c r="L1833" s="82" t="n"/>
      <c r="M1833" s="82" t="n"/>
      <c r="N1833" s="82" t="n"/>
      <c r="O1833" s="82" t="n"/>
      <c r="P1833" s="82" t="n"/>
      <c r="Q1833" s="82" t="n"/>
      <c r="R1833" s="82" t="n"/>
      <c r="S1833" s="82" t="n"/>
      <c r="T1833" s="82" t="n"/>
      <c r="U1833" s="82" t="n"/>
      <c r="V1833" s="82" t="n"/>
      <c r="W1833" s="82" t="n"/>
      <c r="X1833" s="82" t="n"/>
      <c r="Y1833" s="82" t="n"/>
      <c r="Z1833" s="82" t="n"/>
    </row>
    <row r="1834" ht="15.75" customHeight="1" s="83">
      <c r="A1834" s="82" t="n"/>
      <c r="B1834" s="44" t="n"/>
      <c r="C1834" s="82" t="n"/>
      <c r="D1834" s="82" t="n"/>
      <c r="E1834" s="81" t="n"/>
      <c r="F1834" s="82" t="n"/>
      <c r="G1834" s="82" t="n"/>
      <c r="H1834" s="82" t="n"/>
      <c r="I1834" s="82" t="n"/>
      <c r="J1834" s="82" t="n"/>
      <c r="K1834" s="82" t="n"/>
      <c r="L1834" s="82" t="n"/>
      <c r="M1834" s="82" t="n"/>
      <c r="N1834" s="82" t="n"/>
      <c r="O1834" s="82" t="n"/>
      <c r="P1834" s="82" t="n"/>
      <c r="Q1834" s="82" t="n"/>
      <c r="R1834" s="82" t="n"/>
      <c r="S1834" s="82" t="n"/>
      <c r="T1834" s="82" t="n"/>
      <c r="U1834" s="82" t="n"/>
      <c r="V1834" s="82" t="n"/>
      <c r="W1834" s="82" t="n"/>
      <c r="X1834" s="82" t="n"/>
      <c r="Y1834" s="82" t="n"/>
      <c r="Z1834" s="82" t="n"/>
    </row>
    <row r="1835" ht="15.75" customHeight="1" s="83">
      <c r="A1835" s="82" t="n"/>
      <c r="B1835" s="44" t="n"/>
      <c r="C1835" s="82" t="n"/>
      <c r="D1835" s="82" t="n"/>
      <c r="E1835" s="81" t="n"/>
      <c r="F1835" s="82" t="n"/>
      <c r="G1835" s="82" t="n"/>
      <c r="H1835" s="82" t="n"/>
      <c r="I1835" s="82" t="n"/>
      <c r="J1835" s="82" t="n"/>
      <c r="K1835" s="82" t="n"/>
      <c r="L1835" s="82" t="n"/>
      <c r="M1835" s="82" t="n"/>
      <c r="N1835" s="82" t="n"/>
      <c r="O1835" s="82" t="n"/>
      <c r="P1835" s="82" t="n"/>
      <c r="Q1835" s="82" t="n"/>
      <c r="R1835" s="82" t="n"/>
      <c r="S1835" s="82" t="n"/>
      <c r="T1835" s="82" t="n"/>
      <c r="U1835" s="82" t="n"/>
      <c r="V1835" s="82" t="n"/>
      <c r="W1835" s="82" t="n"/>
      <c r="X1835" s="82" t="n"/>
      <c r="Y1835" s="82" t="n"/>
      <c r="Z1835" s="82" t="n"/>
    </row>
    <row r="1836" ht="15.75" customHeight="1" s="83">
      <c r="A1836" s="82" t="n"/>
      <c r="B1836" s="44" t="n"/>
      <c r="C1836" s="82" t="n"/>
      <c r="D1836" s="82" t="n"/>
      <c r="E1836" s="81" t="n"/>
      <c r="F1836" s="82" t="n"/>
      <c r="G1836" s="82" t="n"/>
      <c r="H1836" s="82" t="n"/>
      <c r="I1836" s="82" t="n"/>
      <c r="J1836" s="82" t="n"/>
      <c r="K1836" s="82" t="n"/>
      <c r="L1836" s="82" t="n"/>
      <c r="M1836" s="82" t="n"/>
      <c r="N1836" s="82" t="n"/>
      <c r="O1836" s="82" t="n"/>
      <c r="P1836" s="82" t="n"/>
      <c r="Q1836" s="82" t="n"/>
      <c r="R1836" s="82" t="n"/>
      <c r="S1836" s="82" t="n"/>
      <c r="T1836" s="82" t="n"/>
      <c r="U1836" s="82" t="n"/>
      <c r="V1836" s="82" t="n"/>
      <c r="W1836" s="82" t="n"/>
      <c r="X1836" s="82" t="n"/>
      <c r="Y1836" s="82" t="n"/>
      <c r="Z1836" s="82" t="n"/>
    </row>
    <row r="1837" ht="15.75" customHeight="1" s="83">
      <c r="A1837" s="82" t="n"/>
      <c r="B1837" s="44" t="n"/>
      <c r="C1837" s="82" t="n"/>
      <c r="D1837" s="82" t="n"/>
      <c r="E1837" s="81" t="n"/>
      <c r="F1837" s="82" t="n"/>
      <c r="G1837" s="82" t="n"/>
      <c r="H1837" s="82" t="n"/>
      <c r="I1837" s="82" t="n"/>
      <c r="J1837" s="82" t="n"/>
      <c r="K1837" s="82" t="n"/>
      <c r="L1837" s="82" t="n"/>
      <c r="M1837" s="82" t="n"/>
      <c r="N1837" s="82" t="n"/>
      <c r="O1837" s="82" t="n"/>
      <c r="P1837" s="82" t="n"/>
      <c r="Q1837" s="82" t="n"/>
      <c r="R1837" s="82" t="n"/>
      <c r="S1837" s="82" t="n"/>
      <c r="T1837" s="82" t="n"/>
      <c r="U1837" s="82" t="n"/>
      <c r="V1837" s="82" t="n"/>
      <c r="W1837" s="82" t="n"/>
      <c r="X1837" s="82" t="n"/>
      <c r="Y1837" s="82" t="n"/>
      <c r="Z1837" s="82" t="n"/>
    </row>
    <row r="1838" ht="15.75" customHeight="1" s="83">
      <c r="A1838" s="82" t="n"/>
      <c r="B1838" s="44" t="n"/>
      <c r="C1838" s="82" t="n"/>
      <c r="D1838" s="82" t="n"/>
      <c r="E1838" s="81" t="n"/>
      <c r="F1838" s="82" t="n"/>
      <c r="G1838" s="82" t="n"/>
      <c r="H1838" s="82" t="n"/>
      <c r="I1838" s="82" t="n"/>
      <c r="J1838" s="82" t="n"/>
      <c r="K1838" s="82" t="n"/>
      <c r="L1838" s="82" t="n"/>
      <c r="M1838" s="82" t="n"/>
      <c r="N1838" s="82" t="n"/>
      <c r="O1838" s="82" t="n"/>
      <c r="P1838" s="82" t="n"/>
      <c r="Q1838" s="82" t="n"/>
      <c r="R1838" s="82" t="n"/>
      <c r="S1838" s="82" t="n"/>
      <c r="T1838" s="82" t="n"/>
      <c r="U1838" s="82" t="n"/>
      <c r="V1838" s="82" t="n"/>
      <c r="W1838" s="82" t="n"/>
      <c r="X1838" s="82" t="n"/>
      <c r="Y1838" s="82" t="n"/>
      <c r="Z1838" s="82" t="n"/>
    </row>
    <row r="1839" ht="15.75" customHeight="1" s="83">
      <c r="A1839" s="82" t="n"/>
      <c r="B1839" s="44" t="n"/>
      <c r="C1839" s="82" t="n"/>
      <c r="D1839" s="82" t="n"/>
      <c r="E1839" s="81" t="n"/>
      <c r="F1839" s="82" t="n"/>
      <c r="G1839" s="82" t="n"/>
      <c r="H1839" s="82" t="n"/>
      <c r="I1839" s="82" t="n"/>
      <c r="J1839" s="82" t="n"/>
      <c r="K1839" s="82" t="n"/>
      <c r="L1839" s="82" t="n"/>
      <c r="M1839" s="82" t="n"/>
      <c r="N1839" s="82" t="n"/>
      <c r="O1839" s="82" t="n"/>
      <c r="P1839" s="82" t="n"/>
      <c r="Q1839" s="82" t="n"/>
      <c r="R1839" s="82" t="n"/>
      <c r="S1839" s="82" t="n"/>
      <c r="T1839" s="82" t="n"/>
      <c r="U1839" s="82" t="n"/>
      <c r="V1839" s="82" t="n"/>
      <c r="W1839" s="82" t="n"/>
      <c r="X1839" s="82" t="n"/>
      <c r="Y1839" s="82" t="n"/>
      <c r="Z1839" s="82" t="n"/>
    </row>
    <row r="1840" ht="15.75" customHeight="1" s="83">
      <c r="A1840" s="82" t="n"/>
      <c r="B1840" s="44" t="n"/>
      <c r="C1840" s="82" t="n"/>
      <c r="D1840" s="82" t="n"/>
      <c r="E1840" s="81" t="n"/>
      <c r="F1840" s="82" t="n"/>
      <c r="G1840" s="82" t="n"/>
      <c r="H1840" s="82" t="n"/>
      <c r="I1840" s="82" t="n"/>
      <c r="J1840" s="82" t="n"/>
      <c r="K1840" s="82" t="n"/>
      <c r="L1840" s="82" t="n"/>
      <c r="M1840" s="82" t="n"/>
      <c r="N1840" s="82" t="n"/>
      <c r="O1840" s="82" t="n"/>
      <c r="P1840" s="82" t="n"/>
      <c r="Q1840" s="82" t="n"/>
      <c r="R1840" s="82" t="n"/>
      <c r="S1840" s="82" t="n"/>
      <c r="T1840" s="82" t="n"/>
      <c r="U1840" s="82" t="n"/>
      <c r="V1840" s="82" t="n"/>
      <c r="W1840" s="82" t="n"/>
      <c r="X1840" s="82" t="n"/>
      <c r="Y1840" s="82" t="n"/>
      <c r="Z1840" s="82" t="n"/>
    </row>
    <row r="1841" ht="15.75" customHeight="1" s="83">
      <c r="A1841" s="82" t="n"/>
      <c r="B1841" s="44" t="n"/>
      <c r="C1841" s="82" t="n"/>
      <c r="D1841" s="82" t="n"/>
      <c r="E1841" s="81" t="n"/>
      <c r="F1841" s="82" t="n"/>
      <c r="G1841" s="82" t="n"/>
      <c r="H1841" s="82" t="n"/>
      <c r="I1841" s="82" t="n"/>
      <c r="J1841" s="82" t="n"/>
      <c r="K1841" s="82" t="n"/>
      <c r="L1841" s="82" t="n"/>
      <c r="M1841" s="82" t="n"/>
      <c r="N1841" s="82" t="n"/>
      <c r="O1841" s="82" t="n"/>
      <c r="P1841" s="82" t="n"/>
      <c r="Q1841" s="82" t="n"/>
      <c r="R1841" s="82" t="n"/>
      <c r="S1841" s="82" t="n"/>
      <c r="T1841" s="82" t="n"/>
      <c r="U1841" s="82" t="n"/>
      <c r="V1841" s="82" t="n"/>
      <c r="W1841" s="82" t="n"/>
      <c r="X1841" s="82" t="n"/>
      <c r="Y1841" s="82" t="n"/>
      <c r="Z1841" s="82" t="n"/>
    </row>
    <row r="1842" ht="15.75" customHeight="1" s="83">
      <c r="A1842" s="82" t="n"/>
      <c r="B1842" s="44" t="n"/>
      <c r="C1842" s="82" t="n"/>
      <c r="D1842" s="82" t="n"/>
      <c r="E1842" s="81" t="n"/>
      <c r="F1842" s="82" t="n"/>
      <c r="G1842" s="82" t="n"/>
      <c r="H1842" s="82" t="n"/>
      <c r="I1842" s="82" t="n"/>
      <c r="J1842" s="82" t="n"/>
      <c r="K1842" s="82" t="n"/>
      <c r="L1842" s="82" t="n"/>
      <c r="M1842" s="82" t="n"/>
      <c r="N1842" s="82" t="n"/>
      <c r="O1842" s="82" t="n"/>
      <c r="P1842" s="82" t="n"/>
      <c r="Q1842" s="82" t="n"/>
      <c r="R1842" s="82" t="n"/>
      <c r="S1842" s="82" t="n"/>
      <c r="T1842" s="82" t="n"/>
      <c r="U1842" s="82" t="n"/>
      <c r="V1842" s="82" t="n"/>
      <c r="W1842" s="82" t="n"/>
      <c r="X1842" s="82" t="n"/>
      <c r="Y1842" s="82" t="n"/>
      <c r="Z1842" s="82" t="n"/>
    </row>
    <row r="1843" ht="15.75" customHeight="1" s="83">
      <c r="A1843" s="82" t="n"/>
      <c r="B1843" s="44" t="n"/>
      <c r="C1843" s="82" t="n"/>
      <c r="D1843" s="82" t="n"/>
      <c r="E1843" s="81" t="n"/>
      <c r="F1843" s="82" t="n"/>
      <c r="G1843" s="82" t="n"/>
      <c r="H1843" s="82" t="n"/>
      <c r="I1843" s="82" t="n"/>
      <c r="J1843" s="82" t="n"/>
      <c r="K1843" s="82" t="n"/>
      <c r="L1843" s="82" t="n"/>
      <c r="M1843" s="82" t="n"/>
      <c r="N1843" s="82" t="n"/>
      <c r="O1843" s="82" t="n"/>
      <c r="P1843" s="82" t="n"/>
      <c r="Q1843" s="82" t="n"/>
      <c r="R1843" s="82" t="n"/>
      <c r="S1843" s="82" t="n"/>
      <c r="T1843" s="82" t="n"/>
      <c r="U1843" s="82" t="n"/>
      <c r="V1843" s="82" t="n"/>
      <c r="W1843" s="82" t="n"/>
      <c r="X1843" s="82" t="n"/>
      <c r="Y1843" s="82" t="n"/>
      <c r="Z1843" s="82" t="n"/>
    </row>
    <row r="1844" ht="15.75" customHeight="1" s="83">
      <c r="A1844" s="82" t="n"/>
      <c r="B1844" s="44" t="n"/>
      <c r="C1844" s="82" t="n"/>
      <c r="D1844" s="82" t="n"/>
      <c r="E1844" s="81" t="n"/>
      <c r="F1844" s="82" t="n"/>
      <c r="G1844" s="82" t="n"/>
      <c r="H1844" s="82" t="n"/>
      <c r="I1844" s="82" t="n"/>
      <c r="J1844" s="82" t="n"/>
      <c r="K1844" s="82" t="n"/>
      <c r="L1844" s="82" t="n"/>
      <c r="M1844" s="82" t="n"/>
      <c r="N1844" s="82" t="n"/>
      <c r="O1844" s="82" t="n"/>
      <c r="P1844" s="82" t="n"/>
      <c r="Q1844" s="82" t="n"/>
      <c r="R1844" s="82" t="n"/>
      <c r="S1844" s="82" t="n"/>
      <c r="T1844" s="82" t="n"/>
      <c r="U1844" s="82" t="n"/>
      <c r="V1844" s="82" t="n"/>
      <c r="W1844" s="82" t="n"/>
      <c r="X1844" s="82" t="n"/>
      <c r="Y1844" s="82" t="n"/>
      <c r="Z1844" s="82" t="n"/>
    </row>
    <row r="1845" ht="15.75" customHeight="1" s="83">
      <c r="A1845" s="82" t="n"/>
      <c r="B1845" s="44" t="n"/>
      <c r="C1845" s="82" t="n"/>
      <c r="D1845" s="82" t="n"/>
      <c r="E1845" s="81" t="n"/>
      <c r="F1845" s="82" t="n"/>
      <c r="G1845" s="82" t="n"/>
      <c r="H1845" s="82" t="n"/>
      <c r="I1845" s="82" t="n"/>
      <c r="J1845" s="82" t="n"/>
      <c r="K1845" s="82" t="n"/>
      <c r="L1845" s="82" t="n"/>
      <c r="M1845" s="82" t="n"/>
      <c r="N1845" s="82" t="n"/>
      <c r="O1845" s="82" t="n"/>
      <c r="P1845" s="82" t="n"/>
      <c r="Q1845" s="82" t="n"/>
      <c r="R1845" s="82" t="n"/>
      <c r="S1845" s="82" t="n"/>
      <c r="T1845" s="82" t="n"/>
      <c r="U1845" s="82" t="n"/>
      <c r="V1845" s="82" t="n"/>
      <c r="W1845" s="82" t="n"/>
      <c r="X1845" s="82" t="n"/>
      <c r="Y1845" s="82" t="n"/>
      <c r="Z1845" s="82" t="n"/>
    </row>
    <row r="1846" ht="15.75" customHeight="1" s="83">
      <c r="A1846" s="82" t="n"/>
      <c r="B1846" s="44" t="n"/>
      <c r="C1846" s="82" t="n"/>
      <c r="D1846" s="82" t="n"/>
      <c r="E1846" s="81" t="n"/>
      <c r="F1846" s="82" t="n"/>
      <c r="G1846" s="82" t="n"/>
      <c r="H1846" s="82" t="n"/>
      <c r="I1846" s="82" t="n"/>
      <c r="J1846" s="82" t="n"/>
      <c r="K1846" s="82" t="n"/>
      <c r="L1846" s="82" t="n"/>
      <c r="M1846" s="82" t="n"/>
      <c r="N1846" s="82" t="n"/>
      <c r="O1846" s="82" t="n"/>
      <c r="P1846" s="82" t="n"/>
      <c r="Q1846" s="82" t="n"/>
      <c r="R1846" s="82" t="n"/>
      <c r="S1846" s="82" t="n"/>
      <c r="T1846" s="82" t="n"/>
      <c r="U1846" s="82" t="n"/>
      <c r="V1846" s="82" t="n"/>
      <c r="W1846" s="82" t="n"/>
      <c r="X1846" s="82" t="n"/>
      <c r="Y1846" s="82" t="n"/>
      <c r="Z1846" s="82" t="n"/>
    </row>
    <row r="1847" ht="15.75" customHeight="1" s="83">
      <c r="A1847" s="82" t="n"/>
      <c r="B1847" s="44" t="n"/>
      <c r="C1847" s="82" t="n"/>
      <c r="D1847" s="82" t="n"/>
      <c r="E1847" s="81" t="n"/>
      <c r="F1847" s="82" t="n"/>
      <c r="G1847" s="82" t="n"/>
      <c r="H1847" s="82" t="n"/>
      <c r="I1847" s="82" t="n"/>
      <c r="J1847" s="82" t="n"/>
      <c r="K1847" s="82" t="n"/>
      <c r="L1847" s="82" t="n"/>
      <c r="M1847" s="82" t="n"/>
      <c r="N1847" s="82" t="n"/>
      <c r="O1847" s="82" t="n"/>
      <c r="P1847" s="82" t="n"/>
      <c r="Q1847" s="82" t="n"/>
      <c r="R1847" s="82" t="n"/>
      <c r="S1847" s="82" t="n"/>
      <c r="T1847" s="82" t="n"/>
      <c r="U1847" s="82" t="n"/>
      <c r="V1847" s="82" t="n"/>
      <c r="W1847" s="82" t="n"/>
      <c r="X1847" s="82" t="n"/>
      <c r="Y1847" s="82" t="n"/>
      <c r="Z1847" s="82" t="n"/>
    </row>
    <row r="1848" ht="15.75" customHeight="1" s="83">
      <c r="A1848" s="82" t="n"/>
      <c r="B1848" s="44" t="n"/>
      <c r="C1848" s="82" t="n"/>
      <c r="D1848" s="82" t="n"/>
      <c r="E1848" s="81" t="n"/>
      <c r="F1848" s="82" t="n"/>
      <c r="G1848" s="82" t="n"/>
      <c r="H1848" s="82" t="n"/>
      <c r="I1848" s="82" t="n"/>
      <c r="J1848" s="82" t="n"/>
      <c r="K1848" s="82" t="n"/>
      <c r="L1848" s="82" t="n"/>
      <c r="M1848" s="82" t="n"/>
      <c r="N1848" s="82" t="n"/>
      <c r="O1848" s="82" t="n"/>
      <c r="P1848" s="82" t="n"/>
      <c r="Q1848" s="82" t="n"/>
      <c r="R1848" s="82" t="n"/>
      <c r="S1848" s="82" t="n"/>
      <c r="T1848" s="82" t="n"/>
      <c r="U1848" s="82" t="n"/>
      <c r="V1848" s="82" t="n"/>
      <c r="W1848" s="82" t="n"/>
      <c r="X1848" s="82" t="n"/>
      <c r="Y1848" s="82" t="n"/>
      <c r="Z1848" s="82" t="n"/>
    </row>
    <row r="1849" ht="15.75" customHeight="1" s="83">
      <c r="A1849" s="82" t="n"/>
      <c r="B1849" s="44" t="n"/>
      <c r="C1849" s="82" t="n"/>
      <c r="D1849" s="82" t="n"/>
      <c r="E1849" s="81" t="n"/>
      <c r="F1849" s="82" t="n"/>
      <c r="G1849" s="82" t="n"/>
      <c r="H1849" s="82" t="n"/>
      <c r="I1849" s="82" t="n"/>
      <c r="J1849" s="82" t="n"/>
      <c r="K1849" s="82" t="n"/>
      <c r="L1849" s="82" t="n"/>
      <c r="M1849" s="82" t="n"/>
      <c r="N1849" s="82" t="n"/>
      <c r="O1849" s="82" t="n"/>
      <c r="P1849" s="82" t="n"/>
      <c r="Q1849" s="82" t="n"/>
      <c r="R1849" s="82" t="n"/>
      <c r="S1849" s="82" t="n"/>
      <c r="T1849" s="82" t="n"/>
      <c r="U1849" s="82" t="n"/>
      <c r="V1849" s="82" t="n"/>
      <c r="W1849" s="82" t="n"/>
      <c r="X1849" s="82" t="n"/>
      <c r="Y1849" s="82" t="n"/>
      <c r="Z1849" s="82" t="n"/>
    </row>
    <row r="1850" ht="15.75" customHeight="1" s="83">
      <c r="A1850" s="82" t="n"/>
      <c r="B1850" s="44" t="n"/>
      <c r="C1850" s="82" t="n"/>
      <c r="D1850" s="82" t="n"/>
      <c r="E1850" s="81" t="n"/>
      <c r="F1850" s="82" t="n"/>
      <c r="G1850" s="82" t="n"/>
      <c r="H1850" s="82" t="n"/>
      <c r="I1850" s="82" t="n"/>
      <c r="J1850" s="82" t="n"/>
      <c r="K1850" s="82" t="n"/>
      <c r="L1850" s="82" t="n"/>
      <c r="M1850" s="82" t="n"/>
      <c r="N1850" s="82" t="n"/>
      <c r="O1850" s="82" t="n"/>
      <c r="P1850" s="82" t="n"/>
      <c r="Q1850" s="82" t="n"/>
      <c r="R1850" s="82" t="n"/>
      <c r="S1850" s="82" t="n"/>
      <c r="T1850" s="82" t="n"/>
      <c r="U1850" s="82" t="n"/>
      <c r="V1850" s="82" t="n"/>
      <c r="W1850" s="82" t="n"/>
      <c r="X1850" s="82" t="n"/>
      <c r="Y1850" s="82" t="n"/>
      <c r="Z1850" s="82" t="n"/>
    </row>
    <row r="1851" ht="15.75" customHeight="1" s="83">
      <c r="A1851" s="82" t="n"/>
      <c r="B1851" s="44" t="n"/>
      <c r="C1851" s="82" t="n"/>
      <c r="D1851" s="82" t="n"/>
      <c r="E1851" s="81" t="n"/>
      <c r="F1851" s="82" t="n"/>
      <c r="G1851" s="82" t="n"/>
      <c r="H1851" s="82" t="n"/>
      <c r="I1851" s="82" t="n"/>
      <c r="J1851" s="82" t="n"/>
      <c r="K1851" s="82" t="n"/>
      <c r="L1851" s="82" t="n"/>
      <c r="M1851" s="82" t="n"/>
      <c r="N1851" s="82" t="n"/>
      <c r="O1851" s="82" t="n"/>
      <c r="P1851" s="82" t="n"/>
      <c r="Q1851" s="82" t="n"/>
      <c r="R1851" s="82" t="n"/>
      <c r="S1851" s="82" t="n"/>
      <c r="T1851" s="82" t="n"/>
      <c r="U1851" s="82" t="n"/>
      <c r="V1851" s="82" t="n"/>
      <c r="W1851" s="82" t="n"/>
      <c r="X1851" s="82" t="n"/>
      <c r="Y1851" s="82" t="n"/>
      <c r="Z1851" s="82" t="n"/>
    </row>
    <row r="1852" ht="15.75" customHeight="1" s="83">
      <c r="A1852" s="82" t="n"/>
      <c r="B1852" s="44" t="n"/>
      <c r="C1852" s="82" t="n"/>
      <c r="D1852" s="82" t="n"/>
      <c r="E1852" s="81" t="n"/>
      <c r="F1852" s="82" t="n"/>
      <c r="G1852" s="82" t="n"/>
      <c r="H1852" s="82" t="n"/>
      <c r="I1852" s="82" t="n"/>
      <c r="J1852" s="82" t="n"/>
      <c r="K1852" s="82" t="n"/>
      <c r="L1852" s="82" t="n"/>
      <c r="M1852" s="82" t="n"/>
      <c r="N1852" s="82" t="n"/>
      <c r="O1852" s="82" t="n"/>
      <c r="P1852" s="82" t="n"/>
      <c r="Q1852" s="82" t="n"/>
      <c r="R1852" s="82" t="n"/>
      <c r="S1852" s="82" t="n"/>
      <c r="T1852" s="82" t="n"/>
      <c r="U1852" s="82" t="n"/>
      <c r="V1852" s="82" t="n"/>
      <c r="W1852" s="82" t="n"/>
      <c r="X1852" s="82" t="n"/>
      <c r="Y1852" s="82" t="n"/>
      <c r="Z1852" s="82" t="n"/>
    </row>
    <row r="1853" ht="15.75" customHeight="1" s="83">
      <c r="A1853" s="82" t="n"/>
      <c r="B1853" s="44" t="n"/>
      <c r="C1853" s="82" t="n"/>
      <c r="D1853" s="82" t="n"/>
      <c r="E1853" s="81" t="n"/>
      <c r="F1853" s="82" t="n"/>
      <c r="G1853" s="82" t="n"/>
      <c r="H1853" s="82" t="n"/>
      <c r="I1853" s="82" t="n"/>
      <c r="J1853" s="82" t="n"/>
      <c r="K1853" s="82" t="n"/>
      <c r="L1853" s="82" t="n"/>
      <c r="M1853" s="82" t="n"/>
      <c r="N1853" s="82" t="n"/>
      <c r="O1853" s="82" t="n"/>
      <c r="P1853" s="82" t="n"/>
      <c r="Q1853" s="82" t="n"/>
      <c r="R1853" s="82" t="n"/>
      <c r="S1853" s="82" t="n"/>
      <c r="T1853" s="82" t="n"/>
      <c r="U1853" s="82" t="n"/>
      <c r="V1853" s="82" t="n"/>
      <c r="W1853" s="82" t="n"/>
      <c r="X1853" s="82" t="n"/>
      <c r="Y1853" s="82" t="n"/>
      <c r="Z1853" s="82" t="n"/>
    </row>
    <row r="1854" ht="15.75" customHeight="1" s="83">
      <c r="A1854" s="82" t="n"/>
      <c r="B1854" s="44" t="n"/>
      <c r="C1854" s="82" t="n"/>
      <c r="D1854" s="82" t="n"/>
      <c r="E1854" s="81" t="n"/>
      <c r="F1854" s="82" t="n"/>
      <c r="G1854" s="82" t="n"/>
      <c r="H1854" s="82" t="n"/>
      <c r="I1854" s="82" t="n"/>
      <c r="J1854" s="82" t="n"/>
      <c r="K1854" s="82" t="n"/>
      <c r="L1854" s="82" t="n"/>
      <c r="M1854" s="82" t="n"/>
      <c r="N1854" s="82" t="n"/>
      <c r="O1854" s="82" t="n"/>
      <c r="P1854" s="82" t="n"/>
      <c r="Q1854" s="82" t="n"/>
      <c r="R1854" s="82" t="n"/>
      <c r="S1854" s="82" t="n"/>
      <c r="T1854" s="82" t="n"/>
      <c r="U1854" s="82" t="n"/>
      <c r="V1854" s="82" t="n"/>
      <c r="W1854" s="82" t="n"/>
      <c r="X1854" s="82" t="n"/>
      <c r="Y1854" s="82" t="n"/>
      <c r="Z1854" s="82" t="n"/>
    </row>
    <row r="1855" ht="15.75" customHeight="1" s="83">
      <c r="A1855" s="82" t="n"/>
      <c r="B1855" s="44" t="n"/>
      <c r="C1855" s="82" t="n"/>
      <c r="D1855" s="82" t="n"/>
      <c r="E1855" s="81" t="n"/>
      <c r="F1855" s="82" t="n"/>
      <c r="G1855" s="82" t="n"/>
      <c r="H1855" s="82" t="n"/>
      <c r="I1855" s="82" t="n"/>
      <c r="J1855" s="82" t="n"/>
      <c r="K1855" s="82" t="n"/>
      <c r="L1855" s="82" t="n"/>
      <c r="M1855" s="82" t="n"/>
      <c r="N1855" s="82" t="n"/>
      <c r="O1855" s="82" t="n"/>
      <c r="P1855" s="82" t="n"/>
      <c r="Q1855" s="82" t="n"/>
      <c r="R1855" s="82" t="n"/>
      <c r="S1855" s="82" t="n"/>
      <c r="T1855" s="82" t="n"/>
      <c r="U1855" s="82" t="n"/>
      <c r="V1855" s="82" t="n"/>
      <c r="W1855" s="82" t="n"/>
      <c r="X1855" s="82" t="n"/>
      <c r="Y1855" s="82" t="n"/>
      <c r="Z1855" s="82" t="n"/>
    </row>
    <row r="1856" ht="15.75" customHeight="1" s="83">
      <c r="A1856" s="82" t="n"/>
      <c r="B1856" s="44" t="n"/>
      <c r="C1856" s="82" t="n"/>
      <c r="D1856" s="82" t="n"/>
      <c r="E1856" s="81" t="n"/>
      <c r="F1856" s="82" t="n"/>
      <c r="G1856" s="82" t="n"/>
      <c r="H1856" s="82" t="n"/>
      <c r="I1856" s="82" t="n"/>
      <c r="J1856" s="82" t="n"/>
      <c r="K1856" s="82" t="n"/>
      <c r="L1856" s="82" t="n"/>
      <c r="M1856" s="82" t="n"/>
      <c r="N1856" s="82" t="n"/>
      <c r="O1856" s="82" t="n"/>
      <c r="P1856" s="82" t="n"/>
      <c r="Q1856" s="82" t="n"/>
      <c r="R1856" s="82" t="n"/>
      <c r="S1856" s="82" t="n"/>
      <c r="T1856" s="82" t="n"/>
      <c r="U1856" s="82" t="n"/>
      <c r="V1856" s="82" t="n"/>
      <c r="W1856" s="82" t="n"/>
      <c r="X1856" s="82" t="n"/>
      <c r="Y1856" s="82" t="n"/>
      <c r="Z1856" s="82" t="n"/>
    </row>
    <row r="1857" ht="15.75" customHeight="1" s="83">
      <c r="A1857" s="82" t="n"/>
      <c r="B1857" s="44" t="n"/>
      <c r="C1857" s="82" t="n"/>
      <c r="D1857" s="82" t="n"/>
      <c r="E1857" s="81" t="n"/>
      <c r="F1857" s="82" t="n"/>
      <c r="G1857" s="82" t="n"/>
      <c r="H1857" s="82" t="n"/>
      <c r="I1857" s="82" t="n"/>
      <c r="J1857" s="82" t="n"/>
      <c r="K1857" s="82" t="n"/>
      <c r="L1857" s="82" t="n"/>
      <c r="M1857" s="82" t="n"/>
      <c r="N1857" s="82" t="n"/>
      <c r="O1857" s="82" t="n"/>
      <c r="P1857" s="82" t="n"/>
      <c r="Q1857" s="82" t="n"/>
      <c r="R1857" s="82" t="n"/>
      <c r="S1857" s="82" t="n"/>
      <c r="T1857" s="82" t="n"/>
      <c r="U1857" s="82" t="n"/>
      <c r="V1857" s="82" t="n"/>
      <c r="W1857" s="82" t="n"/>
      <c r="X1857" s="82" t="n"/>
      <c r="Y1857" s="82" t="n"/>
      <c r="Z1857" s="82" t="n"/>
    </row>
    <row r="1858" ht="15.75" customHeight="1" s="83">
      <c r="A1858" s="82" t="n"/>
      <c r="B1858" s="44" t="n"/>
      <c r="C1858" s="82" t="n"/>
      <c r="D1858" s="82" t="n"/>
      <c r="E1858" s="81" t="n"/>
      <c r="F1858" s="82" t="n"/>
      <c r="G1858" s="82" t="n"/>
      <c r="H1858" s="82" t="n"/>
      <c r="I1858" s="82" t="n"/>
      <c r="J1858" s="82" t="n"/>
      <c r="K1858" s="82" t="n"/>
      <c r="L1858" s="82" t="n"/>
      <c r="M1858" s="82" t="n"/>
      <c r="N1858" s="82" t="n"/>
      <c r="O1858" s="82" t="n"/>
      <c r="P1858" s="82" t="n"/>
      <c r="Q1858" s="82" t="n"/>
      <c r="R1858" s="82" t="n"/>
      <c r="S1858" s="82" t="n"/>
      <c r="T1858" s="82" t="n"/>
      <c r="U1858" s="82" t="n"/>
      <c r="V1858" s="82" t="n"/>
      <c r="W1858" s="82" t="n"/>
      <c r="X1858" s="82" t="n"/>
      <c r="Y1858" s="82" t="n"/>
      <c r="Z1858" s="82" t="n"/>
    </row>
    <row r="1859" ht="15.75" customHeight="1" s="83">
      <c r="A1859" s="82" t="n"/>
      <c r="B1859" s="44" t="n"/>
      <c r="C1859" s="82" t="n"/>
      <c r="D1859" s="82" t="n"/>
      <c r="E1859" s="81" t="n"/>
      <c r="F1859" s="82" t="n"/>
      <c r="G1859" s="82" t="n"/>
      <c r="H1859" s="82" t="n"/>
      <c r="I1859" s="82" t="n"/>
      <c r="J1859" s="82" t="n"/>
      <c r="K1859" s="82" t="n"/>
      <c r="L1859" s="82" t="n"/>
      <c r="M1859" s="82" t="n"/>
      <c r="N1859" s="82" t="n"/>
      <c r="O1859" s="82" t="n"/>
      <c r="P1859" s="82" t="n"/>
      <c r="Q1859" s="82" t="n"/>
      <c r="R1859" s="82" t="n"/>
      <c r="S1859" s="82" t="n"/>
      <c r="T1859" s="82" t="n"/>
      <c r="U1859" s="82" t="n"/>
      <c r="V1859" s="82" t="n"/>
      <c r="W1859" s="82" t="n"/>
      <c r="X1859" s="82" t="n"/>
      <c r="Y1859" s="82" t="n"/>
      <c r="Z1859" s="82" t="n"/>
    </row>
    <row r="1860" ht="15.75" customHeight="1" s="83">
      <c r="A1860" s="82" t="n"/>
      <c r="B1860" s="44" t="n"/>
      <c r="C1860" s="82" t="n"/>
      <c r="D1860" s="82" t="n"/>
      <c r="E1860" s="81" t="n"/>
      <c r="F1860" s="82" t="n"/>
      <c r="G1860" s="82" t="n"/>
      <c r="H1860" s="82" t="n"/>
      <c r="I1860" s="82" t="n"/>
      <c r="J1860" s="82" t="n"/>
      <c r="K1860" s="82" t="n"/>
      <c r="L1860" s="82" t="n"/>
      <c r="M1860" s="82" t="n"/>
      <c r="N1860" s="82" t="n"/>
      <c r="O1860" s="82" t="n"/>
      <c r="P1860" s="82" t="n"/>
      <c r="Q1860" s="82" t="n"/>
      <c r="R1860" s="82" t="n"/>
      <c r="S1860" s="82" t="n"/>
      <c r="T1860" s="82" t="n"/>
      <c r="U1860" s="82" t="n"/>
      <c r="V1860" s="82" t="n"/>
      <c r="W1860" s="82" t="n"/>
      <c r="X1860" s="82" t="n"/>
      <c r="Y1860" s="82" t="n"/>
      <c r="Z1860" s="82" t="n"/>
    </row>
    <row r="1861" ht="15.75" customHeight="1" s="83">
      <c r="A1861" s="82" t="n"/>
      <c r="B1861" s="44" t="n"/>
      <c r="C1861" s="82" t="n"/>
      <c r="D1861" s="82" t="n"/>
      <c r="E1861" s="81" t="n"/>
      <c r="F1861" s="82" t="n"/>
      <c r="G1861" s="82" t="n"/>
      <c r="H1861" s="82" t="n"/>
      <c r="I1861" s="82" t="n"/>
      <c r="J1861" s="82" t="n"/>
      <c r="K1861" s="82" t="n"/>
      <c r="L1861" s="82" t="n"/>
      <c r="M1861" s="82" t="n"/>
      <c r="N1861" s="82" t="n"/>
      <c r="O1861" s="82" t="n"/>
      <c r="P1861" s="82" t="n"/>
      <c r="Q1861" s="82" t="n"/>
      <c r="R1861" s="82" t="n"/>
      <c r="S1861" s="82" t="n"/>
      <c r="T1861" s="82" t="n"/>
      <c r="U1861" s="82" t="n"/>
      <c r="V1861" s="82" t="n"/>
      <c r="W1861" s="82" t="n"/>
      <c r="X1861" s="82" t="n"/>
      <c r="Y1861" s="82" t="n"/>
      <c r="Z1861" s="82" t="n"/>
    </row>
    <row r="1862" ht="15.75" customHeight="1" s="83">
      <c r="A1862" s="82" t="n"/>
      <c r="B1862" s="44" t="n"/>
      <c r="C1862" s="82" t="n"/>
      <c r="D1862" s="82" t="n"/>
      <c r="E1862" s="81" t="n"/>
      <c r="F1862" s="82" t="n"/>
      <c r="G1862" s="82" t="n"/>
      <c r="H1862" s="82" t="n"/>
      <c r="I1862" s="82" t="n"/>
      <c r="J1862" s="82" t="n"/>
      <c r="K1862" s="82" t="n"/>
      <c r="L1862" s="82" t="n"/>
      <c r="M1862" s="82" t="n"/>
      <c r="N1862" s="82" t="n"/>
      <c r="O1862" s="82" t="n"/>
      <c r="P1862" s="82" t="n"/>
      <c r="Q1862" s="82" t="n"/>
      <c r="R1862" s="82" t="n"/>
      <c r="S1862" s="82" t="n"/>
      <c r="T1862" s="82" t="n"/>
      <c r="U1862" s="82" t="n"/>
      <c r="V1862" s="82" t="n"/>
      <c r="W1862" s="82" t="n"/>
      <c r="X1862" s="82" t="n"/>
      <c r="Y1862" s="82" t="n"/>
      <c r="Z1862" s="82" t="n"/>
    </row>
    <row r="1863" ht="15.75" customHeight="1" s="83">
      <c r="A1863" s="82" t="n"/>
      <c r="B1863" s="44" t="n"/>
      <c r="C1863" s="82" t="n"/>
      <c r="D1863" s="82" t="n"/>
      <c r="E1863" s="81" t="n"/>
      <c r="F1863" s="82" t="n"/>
      <c r="G1863" s="82" t="n"/>
      <c r="H1863" s="82" t="n"/>
      <c r="I1863" s="82" t="n"/>
      <c r="J1863" s="82" t="n"/>
      <c r="K1863" s="82" t="n"/>
      <c r="L1863" s="82" t="n"/>
      <c r="M1863" s="82" t="n"/>
      <c r="N1863" s="82" t="n"/>
      <c r="O1863" s="82" t="n"/>
      <c r="P1863" s="82" t="n"/>
      <c r="Q1863" s="82" t="n"/>
      <c r="R1863" s="82" t="n"/>
      <c r="S1863" s="82" t="n"/>
      <c r="T1863" s="82" t="n"/>
      <c r="U1863" s="82" t="n"/>
      <c r="V1863" s="82" t="n"/>
      <c r="W1863" s="82" t="n"/>
      <c r="X1863" s="82" t="n"/>
      <c r="Y1863" s="82" t="n"/>
      <c r="Z1863" s="82" t="n"/>
    </row>
    <row r="1864" ht="15.75" customHeight="1" s="83">
      <c r="A1864" s="82" t="n"/>
      <c r="B1864" s="44" t="n"/>
      <c r="C1864" s="82" t="n"/>
      <c r="D1864" s="82" t="n"/>
      <c r="E1864" s="81" t="n"/>
      <c r="F1864" s="82" t="n"/>
      <c r="G1864" s="82" t="n"/>
      <c r="H1864" s="82" t="n"/>
      <c r="I1864" s="82" t="n"/>
      <c r="J1864" s="82" t="n"/>
      <c r="K1864" s="82" t="n"/>
      <c r="L1864" s="82" t="n"/>
      <c r="M1864" s="82" t="n"/>
      <c r="N1864" s="82" t="n"/>
      <c r="O1864" s="82" t="n"/>
      <c r="P1864" s="82" t="n"/>
      <c r="Q1864" s="82" t="n"/>
      <c r="R1864" s="82" t="n"/>
      <c r="S1864" s="82" t="n"/>
      <c r="T1864" s="82" t="n"/>
      <c r="U1864" s="82" t="n"/>
      <c r="V1864" s="82" t="n"/>
      <c r="W1864" s="82" t="n"/>
      <c r="X1864" s="82" t="n"/>
      <c r="Y1864" s="82" t="n"/>
      <c r="Z1864" s="82" t="n"/>
    </row>
    <row r="1865" ht="15.75" customHeight="1" s="83">
      <c r="A1865" s="82" t="n"/>
      <c r="B1865" s="44" t="n"/>
      <c r="C1865" s="82" t="n"/>
      <c r="D1865" s="82" t="n"/>
      <c r="E1865" s="81" t="n"/>
      <c r="F1865" s="82" t="n"/>
      <c r="G1865" s="82" t="n"/>
      <c r="H1865" s="82" t="n"/>
      <c r="I1865" s="82" t="n"/>
      <c r="J1865" s="82" t="n"/>
      <c r="K1865" s="82" t="n"/>
      <c r="L1865" s="82" t="n"/>
      <c r="M1865" s="82" t="n"/>
      <c r="N1865" s="82" t="n"/>
      <c r="O1865" s="82" t="n"/>
      <c r="P1865" s="82" t="n"/>
      <c r="Q1865" s="82" t="n"/>
      <c r="R1865" s="82" t="n"/>
      <c r="S1865" s="82" t="n"/>
      <c r="T1865" s="82" t="n"/>
      <c r="U1865" s="82" t="n"/>
      <c r="V1865" s="82" t="n"/>
      <c r="W1865" s="82" t="n"/>
      <c r="X1865" s="82" t="n"/>
      <c r="Y1865" s="82" t="n"/>
      <c r="Z1865" s="82" t="n"/>
    </row>
    <row r="1866" ht="15.75" customHeight="1" s="83">
      <c r="A1866" s="82" t="n"/>
      <c r="B1866" s="44" t="n"/>
      <c r="C1866" s="82" t="n"/>
      <c r="D1866" s="82" t="n"/>
      <c r="E1866" s="81" t="n"/>
      <c r="F1866" s="82" t="n"/>
      <c r="G1866" s="82" t="n"/>
      <c r="H1866" s="82" t="n"/>
      <c r="I1866" s="82" t="n"/>
      <c r="J1866" s="82" t="n"/>
      <c r="K1866" s="82" t="n"/>
      <c r="L1866" s="82" t="n"/>
      <c r="M1866" s="82" t="n"/>
      <c r="N1866" s="82" t="n"/>
      <c r="O1866" s="82" t="n"/>
      <c r="P1866" s="82" t="n"/>
      <c r="Q1866" s="82" t="n"/>
      <c r="R1866" s="82" t="n"/>
      <c r="S1866" s="82" t="n"/>
      <c r="T1866" s="82" t="n"/>
      <c r="U1866" s="82" t="n"/>
      <c r="V1866" s="82" t="n"/>
      <c r="W1866" s="82" t="n"/>
      <c r="X1866" s="82" t="n"/>
      <c r="Y1866" s="82" t="n"/>
      <c r="Z1866" s="82" t="n"/>
    </row>
    <row r="1867" ht="15.75" customHeight="1" s="83">
      <c r="A1867" s="82" t="n"/>
      <c r="B1867" s="44" t="n"/>
      <c r="C1867" s="82" t="n"/>
      <c r="D1867" s="82" t="n"/>
      <c r="E1867" s="81" t="n"/>
      <c r="F1867" s="82" t="n"/>
      <c r="G1867" s="82" t="n"/>
      <c r="H1867" s="82" t="n"/>
      <c r="I1867" s="82" t="n"/>
      <c r="J1867" s="82" t="n"/>
      <c r="K1867" s="82" t="n"/>
      <c r="L1867" s="82" t="n"/>
      <c r="M1867" s="82" t="n"/>
      <c r="N1867" s="82" t="n"/>
      <c r="O1867" s="82" t="n"/>
      <c r="P1867" s="82" t="n"/>
      <c r="Q1867" s="82" t="n"/>
      <c r="R1867" s="82" t="n"/>
      <c r="S1867" s="82" t="n"/>
      <c r="T1867" s="82" t="n"/>
      <c r="U1867" s="82" t="n"/>
      <c r="V1867" s="82" t="n"/>
      <c r="W1867" s="82" t="n"/>
      <c r="X1867" s="82" t="n"/>
      <c r="Y1867" s="82" t="n"/>
      <c r="Z1867" s="82" t="n"/>
    </row>
    <row r="1868" ht="15.75" customHeight="1" s="83">
      <c r="A1868" s="82" t="n"/>
      <c r="B1868" s="44" t="n"/>
      <c r="C1868" s="82" t="n"/>
      <c r="D1868" s="82" t="n"/>
      <c r="E1868" s="81" t="n"/>
      <c r="F1868" s="82" t="n"/>
      <c r="G1868" s="82" t="n"/>
      <c r="H1868" s="82" t="n"/>
      <c r="I1868" s="82" t="n"/>
      <c r="J1868" s="82" t="n"/>
      <c r="K1868" s="82" t="n"/>
      <c r="L1868" s="82" t="n"/>
      <c r="M1868" s="82" t="n"/>
      <c r="N1868" s="82" t="n"/>
      <c r="O1868" s="82" t="n"/>
      <c r="P1868" s="82" t="n"/>
      <c r="Q1868" s="82" t="n"/>
      <c r="R1868" s="82" t="n"/>
      <c r="S1868" s="82" t="n"/>
      <c r="T1868" s="82" t="n"/>
      <c r="U1868" s="82" t="n"/>
      <c r="V1868" s="82" t="n"/>
      <c r="W1868" s="82" t="n"/>
      <c r="X1868" s="82" t="n"/>
      <c r="Y1868" s="82" t="n"/>
      <c r="Z1868" s="82" t="n"/>
    </row>
    <row r="1869" ht="15.75" customHeight="1" s="83">
      <c r="A1869" s="82" t="n"/>
      <c r="B1869" s="44" t="n"/>
      <c r="C1869" s="82" t="n"/>
      <c r="D1869" s="82" t="n"/>
      <c r="E1869" s="81" t="n"/>
      <c r="F1869" s="82" t="n"/>
      <c r="G1869" s="82" t="n"/>
      <c r="H1869" s="82" t="n"/>
      <c r="I1869" s="82" t="n"/>
      <c r="J1869" s="82" t="n"/>
      <c r="K1869" s="82" t="n"/>
      <c r="L1869" s="82" t="n"/>
      <c r="M1869" s="82" t="n"/>
      <c r="N1869" s="82" t="n"/>
      <c r="O1869" s="82" t="n"/>
      <c r="P1869" s="82" t="n"/>
      <c r="Q1869" s="82" t="n"/>
      <c r="R1869" s="82" t="n"/>
      <c r="S1869" s="82" t="n"/>
      <c r="T1869" s="82" t="n"/>
      <c r="U1869" s="82" t="n"/>
      <c r="V1869" s="82" t="n"/>
      <c r="W1869" s="82" t="n"/>
      <c r="X1869" s="82" t="n"/>
      <c r="Y1869" s="82" t="n"/>
      <c r="Z1869" s="82" t="n"/>
    </row>
    <row r="1870" ht="15.75" customHeight="1" s="83">
      <c r="A1870" s="82" t="n"/>
      <c r="B1870" s="44" t="n"/>
      <c r="C1870" s="82" t="n"/>
      <c r="D1870" s="82" t="n"/>
      <c r="E1870" s="81" t="n"/>
      <c r="F1870" s="82" t="n"/>
      <c r="G1870" s="82" t="n"/>
      <c r="H1870" s="82" t="n"/>
      <c r="I1870" s="82" t="n"/>
      <c r="J1870" s="82" t="n"/>
      <c r="K1870" s="82" t="n"/>
      <c r="L1870" s="82" t="n"/>
      <c r="M1870" s="82" t="n"/>
      <c r="N1870" s="82" t="n"/>
      <c r="O1870" s="82" t="n"/>
      <c r="P1870" s="82" t="n"/>
      <c r="Q1870" s="82" t="n"/>
      <c r="R1870" s="82" t="n"/>
      <c r="S1870" s="82" t="n"/>
      <c r="T1870" s="82" t="n"/>
      <c r="U1870" s="82" t="n"/>
      <c r="V1870" s="82" t="n"/>
      <c r="W1870" s="82" t="n"/>
      <c r="X1870" s="82" t="n"/>
      <c r="Y1870" s="82" t="n"/>
      <c r="Z1870" s="82" t="n"/>
    </row>
    <row r="1871" ht="15.75" customHeight="1" s="83">
      <c r="A1871" s="82" t="n"/>
      <c r="B1871" s="44" t="n"/>
      <c r="C1871" s="82" t="n"/>
      <c r="D1871" s="82" t="n"/>
      <c r="E1871" s="81" t="n"/>
      <c r="F1871" s="82" t="n"/>
      <c r="G1871" s="82" t="n"/>
      <c r="H1871" s="82" t="n"/>
      <c r="I1871" s="82" t="n"/>
      <c r="J1871" s="82" t="n"/>
      <c r="K1871" s="82" t="n"/>
      <c r="L1871" s="82" t="n"/>
      <c r="M1871" s="82" t="n"/>
      <c r="N1871" s="82" t="n"/>
      <c r="O1871" s="82" t="n"/>
      <c r="P1871" s="82" t="n"/>
      <c r="Q1871" s="82" t="n"/>
      <c r="R1871" s="82" t="n"/>
      <c r="S1871" s="82" t="n"/>
      <c r="T1871" s="82" t="n"/>
      <c r="U1871" s="82" t="n"/>
      <c r="V1871" s="82" t="n"/>
      <c r="W1871" s="82" t="n"/>
      <c r="X1871" s="82" t="n"/>
      <c r="Y1871" s="82" t="n"/>
      <c r="Z1871" s="82" t="n"/>
    </row>
    <row r="1872" ht="15.75" customHeight="1" s="83">
      <c r="A1872" s="82" t="n"/>
      <c r="B1872" s="44" t="n"/>
      <c r="C1872" s="82" t="n"/>
      <c r="D1872" s="82" t="n"/>
      <c r="E1872" s="81" t="n"/>
      <c r="F1872" s="82" t="n"/>
      <c r="G1872" s="82" t="n"/>
      <c r="H1872" s="82" t="n"/>
      <c r="I1872" s="82" t="n"/>
      <c r="J1872" s="82" t="n"/>
      <c r="K1872" s="82" t="n"/>
      <c r="L1872" s="82" t="n"/>
      <c r="M1872" s="82" t="n"/>
      <c r="N1872" s="82" t="n"/>
      <c r="O1872" s="82" t="n"/>
      <c r="P1872" s="82" t="n"/>
      <c r="Q1872" s="82" t="n"/>
      <c r="R1872" s="82" t="n"/>
      <c r="S1872" s="82" t="n"/>
      <c r="T1872" s="82" t="n"/>
      <c r="U1872" s="82" t="n"/>
      <c r="V1872" s="82" t="n"/>
      <c r="W1872" s="82" t="n"/>
      <c r="X1872" s="82" t="n"/>
      <c r="Y1872" s="82" t="n"/>
      <c r="Z1872" s="82" t="n"/>
    </row>
    <row r="1873" ht="15.75" customHeight="1" s="83">
      <c r="A1873" s="82" t="n"/>
      <c r="B1873" s="44" t="n"/>
      <c r="C1873" s="82" t="n"/>
      <c r="D1873" s="82" t="n"/>
      <c r="E1873" s="81" t="n"/>
      <c r="F1873" s="82" t="n"/>
      <c r="G1873" s="82" t="n"/>
      <c r="H1873" s="82" t="n"/>
      <c r="I1873" s="82" t="n"/>
      <c r="J1873" s="82" t="n"/>
      <c r="K1873" s="82" t="n"/>
      <c r="L1873" s="82" t="n"/>
      <c r="M1873" s="82" t="n"/>
      <c r="N1873" s="82" t="n"/>
      <c r="O1873" s="82" t="n"/>
      <c r="P1873" s="82" t="n"/>
      <c r="Q1873" s="82" t="n"/>
      <c r="R1873" s="82" t="n"/>
      <c r="S1873" s="82" t="n"/>
      <c r="T1873" s="82" t="n"/>
      <c r="U1873" s="82" t="n"/>
      <c r="V1873" s="82" t="n"/>
      <c r="W1873" s="82" t="n"/>
      <c r="X1873" s="82" t="n"/>
      <c r="Y1873" s="82" t="n"/>
      <c r="Z1873" s="82" t="n"/>
    </row>
    <row r="1874" ht="15.75" customHeight="1" s="83">
      <c r="A1874" s="82" t="n"/>
      <c r="B1874" s="44" t="n"/>
      <c r="C1874" s="82" t="n"/>
      <c r="D1874" s="82" t="n"/>
      <c r="E1874" s="81" t="n"/>
      <c r="F1874" s="82" t="n"/>
      <c r="G1874" s="82" t="n"/>
      <c r="H1874" s="82" t="n"/>
      <c r="I1874" s="82" t="n"/>
      <c r="J1874" s="82" t="n"/>
      <c r="K1874" s="82" t="n"/>
      <c r="L1874" s="82" t="n"/>
      <c r="M1874" s="82" t="n"/>
      <c r="N1874" s="82" t="n"/>
      <c r="O1874" s="82" t="n"/>
      <c r="P1874" s="82" t="n"/>
      <c r="Q1874" s="82" t="n"/>
      <c r="R1874" s="82" t="n"/>
      <c r="S1874" s="82" t="n"/>
      <c r="T1874" s="82" t="n"/>
      <c r="U1874" s="82" t="n"/>
      <c r="V1874" s="82" t="n"/>
      <c r="W1874" s="82" t="n"/>
      <c r="X1874" s="82" t="n"/>
      <c r="Y1874" s="82" t="n"/>
      <c r="Z1874" s="82" t="n"/>
    </row>
    <row r="1875" ht="15.75" customHeight="1" s="83">
      <c r="A1875" s="82" t="n"/>
      <c r="B1875" s="44" t="n"/>
      <c r="C1875" s="82" t="n"/>
      <c r="D1875" s="82" t="n"/>
      <c r="E1875" s="81" t="n"/>
      <c r="F1875" s="82" t="n"/>
      <c r="G1875" s="82" t="n"/>
      <c r="H1875" s="82" t="n"/>
      <c r="I1875" s="82" t="n"/>
      <c r="J1875" s="82" t="n"/>
      <c r="K1875" s="82" t="n"/>
      <c r="L1875" s="82" t="n"/>
      <c r="M1875" s="82" t="n"/>
      <c r="N1875" s="82" t="n"/>
      <c r="O1875" s="82" t="n"/>
      <c r="P1875" s="82" t="n"/>
      <c r="Q1875" s="82" t="n"/>
      <c r="R1875" s="82" t="n"/>
      <c r="S1875" s="82" t="n"/>
      <c r="T1875" s="82" t="n"/>
      <c r="U1875" s="82" t="n"/>
      <c r="V1875" s="82" t="n"/>
      <c r="W1875" s="82" t="n"/>
      <c r="X1875" s="82" t="n"/>
      <c r="Y1875" s="82" t="n"/>
      <c r="Z1875" s="82" t="n"/>
    </row>
    <row r="1876" ht="15.75" customHeight="1" s="83">
      <c r="A1876" s="82" t="n"/>
      <c r="B1876" s="44" t="n"/>
      <c r="C1876" s="82" t="n"/>
      <c r="D1876" s="82" t="n"/>
      <c r="E1876" s="81" t="n"/>
      <c r="F1876" s="82" t="n"/>
      <c r="G1876" s="82" t="n"/>
      <c r="H1876" s="82" t="n"/>
      <c r="I1876" s="82" t="n"/>
      <c r="J1876" s="82" t="n"/>
      <c r="K1876" s="82" t="n"/>
      <c r="L1876" s="82" t="n"/>
      <c r="M1876" s="82" t="n"/>
      <c r="N1876" s="82" t="n"/>
      <c r="O1876" s="82" t="n"/>
      <c r="P1876" s="82" t="n"/>
      <c r="Q1876" s="82" t="n"/>
      <c r="R1876" s="82" t="n"/>
      <c r="S1876" s="82" t="n"/>
      <c r="T1876" s="82" t="n"/>
      <c r="U1876" s="82" t="n"/>
      <c r="V1876" s="82" t="n"/>
      <c r="W1876" s="82" t="n"/>
      <c r="X1876" s="82" t="n"/>
      <c r="Y1876" s="82" t="n"/>
      <c r="Z1876" s="82" t="n"/>
    </row>
    <row r="1877" ht="15.75" customHeight="1" s="83">
      <c r="A1877" s="82" t="n"/>
      <c r="B1877" s="44" t="n"/>
      <c r="C1877" s="82" t="n"/>
      <c r="D1877" s="82" t="n"/>
      <c r="E1877" s="81" t="n"/>
      <c r="F1877" s="82" t="n"/>
      <c r="G1877" s="82" t="n"/>
      <c r="H1877" s="82" t="n"/>
      <c r="I1877" s="82" t="n"/>
      <c r="J1877" s="82" t="n"/>
      <c r="K1877" s="82" t="n"/>
      <c r="L1877" s="82" t="n"/>
      <c r="M1877" s="82" t="n"/>
      <c r="N1877" s="82" t="n"/>
      <c r="O1877" s="82" t="n"/>
      <c r="P1877" s="82" t="n"/>
      <c r="Q1877" s="82" t="n"/>
      <c r="R1877" s="82" t="n"/>
      <c r="S1877" s="82" t="n"/>
      <c r="T1877" s="82" t="n"/>
      <c r="U1877" s="82" t="n"/>
      <c r="V1877" s="82" t="n"/>
      <c r="W1877" s="82" t="n"/>
      <c r="X1877" s="82" t="n"/>
      <c r="Y1877" s="82" t="n"/>
      <c r="Z1877" s="82" t="n"/>
    </row>
    <row r="1878" ht="15.75" customHeight="1" s="83">
      <c r="A1878" s="82" t="n"/>
      <c r="B1878" s="44" t="n"/>
      <c r="C1878" s="82" t="n"/>
      <c r="D1878" s="82" t="n"/>
      <c r="E1878" s="81" t="n"/>
      <c r="F1878" s="82" t="n"/>
      <c r="G1878" s="82" t="n"/>
      <c r="H1878" s="82" t="n"/>
      <c r="I1878" s="82" t="n"/>
      <c r="J1878" s="82" t="n"/>
      <c r="K1878" s="82" t="n"/>
      <c r="L1878" s="82" t="n"/>
      <c r="M1878" s="82" t="n"/>
      <c r="N1878" s="82" t="n"/>
      <c r="O1878" s="82" t="n"/>
      <c r="P1878" s="82" t="n"/>
      <c r="Q1878" s="82" t="n"/>
      <c r="R1878" s="82" t="n"/>
      <c r="S1878" s="82" t="n"/>
      <c r="T1878" s="82" t="n"/>
      <c r="U1878" s="82" t="n"/>
      <c r="V1878" s="82" t="n"/>
      <c r="W1878" s="82" t="n"/>
      <c r="X1878" s="82" t="n"/>
      <c r="Y1878" s="82" t="n"/>
      <c r="Z1878" s="82" t="n"/>
    </row>
    <row r="1879" ht="15.75" customHeight="1" s="83">
      <c r="A1879" s="82" t="n"/>
      <c r="B1879" s="44" t="n"/>
      <c r="C1879" s="82" t="n"/>
      <c r="D1879" s="82" t="n"/>
      <c r="E1879" s="81" t="n"/>
      <c r="F1879" s="82" t="n"/>
      <c r="G1879" s="82" t="n"/>
      <c r="H1879" s="82" t="n"/>
      <c r="I1879" s="82" t="n"/>
      <c r="J1879" s="82" t="n"/>
      <c r="K1879" s="82" t="n"/>
      <c r="L1879" s="82" t="n"/>
      <c r="M1879" s="82" t="n"/>
      <c r="N1879" s="82" t="n"/>
      <c r="O1879" s="82" t="n"/>
      <c r="P1879" s="82" t="n"/>
      <c r="Q1879" s="82" t="n"/>
      <c r="R1879" s="82" t="n"/>
      <c r="S1879" s="82" t="n"/>
      <c r="T1879" s="82" t="n"/>
      <c r="U1879" s="82" t="n"/>
      <c r="V1879" s="82" t="n"/>
      <c r="W1879" s="82" t="n"/>
      <c r="X1879" s="82" t="n"/>
      <c r="Y1879" s="82" t="n"/>
      <c r="Z1879" s="82" t="n"/>
    </row>
    <row r="1880" ht="15.75" customHeight="1" s="83">
      <c r="A1880" s="82" t="n"/>
      <c r="B1880" s="44" t="n"/>
      <c r="C1880" s="82" t="n"/>
      <c r="D1880" s="82" t="n"/>
      <c r="E1880" s="81" t="n"/>
      <c r="F1880" s="82" t="n"/>
      <c r="G1880" s="82" t="n"/>
      <c r="H1880" s="82" t="n"/>
      <c r="I1880" s="82" t="n"/>
      <c r="J1880" s="82" t="n"/>
      <c r="K1880" s="82" t="n"/>
      <c r="L1880" s="82" t="n"/>
      <c r="M1880" s="82" t="n"/>
      <c r="N1880" s="82" t="n"/>
      <c r="O1880" s="82" t="n"/>
      <c r="P1880" s="82" t="n"/>
      <c r="Q1880" s="82" t="n"/>
      <c r="R1880" s="82" t="n"/>
      <c r="S1880" s="82" t="n"/>
      <c r="T1880" s="82" t="n"/>
      <c r="U1880" s="82" t="n"/>
      <c r="V1880" s="82" t="n"/>
      <c r="W1880" s="82" t="n"/>
      <c r="X1880" s="82" t="n"/>
      <c r="Y1880" s="82" t="n"/>
      <c r="Z1880" s="82" t="n"/>
    </row>
    <row r="1881" ht="15.75" customHeight="1" s="83">
      <c r="A1881" s="82" t="n"/>
      <c r="B1881" s="44" t="n"/>
      <c r="C1881" s="82" t="n"/>
      <c r="D1881" s="82" t="n"/>
      <c r="E1881" s="81" t="n"/>
      <c r="F1881" s="82" t="n"/>
      <c r="G1881" s="82" t="n"/>
      <c r="H1881" s="82" t="n"/>
      <c r="I1881" s="82" t="n"/>
      <c r="J1881" s="82" t="n"/>
      <c r="K1881" s="82" t="n"/>
      <c r="L1881" s="82" t="n"/>
      <c r="M1881" s="82" t="n"/>
      <c r="N1881" s="82" t="n"/>
      <c r="O1881" s="82" t="n"/>
      <c r="P1881" s="82" t="n"/>
      <c r="Q1881" s="82" t="n"/>
      <c r="R1881" s="82" t="n"/>
      <c r="S1881" s="82" t="n"/>
      <c r="T1881" s="82" t="n"/>
      <c r="U1881" s="82" t="n"/>
      <c r="V1881" s="82" t="n"/>
      <c r="W1881" s="82" t="n"/>
      <c r="X1881" s="82" t="n"/>
      <c r="Y1881" s="82" t="n"/>
      <c r="Z1881" s="82" t="n"/>
    </row>
    <row r="1882" ht="15.75" customHeight="1" s="83">
      <c r="A1882" s="82" t="n"/>
      <c r="B1882" s="44" t="n"/>
      <c r="C1882" s="82" t="n"/>
      <c r="D1882" s="82" t="n"/>
      <c r="E1882" s="81" t="n"/>
      <c r="F1882" s="82" t="n"/>
      <c r="G1882" s="82" t="n"/>
      <c r="H1882" s="82" t="n"/>
      <c r="I1882" s="82" t="n"/>
      <c r="J1882" s="82" t="n"/>
      <c r="K1882" s="82" t="n"/>
      <c r="L1882" s="82" t="n"/>
      <c r="M1882" s="82" t="n"/>
      <c r="N1882" s="82" t="n"/>
      <c r="O1882" s="82" t="n"/>
      <c r="P1882" s="82" t="n"/>
      <c r="Q1882" s="82" t="n"/>
      <c r="R1882" s="82" t="n"/>
      <c r="S1882" s="82" t="n"/>
      <c r="T1882" s="82" t="n"/>
      <c r="U1882" s="82" t="n"/>
      <c r="V1882" s="82" t="n"/>
      <c r="W1882" s="82" t="n"/>
      <c r="X1882" s="82" t="n"/>
      <c r="Y1882" s="82" t="n"/>
      <c r="Z1882" s="82" t="n"/>
    </row>
    <row r="1883" ht="15.75" customHeight="1" s="83">
      <c r="A1883" s="82" t="n"/>
      <c r="B1883" s="44" t="n"/>
      <c r="C1883" s="82" t="n"/>
      <c r="D1883" s="82" t="n"/>
      <c r="E1883" s="81" t="n"/>
      <c r="F1883" s="82" t="n"/>
      <c r="G1883" s="82" t="n"/>
      <c r="H1883" s="82" t="n"/>
      <c r="I1883" s="82" t="n"/>
      <c r="J1883" s="82" t="n"/>
      <c r="K1883" s="82" t="n"/>
      <c r="L1883" s="82" t="n"/>
      <c r="M1883" s="82" t="n"/>
      <c r="N1883" s="82" t="n"/>
      <c r="O1883" s="82" t="n"/>
      <c r="P1883" s="82" t="n"/>
      <c r="Q1883" s="82" t="n"/>
      <c r="R1883" s="82" t="n"/>
      <c r="S1883" s="82" t="n"/>
      <c r="T1883" s="82" t="n"/>
      <c r="U1883" s="82" t="n"/>
      <c r="V1883" s="82" t="n"/>
      <c r="W1883" s="82" t="n"/>
      <c r="X1883" s="82" t="n"/>
      <c r="Y1883" s="82" t="n"/>
      <c r="Z1883" s="82" t="n"/>
    </row>
    <row r="1884" ht="15.75" customHeight="1" s="83">
      <c r="A1884" s="82" t="n"/>
      <c r="B1884" s="44" t="n"/>
      <c r="C1884" s="82" t="n"/>
      <c r="D1884" s="82" t="n"/>
      <c r="E1884" s="81" t="n"/>
      <c r="F1884" s="82" t="n"/>
      <c r="G1884" s="82" t="n"/>
      <c r="H1884" s="82" t="n"/>
      <c r="I1884" s="82" t="n"/>
      <c r="J1884" s="82" t="n"/>
      <c r="K1884" s="82" t="n"/>
      <c r="L1884" s="82" t="n"/>
      <c r="M1884" s="82" t="n"/>
      <c r="N1884" s="82" t="n"/>
      <c r="O1884" s="82" t="n"/>
      <c r="P1884" s="82" t="n"/>
      <c r="Q1884" s="82" t="n"/>
      <c r="R1884" s="82" t="n"/>
      <c r="S1884" s="82" t="n"/>
      <c r="T1884" s="82" t="n"/>
      <c r="U1884" s="82" t="n"/>
      <c r="V1884" s="82" t="n"/>
      <c r="W1884" s="82" t="n"/>
      <c r="X1884" s="82" t="n"/>
      <c r="Y1884" s="82" t="n"/>
      <c r="Z1884" s="82" t="n"/>
    </row>
    <row r="1885" ht="15.75" customHeight="1" s="83">
      <c r="A1885" s="82" t="n"/>
      <c r="B1885" s="44" t="n"/>
      <c r="C1885" s="82" t="n"/>
      <c r="D1885" s="82" t="n"/>
      <c r="E1885" s="81" t="n"/>
      <c r="F1885" s="82" t="n"/>
      <c r="G1885" s="82" t="n"/>
      <c r="H1885" s="82" t="n"/>
      <c r="I1885" s="82" t="n"/>
      <c r="J1885" s="82" t="n"/>
      <c r="K1885" s="82" t="n"/>
      <c r="L1885" s="82" t="n"/>
      <c r="M1885" s="82" t="n"/>
      <c r="N1885" s="82" t="n"/>
      <c r="O1885" s="82" t="n"/>
      <c r="P1885" s="82" t="n"/>
      <c r="Q1885" s="82" t="n"/>
      <c r="R1885" s="82" t="n"/>
      <c r="S1885" s="82" t="n"/>
      <c r="T1885" s="82" t="n"/>
      <c r="U1885" s="82" t="n"/>
      <c r="V1885" s="82" t="n"/>
      <c r="W1885" s="82" t="n"/>
      <c r="X1885" s="82" t="n"/>
      <c r="Y1885" s="82" t="n"/>
      <c r="Z1885" s="82" t="n"/>
    </row>
    <row r="1886" ht="15.75" customHeight="1" s="83">
      <c r="A1886" s="82" t="n"/>
      <c r="B1886" s="44" t="n"/>
      <c r="C1886" s="82" t="n"/>
      <c r="D1886" s="82" t="n"/>
      <c r="E1886" s="81" t="n"/>
      <c r="F1886" s="82" t="n"/>
      <c r="G1886" s="82" t="n"/>
      <c r="H1886" s="82" t="n"/>
      <c r="I1886" s="82" t="n"/>
      <c r="J1886" s="82" t="n"/>
      <c r="K1886" s="82" t="n"/>
      <c r="L1886" s="82" t="n"/>
      <c r="M1886" s="82" t="n"/>
      <c r="N1886" s="82" t="n"/>
      <c r="O1886" s="82" t="n"/>
      <c r="P1886" s="82" t="n"/>
      <c r="Q1886" s="82" t="n"/>
      <c r="R1886" s="82" t="n"/>
      <c r="S1886" s="82" t="n"/>
      <c r="T1886" s="82" t="n"/>
      <c r="U1886" s="82" t="n"/>
      <c r="V1886" s="82" t="n"/>
      <c r="W1886" s="82" t="n"/>
      <c r="X1886" s="82" t="n"/>
      <c r="Y1886" s="82" t="n"/>
      <c r="Z1886" s="82" t="n"/>
    </row>
    <row r="1887" ht="15.75" customHeight="1" s="83">
      <c r="A1887" s="82" t="n"/>
      <c r="B1887" s="44" t="n"/>
      <c r="C1887" s="82" t="n"/>
      <c r="D1887" s="82" t="n"/>
      <c r="E1887" s="81" t="n"/>
      <c r="F1887" s="82" t="n"/>
      <c r="G1887" s="82" t="n"/>
      <c r="H1887" s="82" t="n"/>
      <c r="I1887" s="82" t="n"/>
      <c r="J1887" s="82" t="n"/>
      <c r="K1887" s="82" t="n"/>
      <c r="L1887" s="82" t="n"/>
      <c r="M1887" s="82" t="n"/>
      <c r="N1887" s="82" t="n"/>
      <c r="O1887" s="82" t="n"/>
      <c r="P1887" s="82" t="n"/>
      <c r="Q1887" s="82" t="n"/>
      <c r="R1887" s="82" t="n"/>
      <c r="S1887" s="82" t="n"/>
      <c r="T1887" s="82" t="n"/>
      <c r="U1887" s="82" t="n"/>
      <c r="V1887" s="82" t="n"/>
      <c r="W1887" s="82" t="n"/>
      <c r="X1887" s="82" t="n"/>
      <c r="Y1887" s="82" t="n"/>
      <c r="Z1887" s="82" t="n"/>
    </row>
    <row r="1888" ht="15.75" customHeight="1" s="83">
      <c r="A1888" s="82" t="n"/>
      <c r="B1888" s="44" t="n"/>
      <c r="C1888" s="82" t="n"/>
      <c r="D1888" s="82" t="n"/>
      <c r="E1888" s="81" t="n"/>
      <c r="F1888" s="82" t="n"/>
      <c r="G1888" s="82" t="n"/>
      <c r="H1888" s="82" t="n"/>
      <c r="I1888" s="82" t="n"/>
      <c r="J1888" s="82" t="n"/>
      <c r="K1888" s="82" t="n"/>
      <c r="L1888" s="82" t="n"/>
      <c r="M1888" s="82" t="n"/>
      <c r="N1888" s="82" t="n"/>
      <c r="O1888" s="82" t="n"/>
      <c r="P1888" s="82" t="n"/>
      <c r="Q1888" s="82" t="n"/>
      <c r="R1888" s="82" t="n"/>
      <c r="S1888" s="82" t="n"/>
      <c r="T1888" s="82" t="n"/>
      <c r="U1888" s="82" t="n"/>
      <c r="V1888" s="82" t="n"/>
      <c r="W1888" s="82" t="n"/>
      <c r="X1888" s="82" t="n"/>
      <c r="Y1888" s="82" t="n"/>
      <c r="Z1888" s="82" t="n"/>
    </row>
    <row r="1889" ht="15.75" customHeight="1" s="83">
      <c r="A1889" s="82" t="n"/>
      <c r="B1889" s="44" t="n"/>
      <c r="C1889" s="82" t="n"/>
      <c r="D1889" s="82" t="n"/>
      <c r="E1889" s="81" t="n"/>
      <c r="F1889" s="82" t="n"/>
      <c r="G1889" s="82" t="n"/>
      <c r="H1889" s="82" t="n"/>
      <c r="I1889" s="82" t="n"/>
      <c r="J1889" s="82" t="n"/>
      <c r="K1889" s="82" t="n"/>
      <c r="L1889" s="82" t="n"/>
      <c r="M1889" s="82" t="n"/>
      <c r="N1889" s="82" t="n"/>
      <c r="O1889" s="82" t="n"/>
      <c r="P1889" s="82" t="n"/>
      <c r="Q1889" s="82" t="n"/>
      <c r="R1889" s="82" t="n"/>
      <c r="S1889" s="82" t="n"/>
      <c r="T1889" s="82" t="n"/>
      <c r="U1889" s="82" t="n"/>
      <c r="V1889" s="82" t="n"/>
      <c r="W1889" s="82" t="n"/>
      <c r="X1889" s="82" t="n"/>
      <c r="Y1889" s="82" t="n"/>
      <c r="Z1889" s="82" t="n"/>
    </row>
    <row r="1890" ht="15.75" customHeight="1" s="83">
      <c r="A1890" s="82" t="n"/>
      <c r="B1890" s="44" t="n"/>
      <c r="C1890" s="82" t="n"/>
      <c r="D1890" s="82" t="n"/>
      <c r="E1890" s="81" t="n"/>
      <c r="F1890" s="82" t="n"/>
      <c r="G1890" s="82" t="n"/>
      <c r="H1890" s="82" t="n"/>
      <c r="I1890" s="82" t="n"/>
      <c r="J1890" s="82" t="n"/>
      <c r="K1890" s="82" t="n"/>
      <c r="L1890" s="82" t="n"/>
      <c r="M1890" s="82" t="n"/>
      <c r="N1890" s="82" t="n"/>
      <c r="O1890" s="82" t="n"/>
      <c r="P1890" s="82" t="n"/>
      <c r="Q1890" s="82" t="n"/>
      <c r="R1890" s="82" t="n"/>
      <c r="S1890" s="82" t="n"/>
      <c r="T1890" s="82" t="n"/>
      <c r="U1890" s="82" t="n"/>
      <c r="V1890" s="82" t="n"/>
      <c r="W1890" s="82" t="n"/>
      <c r="X1890" s="82" t="n"/>
      <c r="Y1890" s="82" t="n"/>
      <c r="Z1890" s="82" t="n"/>
    </row>
    <row r="1891" ht="15.75" customHeight="1" s="83">
      <c r="A1891" s="82" t="n"/>
      <c r="B1891" s="44" t="n"/>
      <c r="C1891" s="82" t="n"/>
      <c r="D1891" s="82" t="n"/>
      <c r="E1891" s="81" t="n"/>
      <c r="F1891" s="82" t="n"/>
      <c r="G1891" s="82" t="n"/>
      <c r="H1891" s="82" t="n"/>
      <c r="I1891" s="82" t="n"/>
      <c r="J1891" s="82" t="n"/>
      <c r="K1891" s="82" t="n"/>
      <c r="L1891" s="82" t="n"/>
      <c r="M1891" s="82" t="n"/>
      <c r="N1891" s="82" t="n"/>
      <c r="O1891" s="82" t="n"/>
      <c r="P1891" s="82" t="n"/>
      <c r="Q1891" s="82" t="n"/>
      <c r="R1891" s="82" t="n"/>
      <c r="S1891" s="82" t="n"/>
      <c r="T1891" s="82" t="n"/>
      <c r="U1891" s="82" t="n"/>
      <c r="V1891" s="82" t="n"/>
      <c r="W1891" s="82" t="n"/>
      <c r="X1891" s="82" t="n"/>
      <c r="Y1891" s="82" t="n"/>
      <c r="Z1891" s="82" t="n"/>
    </row>
    <row r="1892" ht="15.75" customHeight="1" s="83">
      <c r="A1892" s="82" t="n"/>
      <c r="B1892" s="44" t="n"/>
      <c r="C1892" s="82" t="n"/>
      <c r="D1892" s="82" t="n"/>
      <c r="E1892" s="81" t="n"/>
      <c r="F1892" s="82" t="n"/>
      <c r="G1892" s="82" t="n"/>
      <c r="H1892" s="82" t="n"/>
      <c r="I1892" s="82" t="n"/>
      <c r="J1892" s="82" t="n"/>
      <c r="K1892" s="82" t="n"/>
      <c r="L1892" s="82" t="n"/>
      <c r="M1892" s="82" t="n"/>
      <c r="N1892" s="82" t="n"/>
      <c r="O1892" s="82" t="n"/>
      <c r="P1892" s="82" t="n"/>
      <c r="Q1892" s="82" t="n"/>
      <c r="R1892" s="82" t="n"/>
      <c r="S1892" s="82" t="n"/>
      <c r="T1892" s="82" t="n"/>
      <c r="U1892" s="82" t="n"/>
      <c r="V1892" s="82" t="n"/>
      <c r="W1892" s="82" t="n"/>
      <c r="X1892" s="82" t="n"/>
      <c r="Y1892" s="82" t="n"/>
      <c r="Z1892" s="82" t="n"/>
    </row>
    <row r="1893" ht="15.75" customHeight="1" s="83">
      <c r="A1893" s="82" t="n"/>
      <c r="B1893" s="44" t="n"/>
      <c r="C1893" s="82" t="n"/>
      <c r="D1893" s="82" t="n"/>
      <c r="E1893" s="81" t="n"/>
      <c r="F1893" s="82" t="n"/>
      <c r="G1893" s="82" t="n"/>
      <c r="H1893" s="82" t="n"/>
      <c r="I1893" s="82" t="n"/>
      <c r="J1893" s="82" t="n"/>
      <c r="K1893" s="82" t="n"/>
      <c r="L1893" s="82" t="n"/>
      <c r="M1893" s="82" t="n"/>
      <c r="N1893" s="82" t="n"/>
      <c r="O1893" s="82" t="n"/>
      <c r="P1893" s="82" t="n"/>
      <c r="Q1893" s="82" t="n"/>
      <c r="R1893" s="82" t="n"/>
      <c r="S1893" s="82" t="n"/>
      <c r="T1893" s="82" t="n"/>
      <c r="U1893" s="82" t="n"/>
      <c r="V1893" s="82" t="n"/>
      <c r="W1893" s="82" t="n"/>
      <c r="X1893" s="82" t="n"/>
      <c r="Y1893" s="82" t="n"/>
      <c r="Z1893" s="82" t="n"/>
    </row>
    <row r="1894" ht="15.75" customHeight="1" s="83">
      <c r="A1894" s="82" t="n"/>
      <c r="B1894" s="44" t="n"/>
      <c r="C1894" s="82" t="n"/>
      <c r="D1894" s="82" t="n"/>
      <c r="E1894" s="81" t="n"/>
      <c r="F1894" s="82" t="n"/>
      <c r="G1894" s="82" t="n"/>
      <c r="H1894" s="82" t="n"/>
      <c r="I1894" s="82" t="n"/>
      <c r="J1894" s="82" t="n"/>
      <c r="K1894" s="82" t="n"/>
      <c r="L1894" s="82" t="n"/>
      <c r="M1894" s="82" t="n"/>
      <c r="N1894" s="82" t="n"/>
      <c r="O1894" s="82" t="n"/>
      <c r="P1894" s="82" t="n"/>
      <c r="Q1894" s="82" t="n"/>
      <c r="R1894" s="82" t="n"/>
      <c r="S1894" s="82" t="n"/>
      <c r="T1894" s="82" t="n"/>
      <c r="U1894" s="82" t="n"/>
      <c r="V1894" s="82" t="n"/>
      <c r="W1894" s="82" t="n"/>
      <c r="X1894" s="82" t="n"/>
      <c r="Y1894" s="82" t="n"/>
      <c r="Z1894" s="82" t="n"/>
    </row>
    <row r="1895" ht="15.75" customHeight="1" s="83">
      <c r="A1895" s="82" t="n"/>
      <c r="B1895" s="44" t="n"/>
      <c r="C1895" s="82" t="n"/>
      <c r="D1895" s="82" t="n"/>
      <c r="E1895" s="81" t="n"/>
      <c r="F1895" s="82" t="n"/>
      <c r="G1895" s="82" t="n"/>
      <c r="H1895" s="82" t="n"/>
      <c r="I1895" s="82" t="n"/>
      <c r="J1895" s="82" t="n"/>
      <c r="K1895" s="82" t="n"/>
      <c r="L1895" s="82" t="n"/>
      <c r="M1895" s="82" t="n"/>
      <c r="N1895" s="82" t="n"/>
      <c r="O1895" s="82" t="n"/>
      <c r="P1895" s="82" t="n"/>
      <c r="Q1895" s="82" t="n"/>
      <c r="R1895" s="82" t="n"/>
      <c r="S1895" s="82" t="n"/>
      <c r="T1895" s="82" t="n"/>
      <c r="U1895" s="82" t="n"/>
      <c r="V1895" s="82" t="n"/>
      <c r="W1895" s="82" t="n"/>
      <c r="X1895" s="82" t="n"/>
      <c r="Y1895" s="82" t="n"/>
      <c r="Z1895" s="82" t="n"/>
    </row>
    <row r="1896" ht="15.75" customHeight="1" s="83">
      <c r="A1896" s="82" t="n"/>
      <c r="B1896" s="44" t="n"/>
      <c r="C1896" s="82" t="n"/>
      <c r="D1896" s="82" t="n"/>
      <c r="E1896" s="81" t="n"/>
      <c r="F1896" s="82" t="n"/>
      <c r="G1896" s="82" t="n"/>
      <c r="H1896" s="82" t="n"/>
      <c r="I1896" s="82" t="n"/>
      <c r="J1896" s="82" t="n"/>
      <c r="K1896" s="82" t="n"/>
      <c r="L1896" s="82" t="n"/>
      <c r="M1896" s="82" t="n"/>
      <c r="N1896" s="82" t="n"/>
      <c r="O1896" s="82" t="n"/>
      <c r="P1896" s="82" t="n"/>
      <c r="Q1896" s="82" t="n"/>
      <c r="R1896" s="82" t="n"/>
      <c r="S1896" s="82" t="n"/>
      <c r="T1896" s="82" t="n"/>
      <c r="U1896" s="82" t="n"/>
      <c r="V1896" s="82" t="n"/>
      <c r="W1896" s="82" t="n"/>
      <c r="X1896" s="82" t="n"/>
      <c r="Y1896" s="82" t="n"/>
      <c r="Z1896" s="82" t="n"/>
    </row>
    <row r="1897" ht="15.75" customHeight="1" s="83">
      <c r="A1897" s="82" t="n"/>
      <c r="B1897" s="44" t="n"/>
      <c r="C1897" s="82" t="n"/>
      <c r="D1897" s="82" t="n"/>
      <c r="E1897" s="81" t="n"/>
      <c r="F1897" s="82" t="n"/>
      <c r="G1897" s="82" t="n"/>
      <c r="H1897" s="82" t="n"/>
      <c r="I1897" s="82" t="n"/>
      <c r="J1897" s="82" t="n"/>
      <c r="K1897" s="82" t="n"/>
      <c r="L1897" s="82" t="n"/>
      <c r="M1897" s="82" t="n"/>
      <c r="N1897" s="82" t="n"/>
      <c r="O1897" s="82" t="n"/>
      <c r="P1897" s="82" t="n"/>
      <c r="Q1897" s="82" t="n"/>
      <c r="R1897" s="82" t="n"/>
      <c r="S1897" s="82" t="n"/>
      <c r="T1897" s="82" t="n"/>
      <c r="U1897" s="82" t="n"/>
      <c r="V1897" s="82" t="n"/>
      <c r="W1897" s="82" t="n"/>
      <c r="X1897" s="82" t="n"/>
      <c r="Y1897" s="82" t="n"/>
      <c r="Z1897" s="82" t="n"/>
    </row>
    <row r="1898" ht="15.75" customHeight="1" s="83">
      <c r="A1898" s="82" t="n"/>
      <c r="B1898" s="44" t="n"/>
      <c r="C1898" s="82" t="n"/>
      <c r="D1898" s="82" t="n"/>
      <c r="E1898" s="81" t="n"/>
      <c r="F1898" s="82" t="n"/>
      <c r="G1898" s="82" t="n"/>
      <c r="H1898" s="82" t="n"/>
      <c r="I1898" s="82" t="n"/>
      <c r="J1898" s="82" t="n"/>
      <c r="K1898" s="82" t="n"/>
      <c r="L1898" s="82" t="n"/>
      <c r="M1898" s="82" t="n"/>
      <c r="N1898" s="82" t="n"/>
      <c r="O1898" s="82" t="n"/>
      <c r="P1898" s="82" t="n"/>
      <c r="Q1898" s="82" t="n"/>
      <c r="R1898" s="82" t="n"/>
      <c r="S1898" s="82" t="n"/>
      <c r="T1898" s="82" t="n"/>
      <c r="U1898" s="82" t="n"/>
      <c r="V1898" s="82" t="n"/>
      <c r="W1898" s="82" t="n"/>
      <c r="X1898" s="82" t="n"/>
      <c r="Y1898" s="82" t="n"/>
      <c r="Z1898" s="82" t="n"/>
    </row>
    <row r="1899" ht="15.75" customHeight="1" s="83">
      <c r="A1899" s="82" t="n"/>
      <c r="B1899" s="44" t="n"/>
      <c r="C1899" s="82" t="n"/>
      <c r="D1899" s="82" t="n"/>
      <c r="E1899" s="81" t="n"/>
      <c r="F1899" s="82" t="n"/>
      <c r="G1899" s="82" t="n"/>
      <c r="H1899" s="82" t="n"/>
      <c r="I1899" s="82" t="n"/>
      <c r="J1899" s="82" t="n"/>
      <c r="K1899" s="82" t="n"/>
      <c r="L1899" s="82" t="n"/>
      <c r="M1899" s="82" t="n"/>
      <c r="N1899" s="82" t="n"/>
      <c r="O1899" s="82" t="n"/>
      <c r="P1899" s="82" t="n"/>
      <c r="Q1899" s="82" t="n"/>
      <c r="R1899" s="82" t="n"/>
      <c r="S1899" s="82" t="n"/>
      <c r="T1899" s="82" t="n"/>
      <c r="U1899" s="82" t="n"/>
      <c r="V1899" s="82" t="n"/>
      <c r="W1899" s="82" t="n"/>
      <c r="X1899" s="82" t="n"/>
      <c r="Y1899" s="82" t="n"/>
      <c r="Z1899" s="82" t="n"/>
    </row>
    <row r="1900" ht="15.75" customHeight="1" s="83">
      <c r="A1900" s="82" t="n"/>
      <c r="B1900" s="44" t="n"/>
      <c r="C1900" s="82" t="n"/>
      <c r="D1900" s="82" t="n"/>
      <c r="E1900" s="81" t="n"/>
      <c r="F1900" s="82" t="n"/>
      <c r="G1900" s="82" t="n"/>
      <c r="H1900" s="82" t="n"/>
      <c r="I1900" s="82" t="n"/>
      <c r="J1900" s="82" t="n"/>
      <c r="K1900" s="82" t="n"/>
      <c r="L1900" s="82" t="n"/>
      <c r="M1900" s="82" t="n"/>
      <c r="N1900" s="82" t="n"/>
      <c r="O1900" s="82" t="n"/>
      <c r="P1900" s="82" t="n"/>
      <c r="Q1900" s="82" t="n"/>
      <c r="R1900" s="82" t="n"/>
      <c r="S1900" s="82" t="n"/>
      <c r="T1900" s="82" t="n"/>
      <c r="U1900" s="82" t="n"/>
      <c r="V1900" s="82" t="n"/>
      <c r="W1900" s="82" t="n"/>
      <c r="X1900" s="82" t="n"/>
      <c r="Y1900" s="82" t="n"/>
      <c r="Z1900" s="82" t="n"/>
    </row>
    <row r="1901" ht="15.75" customHeight="1" s="83">
      <c r="A1901" s="82" t="n"/>
      <c r="B1901" s="44" t="n"/>
      <c r="C1901" s="82" t="n"/>
      <c r="D1901" s="82" t="n"/>
      <c r="E1901" s="81" t="n"/>
      <c r="F1901" s="82" t="n"/>
      <c r="G1901" s="82" t="n"/>
      <c r="H1901" s="82" t="n"/>
      <c r="I1901" s="82" t="n"/>
      <c r="J1901" s="82" t="n"/>
      <c r="K1901" s="82" t="n"/>
      <c r="L1901" s="82" t="n"/>
      <c r="M1901" s="82" t="n"/>
      <c r="N1901" s="82" t="n"/>
      <c r="O1901" s="82" t="n"/>
      <c r="P1901" s="82" t="n"/>
      <c r="Q1901" s="82" t="n"/>
      <c r="R1901" s="82" t="n"/>
      <c r="S1901" s="82" t="n"/>
      <c r="T1901" s="82" t="n"/>
      <c r="U1901" s="82" t="n"/>
      <c r="V1901" s="82" t="n"/>
      <c r="W1901" s="82" t="n"/>
      <c r="X1901" s="82" t="n"/>
      <c r="Y1901" s="82" t="n"/>
      <c r="Z1901" s="82" t="n"/>
    </row>
    <row r="1902" ht="15.75" customHeight="1" s="83">
      <c r="A1902" s="82" t="n"/>
      <c r="B1902" s="44" t="n"/>
      <c r="C1902" s="82" t="n"/>
      <c r="D1902" s="82" t="n"/>
      <c r="E1902" s="81" t="n"/>
      <c r="F1902" s="82" t="n"/>
      <c r="G1902" s="82" t="n"/>
      <c r="H1902" s="82" t="n"/>
      <c r="I1902" s="82" t="n"/>
      <c r="J1902" s="82" t="n"/>
      <c r="K1902" s="82" t="n"/>
      <c r="L1902" s="82" t="n"/>
      <c r="M1902" s="82" t="n"/>
      <c r="N1902" s="82" t="n"/>
      <c r="O1902" s="82" t="n"/>
      <c r="P1902" s="82" t="n"/>
      <c r="Q1902" s="82" t="n"/>
      <c r="R1902" s="82" t="n"/>
      <c r="S1902" s="82" t="n"/>
      <c r="T1902" s="82" t="n"/>
      <c r="U1902" s="82" t="n"/>
      <c r="V1902" s="82" t="n"/>
      <c r="W1902" s="82" t="n"/>
      <c r="X1902" s="82" t="n"/>
      <c r="Y1902" s="82" t="n"/>
      <c r="Z1902" s="82" t="n"/>
    </row>
    <row r="1903" ht="15.75" customHeight="1" s="83">
      <c r="A1903" s="82" t="n"/>
      <c r="B1903" s="44" t="n"/>
      <c r="C1903" s="82" t="n"/>
      <c r="D1903" s="82" t="n"/>
      <c r="E1903" s="81" t="n"/>
      <c r="F1903" s="82" t="n"/>
      <c r="G1903" s="82" t="n"/>
      <c r="H1903" s="82" t="n"/>
      <c r="I1903" s="82" t="n"/>
      <c r="J1903" s="82" t="n"/>
      <c r="K1903" s="82" t="n"/>
      <c r="L1903" s="82" t="n"/>
      <c r="M1903" s="82" t="n"/>
      <c r="N1903" s="82" t="n"/>
      <c r="O1903" s="82" t="n"/>
      <c r="P1903" s="82" t="n"/>
      <c r="Q1903" s="82" t="n"/>
      <c r="R1903" s="82" t="n"/>
      <c r="S1903" s="82" t="n"/>
      <c r="T1903" s="82" t="n"/>
      <c r="U1903" s="82" t="n"/>
      <c r="V1903" s="82" t="n"/>
      <c r="W1903" s="82" t="n"/>
      <c r="X1903" s="82" t="n"/>
      <c r="Y1903" s="82" t="n"/>
      <c r="Z1903" s="82" t="n"/>
    </row>
    <row r="1904" ht="15.75" customHeight="1" s="83">
      <c r="A1904" s="82" t="n"/>
      <c r="B1904" s="44" t="n"/>
      <c r="C1904" s="82" t="n"/>
      <c r="D1904" s="82" t="n"/>
      <c r="E1904" s="81" t="n"/>
      <c r="F1904" s="82" t="n"/>
      <c r="G1904" s="82" t="n"/>
      <c r="H1904" s="82" t="n"/>
      <c r="I1904" s="82" t="n"/>
      <c r="J1904" s="82" t="n"/>
      <c r="K1904" s="82" t="n"/>
      <c r="L1904" s="82" t="n"/>
      <c r="M1904" s="82" t="n"/>
      <c r="N1904" s="82" t="n"/>
      <c r="O1904" s="82" t="n"/>
      <c r="P1904" s="82" t="n"/>
      <c r="Q1904" s="82" t="n"/>
      <c r="R1904" s="82" t="n"/>
      <c r="S1904" s="82" t="n"/>
      <c r="T1904" s="82" t="n"/>
      <c r="U1904" s="82" t="n"/>
      <c r="V1904" s="82" t="n"/>
      <c r="W1904" s="82" t="n"/>
      <c r="X1904" s="82" t="n"/>
      <c r="Y1904" s="82" t="n"/>
      <c r="Z1904" s="82" t="n"/>
    </row>
    <row r="1905" ht="15.75" customHeight="1" s="83">
      <c r="A1905" s="82" t="n"/>
      <c r="B1905" s="44" t="n"/>
      <c r="C1905" s="82" t="n"/>
      <c r="D1905" s="82" t="n"/>
      <c r="E1905" s="81" t="n"/>
      <c r="F1905" s="82" t="n"/>
      <c r="G1905" s="82" t="n"/>
      <c r="H1905" s="82" t="n"/>
      <c r="I1905" s="82" t="n"/>
      <c r="J1905" s="82" t="n"/>
      <c r="K1905" s="82" t="n"/>
      <c r="L1905" s="82" t="n"/>
      <c r="M1905" s="82" t="n"/>
      <c r="N1905" s="82" t="n"/>
      <c r="O1905" s="82" t="n"/>
      <c r="P1905" s="82" t="n"/>
      <c r="Q1905" s="82" t="n"/>
      <c r="R1905" s="82" t="n"/>
      <c r="S1905" s="82" t="n"/>
      <c r="T1905" s="82" t="n"/>
      <c r="U1905" s="82" t="n"/>
      <c r="V1905" s="82" t="n"/>
      <c r="W1905" s="82" t="n"/>
      <c r="X1905" s="82" t="n"/>
      <c r="Y1905" s="82" t="n"/>
      <c r="Z1905" s="82" t="n"/>
    </row>
    <row r="1906" ht="15.75" customHeight="1" s="83">
      <c r="A1906" s="82" t="n"/>
      <c r="B1906" s="44" t="n"/>
      <c r="C1906" s="82" t="n"/>
      <c r="D1906" s="82" t="n"/>
      <c r="E1906" s="81" t="n"/>
      <c r="F1906" s="82" t="n"/>
      <c r="G1906" s="82" t="n"/>
      <c r="H1906" s="82" t="n"/>
      <c r="I1906" s="82" t="n"/>
      <c r="J1906" s="82" t="n"/>
      <c r="K1906" s="82" t="n"/>
      <c r="L1906" s="82" t="n"/>
      <c r="M1906" s="82" t="n"/>
      <c r="N1906" s="82" t="n"/>
      <c r="O1906" s="82" t="n"/>
      <c r="P1906" s="82" t="n"/>
      <c r="Q1906" s="82" t="n"/>
      <c r="R1906" s="82" t="n"/>
      <c r="S1906" s="82" t="n"/>
      <c r="T1906" s="82" t="n"/>
      <c r="U1906" s="82" t="n"/>
      <c r="V1906" s="82" t="n"/>
      <c r="W1906" s="82" t="n"/>
      <c r="X1906" s="82" t="n"/>
      <c r="Y1906" s="82" t="n"/>
      <c r="Z1906" s="82" t="n"/>
    </row>
    <row r="1907" ht="15.75" customHeight="1" s="83">
      <c r="A1907" s="82" t="n"/>
      <c r="B1907" s="44" t="n"/>
      <c r="C1907" s="82" t="n"/>
      <c r="D1907" s="82" t="n"/>
      <c r="E1907" s="81" t="n"/>
      <c r="F1907" s="82" t="n"/>
      <c r="G1907" s="82" t="n"/>
      <c r="H1907" s="82" t="n"/>
      <c r="I1907" s="82" t="n"/>
      <c r="J1907" s="82" t="n"/>
      <c r="K1907" s="82" t="n"/>
      <c r="L1907" s="82" t="n"/>
      <c r="M1907" s="82" t="n"/>
      <c r="N1907" s="82" t="n"/>
      <c r="O1907" s="82" t="n"/>
      <c r="P1907" s="82" t="n"/>
      <c r="Q1907" s="82" t="n"/>
      <c r="R1907" s="82" t="n"/>
      <c r="S1907" s="82" t="n"/>
      <c r="T1907" s="82" t="n"/>
      <c r="U1907" s="82" t="n"/>
      <c r="V1907" s="82" t="n"/>
      <c r="W1907" s="82" t="n"/>
      <c r="X1907" s="82" t="n"/>
      <c r="Y1907" s="82" t="n"/>
      <c r="Z1907" s="82" t="n"/>
    </row>
    <row r="1908" ht="15.75" customHeight="1" s="83">
      <c r="A1908" s="82" t="n"/>
      <c r="B1908" s="44" t="n"/>
      <c r="C1908" s="82" t="n"/>
      <c r="D1908" s="82" t="n"/>
      <c r="E1908" s="81" t="n"/>
      <c r="F1908" s="82" t="n"/>
      <c r="G1908" s="82" t="n"/>
      <c r="H1908" s="82" t="n"/>
      <c r="I1908" s="82" t="n"/>
      <c r="J1908" s="82" t="n"/>
      <c r="K1908" s="82" t="n"/>
      <c r="L1908" s="82" t="n"/>
      <c r="M1908" s="82" t="n"/>
      <c r="N1908" s="82" t="n"/>
      <c r="O1908" s="82" t="n"/>
      <c r="P1908" s="82" t="n"/>
      <c r="Q1908" s="82" t="n"/>
      <c r="R1908" s="82" t="n"/>
      <c r="S1908" s="82" t="n"/>
      <c r="T1908" s="82" t="n"/>
      <c r="U1908" s="82" t="n"/>
      <c r="V1908" s="82" t="n"/>
      <c r="W1908" s="82" t="n"/>
      <c r="X1908" s="82" t="n"/>
      <c r="Y1908" s="82" t="n"/>
      <c r="Z1908" s="82" t="n"/>
    </row>
    <row r="1909" ht="15.75" customHeight="1" s="83">
      <c r="A1909" s="82" t="n"/>
      <c r="B1909" s="44" t="n"/>
      <c r="C1909" s="82" t="n"/>
      <c r="D1909" s="82" t="n"/>
      <c r="E1909" s="81" t="n"/>
      <c r="F1909" s="82" t="n"/>
      <c r="G1909" s="82" t="n"/>
      <c r="H1909" s="82" t="n"/>
      <c r="I1909" s="82" t="n"/>
      <c r="J1909" s="82" t="n"/>
      <c r="K1909" s="82" t="n"/>
      <c r="L1909" s="82" t="n"/>
      <c r="M1909" s="82" t="n"/>
      <c r="N1909" s="82" t="n"/>
      <c r="O1909" s="82" t="n"/>
      <c r="P1909" s="82" t="n"/>
      <c r="Q1909" s="82" t="n"/>
      <c r="R1909" s="82" t="n"/>
      <c r="S1909" s="82" t="n"/>
      <c r="T1909" s="82" t="n"/>
      <c r="U1909" s="82" t="n"/>
      <c r="V1909" s="82" t="n"/>
      <c r="W1909" s="82" t="n"/>
      <c r="X1909" s="82" t="n"/>
      <c r="Y1909" s="82" t="n"/>
      <c r="Z1909" s="82" t="n"/>
    </row>
    <row r="1910" ht="15.75" customHeight="1" s="83">
      <c r="A1910" s="82" t="n"/>
      <c r="B1910" s="44" t="n"/>
      <c r="C1910" s="82" t="n"/>
      <c r="D1910" s="82" t="n"/>
      <c r="E1910" s="81" t="n"/>
      <c r="F1910" s="82" t="n"/>
      <c r="G1910" s="82" t="n"/>
      <c r="H1910" s="82" t="n"/>
      <c r="I1910" s="82" t="n"/>
      <c r="J1910" s="82" t="n"/>
      <c r="K1910" s="82" t="n"/>
      <c r="L1910" s="82" t="n"/>
      <c r="M1910" s="82" t="n"/>
      <c r="N1910" s="82" t="n"/>
      <c r="O1910" s="82" t="n"/>
      <c r="P1910" s="82" t="n"/>
      <c r="Q1910" s="82" t="n"/>
      <c r="R1910" s="82" t="n"/>
      <c r="S1910" s="82" t="n"/>
      <c r="T1910" s="82" t="n"/>
      <c r="U1910" s="82" t="n"/>
      <c r="V1910" s="82" t="n"/>
      <c r="W1910" s="82" t="n"/>
      <c r="X1910" s="82" t="n"/>
      <c r="Y1910" s="82" t="n"/>
      <c r="Z1910" s="82" t="n"/>
    </row>
    <row r="1911" ht="15.75" customHeight="1" s="83">
      <c r="A1911" s="82" t="n"/>
      <c r="B1911" s="44" t="n"/>
      <c r="C1911" s="82" t="n"/>
      <c r="D1911" s="82" t="n"/>
      <c r="E1911" s="81" t="n"/>
      <c r="F1911" s="82" t="n"/>
      <c r="G1911" s="82" t="n"/>
      <c r="H1911" s="82" t="n"/>
      <c r="I1911" s="82" t="n"/>
      <c r="J1911" s="82" t="n"/>
      <c r="K1911" s="82" t="n"/>
      <c r="L1911" s="82" t="n"/>
      <c r="M1911" s="82" t="n"/>
      <c r="N1911" s="82" t="n"/>
      <c r="O1911" s="82" t="n"/>
      <c r="P1911" s="82" t="n"/>
      <c r="Q1911" s="82" t="n"/>
      <c r="R1911" s="82" t="n"/>
      <c r="S1911" s="82" t="n"/>
      <c r="T1911" s="82" t="n"/>
      <c r="U1911" s="82" t="n"/>
      <c r="V1911" s="82" t="n"/>
      <c r="W1911" s="82" t="n"/>
      <c r="X1911" s="82" t="n"/>
      <c r="Y1911" s="82" t="n"/>
      <c r="Z1911" s="82" t="n"/>
    </row>
    <row r="1912" ht="15.75" customHeight="1" s="83">
      <c r="A1912" s="82" t="n"/>
      <c r="B1912" s="44" t="n"/>
      <c r="C1912" s="82" t="n"/>
      <c r="D1912" s="82" t="n"/>
      <c r="E1912" s="81" t="n"/>
      <c r="F1912" s="82" t="n"/>
      <c r="G1912" s="82" t="n"/>
      <c r="H1912" s="82" t="n"/>
      <c r="I1912" s="82" t="n"/>
      <c r="J1912" s="82" t="n"/>
      <c r="K1912" s="82" t="n"/>
      <c r="L1912" s="82" t="n"/>
      <c r="M1912" s="82" t="n"/>
      <c r="N1912" s="82" t="n"/>
      <c r="O1912" s="82" t="n"/>
      <c r="P1912" s="82" t="n"/>
      <c r="Q1912" s="82" t="n"/>
      <c r="R1912" s="82" t="n"/>
      <c r="S1912" s="82" t="n"/>
      <c r="T1912" s="82" t="n"/>
      <c r="U1912" s="82" t="n"/>
      <c r="V1912" s="82" t="n"/>
      <c r="W1912" s="82" t="n"/>
      <c r="X1912" s="82" t="n"/>
      <c r="Y1912" s="82" t="n"/>
      <c r="Z1912" s="82" t="n"/>
    </row>
    <row r="1913" ht="15.75" customHeight="1" s="83">
      <c r="A1913" s="82" t="n"/>
      <c r="B1913" s="44" t="n"/>
      <c r="C1913" s="82" t="n"/>
      <c r="D1913" s="82" t="n"/>
      <c r="E1913" s="81" t="n"/>
      <c r="F1913" s="82" t="n"/>
      <c r="G1913" s="82" t="n"/>
      <c r="H1913" s="82" t="n"/>
      <c r="I1913" s="82" t="n"/>
      <c r="J1913" s="82" t="n"/>
      <c r="K1913" s="82" t="n"/>
      <c r="L1913" s="82" t="n"/>
      <c r="M1913" s="82" t="n"/>
      <c r="N1913" s="82" t="n"/>
      <c r="O1913" s="82" t="n"/>
      <c r="P1913" s="82" t="n"/>
      <c r="Q1913" s="82" t="n"/>
      <c r="R1913" s="82" t="n"/>
      <c r="S1913" s="82" t="n"/>
      <c r="T1913" s="82" t="n"/>
      <c r="U1913" s="82" t="n"/>
      <c r="V1913" s="82" t="n"/>
      <c r="W1913" s="82" t="n"/>
      <c r="X1913" s="82" t="n"/>
      <c r="Y1913" s="82" t="n"/>
      <c r="Z1913" s="82" t="n"/>
    </row>
    <row r="1914" ht="15.75" customHeight="1" s="83">
      <c r="A1914" s="82" t="n"/>
      <c r="B1914" s="44" t="n"/>
      <c r="C1914" s="82" t="n"/>
      <c r="D1914" s="82" t="n"/>
      <c r="E1914" s="81" t="n"/>
      <c r="F1914" s="82" t="n"/>
      <c r="G1914" s="82" t="n"/>
      <c r="H1914" s="82" t="n"/>
      <c r="I1914" s="82" t="n"/>
      <c r="J1914" s="82" t="n"/>
      <c r="K1914" s="82" t="n"/>
      <c r="L1914" s="82" t="n"/>
      <c r="M1914" s="82" t="n"/>
      <c r="N1914" s="82" t="n"/>
      <c r="O1914" s="82" t="n"/>
      <c r="P1914" s="82" t="n"/>
      <c r="Q1914" s="82" t="n"/>
      <c r="R1914" s="82" t="n"/>
      <c r="S1914" s="82" t="n"/>
      <c r="T1914" s="82" t="n"/>
      <c r="U1914" s="82" t="n"/>
      <c r="V1914" s="82" t="n"/>
      <c r="W1914" s="82" t="n"/>
      <c r="X1914" s="82" t="n"/>
      <c r="Y1914" s="82" t="n"/>
      <c r="Z1914" s="82" t="n"/>
    </row>
    <row r="1915" ht="15.75" customHeight="1" s="83">
      <c r="A1915" s="82" t="n"/>
      <c r="B1915" s="44" t="n"/>
      <c r="C1915" s="82" t="n"/>
      <c r="D1915" s="82" t="n"/>
      <c r="E1915" s="81" t="n"/>
      <c r="F1915" s="82" t="n"/>
      <c r="G1915" s="82" t="n"/>
      <c r="H1915" s="82" t="n"/>
      <c r="I1915" s="82" t="n"/>
      <c r="J1915" s="82" t="n"/>
      <c r="K1915" s="82" t="n"/>
      <c r="L1915" s="82" t="n"/>
      <c r="M1915" s="82" t="n"/>
      <c r="N1915" s="82" t="n"/>
      <c r="O1915" s="82" t="n"/>
      <c r="P1915" s="82" t="n"/>
      <c r="Q1915" s="82" t="n"/>
      <c r="R1915" s="82" t="n"/>
      <c r="S1915" s="82" t="n"/>
      <c r="T1915" s="82" t="n"/>
      <c r="U1915" s="82" t="n"/>
      <c r="V1915" s="82" t="n"/>
      <c r="W1915" s="82" t="n"/>
      <c r="X1915" s="82" t="n"/>
      <c r="Y1915" s="82" t="n"/>
      <c r="Z1915" s="82" t="n"/>
    </row>
    <row r="1916" ht="15.75" customHeight="1" s="83">
      <c r="A1916" s="82" t="n"/>
      <c r="B1916" s="44" t="n"/>
      <c r="C1916" s="82" t="n"/>
      <c r="D1916" s="82" t="n"/>
      <c r="E1916" s="81" t="n"/>
      <c r="F1916" s="82" t="n"/>
      <c r="G1916" s="82" t="n"/>
      <c r="H1916" s="82" t="n"/>
      <c r="I1916" s="82" t="n"/>
      <c r="J1916" s="82" t="n"/>
      <c r="K1916" s="82" t="n"/>
      <c r="L1916" s="82" t="n"/>
      <c r="M1916" s="82" t="n"/>
      <c r="N1916" s="82" t="n"/>
      <c r="O1916" s="82" t="n"/>
      <c r="P1916" s="82" t="n"/>
      <c r="Q1916" s="82" t="n"/>
      <c r="R1916" s="82" t="n"/>
      <c r="S1916" s="82" t="n"/>
      <c r="T1916" s="82" t="n"/>
      <c r="U1916" s="82" t="n"/>
      <c r="V1916" s="82" t="n"/>
      <c r="W1916" s="82" t="n"/>
      <c r="X1916" s="82" t="n"/>
      <c r="Y1916" s="82" t="n"/>
      <c r="Z1916" s="82" t="n"/>
    </row>
    <row r="1917" ht="15.75" customHeight="1" s="83">
      <c r="A1917" s="82" t="n"/>
      <c r="B1917" s="44" t="n"/>
      <c r="C1917" s="82" t="n"/>
      <c r="D1917" s="82" t="n"/>
      <c r="E1917" s="81" t="n"/>
      <c r="F1917" s="82" t="n"/>
      <c r="G1917" s="82" t="n"/>
      <c r="H1917" s="82" t="n"/>
      <c r="I1917" s="82" t="n"/>
      <c r="J1917" s="82" t="n"/>
      <c r="K1917" s="82" t="n"/>
      <c r="L1917" s="82" t="n"/>
      <c r="M1917" s="82" t="n"/>
      <c r="N1917" s="82" t="n"/>
      <c r="O1917" s="82" t="n"/>
      <c r="P1917" s="82" t="n"/>
      <c r="Q1917" s="82" t="n"/>
      <c r="R1917" s="82" t="n"/>
      <c r="S1917" s="82" t="n"/>
      <c r="T1917" s="82" t="n"/>
      <c r="U1917" s="82" t="n"/>
      <c r="V1917" s="82" t="n"/>
      <c r="W1917" s="82" t="n"/>
      <c r="X1917" s="82" t="n"/>
      <c r="Y1917" s="82" t="n"/>
      <c r="Z1917" s="82" t="n"/>
    </row>
    <row r="1918" ht="15.75" customHeight="1" s="83">
      <c r="A1918" s="82" t="n"/>
      <c r="B1918" s="44" t="n"/>
      <c r="C1918" s="82" t="n"/>
      <c r="D1918" s="82" t="n"/>
      <c r="E1918" s="81" t="n"/>
      <c r="F1918" s="82" t="n"/>
      <c r="G1918" s="82" t="n"/>
      <c r="H1918" s="82" t="n"/>
      <c r="I1918" s="82" t="n"/>
      <c r="J1918" s="82" t="n"/>
      <c r="K1918" s="82" t="n"/>
      <c r="L1918" s="82" t="n"/>
      <c r="M1918" s="82" t="n"/>
      <c r="N1918" s="82" t="n"/>
      <c r="O1918" s="82" t="n"/>
      <c r="P1918" s="82" t="n"/>
      <c r="Q1918" s="82" t="n"/>
      <c r="R1918" s="82" t="n"/>
      <c r="S1918" s="82" t="n"/>
      <c r="T1918" s="82" t="n"/>
      <c r="U1918" s="82" t="n"/>
      <c r="V1918" s="82" t="n"/>
      <c r="W1918" s="82" t="n"/>
      <c r="X1918" s="82" t="n"/>
      <c r="Y1918" s="82" t="n"/>
      <c r="Z1918" s="82" t="n"/>
    </row>
    <row r="1919" ht="15.75" customHeight="1" s="83">
      <c r="A1919" s="82" t="n"/>
      <c r="B1919" s="44" t="n"/>
      <c r="C1919" s="82" t="n"/>
      <c r="D1919" s="82" t="n"/>
      <c r="E1919" s="81" t="n"/>
      <c r="F1919" s="82" t="n"/>
      <c r="G1919" s="82" t="n"/>
      <c r="H1919" s="82" t="n"/>
      <c r="I1919" s="82" t="n"/>
      <c r="J1919" s="82" t="n"/>
      <c r="K1919" s="82" t="n"/>
      <c r="L1919" s="82" t="n"/>
      <c r="M1919" s="82" t="n"/>
      <c r="N1919" s="82" t="n"/>
      <c r="O1919" s="82" t="n"/>
      <c r="P1919" s="82" t="n"/>
      <c r="Q1919" s="82" t="n"/>
      <c r="R1919" s="82" t="n"/>
      <c r="S1919" s="82" t="n"/>
      <c r="T1919" s="82" t="n"/>
      <c r="U1919" s="82" t="n"/>
      <c r="V1919" s="82" t="n"/>
      <c r="W1919" s="82" t="n"/>
      <c r="X1919" s="82" t="n"/>
      <c r="Y1919" s="82" t="n"/>
      <c r="Z1919" s="82" t="n"/>
    </row>
    <row r="1920" ht="15.75" customHeight="1" s="83">
      <c r="A1920" s="82" t="n"/>
      <c r="B1920" s="44" t="n"/>
      <c r="C1920" s="82" t="n"/>
      <c r="D1920" s="82" t="n"/>
      <c r="E1920" s="81" t="n"/>
      <c r="F1920" s="82" t="n"/>
      <c r="G1920" s="82" t="n"/>
      <c r="H1920" s="82" t="n"/>
      <c r="I1920" s="82" t="n"/>
      <c r="J1920" s="82" t="n"/>
      <c r="K1920" s="82" t="n"/>
      <c r="L1920" s="82" t="n"/>
      <c r="M1920" s="82" t="n"/>
      <c r="N1920" s="82" t="n"/>
      <c r="O1920" s="82" t="n"/>
      <c r="P1920" s="82" t="n"/>
      <c r="Q1920" s="82" t="n"/>
      <c r="R1920" s="82" t="n"/>
      <c r="S1920" s="82" t="n"/>
      <c r="T1920" s="82" t="n"/>
      <c r="U1920" s="82" t="n"/>
      <c r="V1920" s="82" t="n"/>
      <c r="W1920" s="82" t="n"/>
      <c r="X1920" s="82" t="n"/>
      <c r="Y1920" s="82" t="n"/>
      <c r="Z1920" s="82" t="n"/>
    </row>
    <row r="1921" ht="15.75" customHeight="1" s="83">
      <c r="A1921" s="82" t="n"/>
      <c r="B1921" s="44" t="n"/>
      <c r="C1921" s="82" t="n"/>
      <c r="D1921" s="82" t="n"/>
      <c r="E1921" s="81" t="n"/>
      <c r="F1921" s="82" t="n"/>
      <c r="G1921" s="82" t="n"/>
      <c r="H1921" s="82" t="n"/>
      <c r="I1921" s="82" t="n"/>
      <c r="J1921" s="82" t="n"/>
      <c r="K1921" s="82" t="n"/>
      <c r="L1921" s="82" t="n"/>
      <c r="M1921" s="82" t="n"/>
      <c r="N1921" s="82" t="n"/>
      <c r="O1921" s="82" t="n"/>
      <c r="P1921" s="82" t="n"/>
      <c r="Q1921" s="82" t="n"/>
      <c r="R1921" s="82" t="n"/>
      <c r="S1921" s="82" t="n"/>
      <c r="T1921" s="82" t="n"/>
      <c r="U1921" s="82" t="n"/>
      <c r="V1921" s="82" t="n"/>
      <c r="W1921" s="82" t="n"/>
      <c r="X1921" s="82" t="n"/>
      <c r="Y1921" s="82" t="n"/>
      <c r="Z1921" s="82" t="n"/>
    </row>
    <row r="1922" ht="15.75" customHeight="1" s="83">
      <c r="A1922" s="82" t="n"/>
      <c r="B1922" s="44" t="n"/>
      <c r="C1922" s="82" t="n"/>
      <c r="D1922" s="82" t="n"/>
      <c r="E1922" s="81" t="n"/>
      <c r="F1922" s="82" t="n"/>
      <c r="G1922" s="82" t="n"/>
      <c r="H1922" s="82" t="n"/>
      <c r="I1922" s="82" t="n"/>
      <c r="J1922" s="82" t="n"/>
      <c r="K1922" s="82" t="n"/>
      <c r="L1922" s="82" t="n"/>
      <c r="M1922" s="82" t="n"/>
      <c r="N1922" s="82" t="n"/>
      <c r="O1922" s="82" t="n"/>
      <c r="P1922" s="82" t="n"/>
      <c r="Q1922" s="82" t="n"/>
      <c r="R1922" s="82" t="n"/>
      <c r="S1922" s="82" t="n"/>
      <c r="T1922" s="82" t="n"/>
      <c r="U1922" s="82" t="n"/>
      <c r="V1922" s="82" t="n"/>
      <c r="W1922" s="82" t="n"/>
      <c r="X1922" s="82" t="n"/>
      <c r="Y1922" s="82" t="n"/>
      <c r="Z1922" s="82" t="n"/>
    </row>
    <row r="1923" ht="15.75" customHeight="1" s="83">
      <c r="A1923" s="82" t="n"/>
      <c r="B1923" s="44" t="n"/>
      <c r="C1923" s="82" t="n"/>
      <c r="D1923" s="82" t="n"/>
      <c r="E1923" s="81" t="n"/>
      <c r="F1923" s="82" t="n"/>
      <c r="G1923" s="82" t="n"/>
      <c r="H1923" s="82" t="n"/>
      <c r="I1923" s="82" t="n"/>
      <c r="J1923" s="82" t="n"/>
      <c r="K1923" s="82" t="n"/>
      <c r="L1923" s="82" t="n"/>
      <c r="M1923" s="82" t="n"/>
      <c r="N1923" s="82" t="n"/>
      <c r="O1923" s="82" t="n"/>
      <c r="P1923" s="82" t="n"/>
      <c r="Q1923" s="82" t="n"/>
      <c r="R1923" s="82" t="n"/>
      <c r="S1923" s="82" t="n"/>
      <c r="T1923" s="82" t="n"/>
      <c r="U1923" s="82" t="n"/>
      <c r="V1923" s="82" t="n"/>
      <c r="W1923" s="82" t="n"/>
      <c r="X1923" s="82" t="n"/>
      <c r="Y1923" s="82" t="n"/>
      <c r="Z1923" s="82" t="n"/>
    </row>
    <row r="1924" ht="15.75" customHeight="1" s="83">
      <c r="A1924" s="82" t="n"/>
      <c r="B1924" s="44" t="n"/>
      <c r="C1924" s="82" t="n"/>
      <c r="D1924" s="82" t="n"/>
      <c r="E1924" s="81" t="n"/>
      <c r="F1924" s="82" t="n"/>
      <c r="G1924" s="82" t="n"/>
      <c r="H1924" s="82" t="n"/>
      <c r="I1924" s="82" t="n"/>
      <c r="J1924" s="82" t="n"/>
      <c r="K1924" s="82" t="n"/>
      <c r="L1924" s="82" t="n"/>
      <c r="M1924" s="82" t="n"/>
      <c r="N1924" s="82" t="n"/>
      <c r="O1924" s="82" t="n"/>
      <c r="P1924" s="82" t="n"/>
      <c r="Q1924" s="82" t="n"/>
      <c r="R1924" s="82" t="n"/>
      <c r="S1924" s="82" t="n"/>
      <c r="T1924" s="82" t="n"/>
      <c r="U1924" s="82" t="n"/>
      <c r="V1924" s="82" t="n"/>
      <c r="W1924" s="82" t="n"/>
      <c r="X1924" s="82" t="n"/>
      <c r="Y1924" s="82" t="n"/>
      <c r="Z1924" s="82" t="n"/>
    </row>
    <row r="1925" ht="15.75" customHeight="1" s="83">
      <c r="A1925" s="82" t="n"/>
      <c r="B1925" s="44" t="n"/>
      <c r="C1925" s="82" t="n"/>
      <c r="D1925" s="82" t="n"/>
      <c r="E1925" s="81" t="n"/>
      <c r="F1925" s="82" t="n"/>
      <c r="G1925" s="82" t="n"/>
      <c r="H1925" s="82" t="n"/>
      <c r="I1925" s="82" t="n"/>
      <c r="J1925" s="82" t="n"/>
      <c r="K1925" s="82" t="n"/>
      <c r="L1925" s="82" t="n"/>
      <c r="M1925" s="82" t="n"/>
      <c r="N1925" s="82" t="n"/>
      <c r="O1925" s="82" t="n"/>
      <c r="P1925" s="82" t="n"/>
      <c r="Q1925" s="82" t="n"/>
      <c r="R1925" s="82" t="n"/>
      <c r="S1925" s="82" t="n"/>
      <c r="T1925" s="82" t="n"/>
      <c r="U1925" s="82" t="n"/>
      <c r="V1925" s="82" t="n"/>
      <c r="W1925" s="82" t="n"/>
      <c r="X1925" s="82" t="n"/>
      <c r="Y1925" s="82" t="n"/>
      <c r="Z1925" s="82" t="n"/>
    </row>
    <row r="1926" ht="15.75" customHeight="1" s="83">
      <c r="A1926" s="82" t="n"/>
      <c r="B1926" s="44" t="n"/>
      <c r="C1926" s="82" t="n"/>
      <c r="D1926" s="82" t="n"/>
      <c r="E1926" s="81" t="n"/>
      <c r="F1926" s="82" t="n"/>
      <c r="G1926" s="82" t="n"/>
      <c r="H1926" s="82" t="n"/>
      <c r="I1926" s="82" t="n"/>
      <c r="J1926" s="82" t="n"/>
      <c r="K1926" s="82" t="n"/>
      <c r="L1926" s="82" t="n"/>
      <c r="M1926" s="82" t="n"/>
      <c r="N1926" s="82" t="n"/>
      <c r="O1926" s="82" t="n"/>
      <c r="P1926" s="82" t="n"/>
      <c r="Q1926" s="82" t="n"/>
      <c r="R1926" s="82" t="n"/>
      <c r="S1926" s="82" t="n"/>
      <c r="T1926" s="82" t="n"/>
      <c r="U1926" s="82" t="n"/>
      <c r="V1926" s="82" t="n"/>
      <c r="W1926" s="82" t="n"/>
      <c r="X1926" s="82" t="n"/>
      <c r="Y1926" s="82" t="n"/>
      <c r="Z1926" s="82" t="n"/>
    </row>
    <row r="1927" ht="15.75" customHeight="1" s="83">
      <c r="A1927" s="82" t="n"/>
      <c r="B1927" s="44" t="n"/>
      <c r="C1927" s="82" t="n"/>
      <c r="D1927" s="82" t="n"/>
      <c r="E1927" s="81" t="n"/>
      <c r="F1927" s="82" t="n"/>
      <c r="G1927" s="82" t="n"/>
      <c r="H1927" s="82" t="n"/>
      <c r="I1927" s="82" t="n"/>
      <c r="J1927" s="82" t="n"/>
      <c r="K1927" s="82" t="n"/>
      <c r="L1927" s="82" t="n"/>
      <c r="M1927" s="82" t="n"/>
      <c r="N1927" s="82" t="n"/>
      <c r="O1927" s="82" t="n"/>
      <c r="P1927" s="82" t="n"/>
      <c r="Q1927" s="82" t="n"/>
      <c r="R1927" s="82" t="n"/>
      <c r="S1927" s="82" t="n"/>
      <c r="T1927" s="82" t="n"/>
      <c r="U1927" s="82" t="n"/>
      <c r="V1927" s="82" t="n"/>
      <c r="W1927" s="82" t="n"/>
      <c r="X1927" s="82" t="n"/>
      <c r="Y1927" s="82" t="n"/>
      <c r="Z1927" s="82" t="n"/>
    </row>
    <row r="1928" ht="15.75" customHeight="1" s="83">
      <c r="A1928" s="82" t="n"/>
      <c r="B1928" s="44" t="n"/>
      <c r="C1928" s="82" t="n"/>
      <c r="D1928" s="82" t="n"/>
      <c r="E1928" s="81" t="n"/>
      <c r="F1928" s="82" t="n"/>
      <c r="G1928" s="82" t="n"/>
      <c r="H1928" s="82" t="n"/>
      <c r="I1928" s="82" t="n"/>
      <c r="J1928" s="82" t="n"/>
      <c r="K1928" s="82" t="n"/>
      <c r="L1928" s="82" t="n"/>
      <c r="M1928" s="82" t="n"/>
      <c r="N1928" s="82" t="n"/>
      <c r="O1928" s="82" t="n"/>
      <c r="P1928" s="82" t="n"/>
      <c r="Q1928" s="82" t="n"/>
      <c r="R1928" s="82" t="n"/>
      <c r="S1928" s="82" t="n"/>
      <c r="T1928" s="82" t="n"/>
      <c r="U1928" s="82" t="n"/>
      <c r="V1928" s="82" t="n"/>
      <c r="W1928" s="82" t="n"/>
      <c r="X1928" s="82" t="n"/>
      <c r="Y1928" s="82" t="n"/>
      <c r="Z1928" s="82" t="n"/>
    </row>
    <row r="1929" ht="15.75" customHeight="1" s="83">
      <c r="A1929" s="82" t="n"/>
      <c r="B1929" s="44" t="n"/>
      <c r="C1929" s="82" t="n"/>
      <c r="D1929" s="82" t="n"/>
      <c r="E1929" s="81" t="n"/>
      <c r="F1929" s="82" t="n"/>
      <c r="G1929" s="82" t="n"/>
      <c r="H1929" s="82" t="n"/>
      <c r="I1929" s="82" t="n"/>
      <c r="J1929" s="82" t="n"/>
      <c r="K1929" s="82" t="n"/>
      <c r="L1929" s="82" t="n"/>
      <c r="M1929" s="82" t="n"/>
      <c r="N1929" s="82" t="n"/>
      <c r="O1929" s="82" t="n"/>
      <c r="P1929" s="82" t="n"/>
      <c r="Q1929" s="82" t="n"/>
      <c r="R1929" s="82" t="n"/>
      <c r="S1929" s="82" t="n"/>
      <c r="T1929" s="82" t="n"/>
      <c r="U1929" s="82" t="n"/>
      <c r="V1929" s="82" t="n"/>
      <c r="W1929" s="82" t="n"/>
      <c r="X1929" s="82" t="n"/>
      <c r="Y1929" s="82" t="n"/>
      <c r="Z1929" s="82" t="n"/>
    </row>
    <row r="1930" ht="15.75" customHeight="1" s="83">
      <c r="A1930" s="82" t="n"/>
      <c r="B1930" s="44" t="n"/>
      <c r="C1930" s="82" t="n"/>
      <c r="D1930" s="82" t="n"/>
      <c r="E1930" s="81" t="n"/>
      <c r="F1930" s="82" t="n"/>
      <c r="G1930" s="82" t="n"/>
      <c r="H1930" s="82" t="n"/>
      <c r="I1930" s="82" t="n"/>
      <c r="J1930" s="82" t="n"/>
      <c r="K1930" s="82" t="n"/>
      <c r="L1930" s="82" t="n"/>
      <c r="M1930" s="82" t="n"/>
      <c r="N1930" s="82" t="n"/>
      <c r="O1930" s="82" t="n"/>
      <c r="P1930" s="82" t="n"/>
      <c r="Q1930" s="82" t="n"/>
      <c r="R1930" s="82" t="n"/>
      <c r="S1930" s="82" t="n"/>
      <c r="T1930" s="82" t="n"/>
      <c r="U1930" s="82" t="n"/>
      <c r="V1930" s="82" t="n"/>
      <c r="W1930" s="82" t="n"/>
      <c r="X1930" s="82" t="n"/>
      <c r="Y1930" s="82" t="n"/>
      <c r="Z1930" s="82" t="n"/>
    </row>
    <row r="1931" ht="15.75" customHeight="1" s="83">
      <c r="A1931" s="82" t="n"/>
      <c r="B1931" s="44" t="n"/>
      <c r="C1931" s="82" t="n"/>
      <c r="D1931" s="82" t="n"/>
      <c r="E1931" s="81" t="n"/>
      <c r="F1931" s="82" t="n"/>
      <c r="G1931" s="82" t="n"/>
      <c r="H1931" s="82" t="n"/>
      <c r="I1931" s="82" t="n"/>
      <c r="J1931" s="82" t="n"/>
      <c r="K1931" s="82" t="n"/>
      <c r="L1931" s="82" t="n"/>
      <c r="M1931" s="82" t="n"/>
      <c r="N1931" s="82" t="n"/>
      <c r="O1931" s="82" t="n"/>
      <c r="P1931" s="82" t="n"/>
      <c r="Q1931" s="82" t="n"/>
      <c r="R1931" s="82" t="n"/>
      <c r="S1931" s="82" t="n"/>
      <c r="T1931" s="82" t="n"/>
      <c r="U1931" s="82" t="n"/>
      <c r="V1931" s="82" t="n"/>
      <c r="W1931" s="82" t="n"/>
      <c r="X1931" s="82" t="n"/>
      <c r="Y1931" s="82" t="n"/>
      <c r="Z1931" s="82" t="n"/>
    </row>
    <row r="1932" ht="15.75" customHeight="1" s="83">
      <c r="A1932" s="82" t="n"/>
      <c r="B1932" s="44" t="n"/>
      <c r="C1932" s="82" t="n"/>
      <c r="D1932" s="82" t="n"/>
      <c r="E1932" s="81" t="n"/>
      <c r="F1932" s="82" t="n"/>
      <c r="G1932" s="82" t="n"/>
      <c r="H1932" s="82" t="n"/>
      <c r="I1932" s="82" t="n"/>
      <c r="J1932" s="82" t="n"/>
      <c r="K1932" s="82" t="n"/>
      <c r="L1932" s="82" t="n"/>
      <c r="M1932" s="82" t="n"/>
      <c r="N1932" s="82" t="n"/>
      <c r="O1932" s="82" t="n"/>
      <c r="P1932" s="82" t="n"/>
      <c r="Q1932" s="82" t="n"/>
      <c r="R1932" s="82" t="n"/>
      <c r="S1932" s="82" t="n"/>
      <c r="T1932" s="82" t="n"/>
      <c r="U1932" s="82" t="n"/>
      <c r="V1932" s="82" t="n"/>
      <c r="W1932" s="82" t="n"/>
      <c r="X1932" s="82" t="n"/>
      <c r="Y1932" s="82" t="n"/>
      <c r="Z1932" s="82" t="n"/>
    </row>
    <row r="1933" ht="15.75" customHeight="1" s="83">
      <c r="A1933" s="82" t="n"/>
      <c r="B1933" s="44" t="n"/>
      <c r="C1933" s="82" t="n"/>
      <c r="D1933" s="82" t="n"/>
      <c r="E1933" s="81" t="n"/>
      <c r="F1933" s="82" t="n"/>
      <c r="G1933" s="82" t="n"/>
      <c r="H1933" s="82" t="n"/>
      <c r="I1933" s="82" t="n"/>
      <c r="J1933" s="82" t="n"/>
      <c r="K1933" s="82" t="n"/>
      <c r="L1933" s="82" t="n"/>
      <c r="M1933" s="82" t="n"/>
      <c r="N1933" s="82" t="n"/>
      <c r="O1933" s="82" t="n"/>
      <c r="P1933" s="82" t="n"/>
      <c r="Q1933" s="82" t="n"/>
      <c r="R1933" s="82" t="n"/>
      <c r="S1933" s="82" t="n"/>
      <c r="T1933" s="82" t="n"/>
      <c r="U1933" s="82" t="n"/>
      <c r="V1933" s="82" t="n"/>
      <c r="W1933" s="82" t="n"/>
      <c r="X1933" s="82" t="n"/>
      <c r="Y1933" s="82" t="n"/>
      <c r="Z1933" s="82" t="n"/>
    </row>
    <row r="1934" ht="15.75" customHeight="1" s="83">
      <c r="A1934" s="82" t="n"/>
      <c r="B1934" s="44" t="n"/>
      <c r="C1934" s="82" t="n"/>
      <c r="D1934" s="82" t="n"/>
      <c r="E1934" s="81" t="n"/>
      <c r="F1934" s="82" t="n"/>
      <c r="G1934" s="82" t="n"/>
      <c r="H1934" s="82" t="n"/>
      <c r="I1934" s="82" t="n"/>
      <c r="J1934" s="82" t="n"/>
      <c r="K1934" s="82" t="n"/>
      <c r="L1934" s="82" t="n"/>
      <c r="M1934" s="82" t="n"/>
      <c r="N1934" s="82" t="n"/>
      <c r="O1934" s="82" t="n"/>
      <c r="P1934" s="82" t="n"/>
      <c r="Q1934" s="82" t="n"/>
      <c r="R1934" s="82" t="n"/>
      <c r="S1934" s="82" t="n"/>
      <c r="T1934" s="82" t="n"/>
      <c r="U1934" s="82" t="n"/>
      <c r="V1934" s="82" t="n"/>
      <c r="W1934" s="82" t="n"/>
      <c r="X1934" s="82" t="n"/>
      <c r="Y1934" s="82" t="n"/>
      <c r="Z1934" s="82" t="n"/>
    </row>
    <row r="1935" ht="15.75" customHeight="1" s="83">
      <c r="A1935" s="82" t="n"/>
      <c r="B1935" s="44" t="n"/>
      <c r="C1935" s="82" t="n"/>
      <c r="D1935" s="82" t="n"/>
      <c r="E1935" s="81" t="n"/>
      <c r="F1935" s="82" t="n"/>
      <c r="G1935" s="82" t="n"/>
      <c r="H1935" s="82" t="n"/>
      <c r="I1935" s="82" t="n"/>
      <c r="J1935" s="82" t="n"/>
      <c r="K1935" s="82" t="n"/>
      <c r="L1935" s="82" t="n"/>
      <c r="M1935" s="82" t="n"/>
      <c r="N1935" s="82" t="n"/>
      <c r="O1935" s="82" t="n"/>
      <c r="P1935" s="82" t="n"/>
      <c r="Q1935" s="82" t="n"/>
      <c r="R1935" s="82" t="n"/>
      <c r="S1935" s="82" t="n"/>
      <c r="T1935" s="82" t="n"/>
      <c r="U1935" s="82" t="n"/>
      <c r="V1935" s="82" t="n"/>
      <c r="W1935" s="82" t="n"/>
      <c r="X1935" s="82" t="n"/>
      <c r="Y1935" s="82" t="n"/>
      <c r="Z1935" s="82" t="n"/>
    </row>
    <row r="1936" ht="15.75" customHeight="1" s="83">
      <c r="A1936" s="82" t="n"/>
      <c r="B1936" s="44" t="n"/>
      <c r="C1936" s="82" t="n"/>
      <c r="D1936" s="82" t="n"/>
      <c r="E1936" s="81" t="n"/>
      <c r="F1936" s="82" t="n"/>
      <c r="G1936" s="82" t="n"/>
      <c r="H1936" s="82" t="n"/>
      <c r="I1936" s="82" t="n"/>
      <c r="J1936" s="82" t="n"/>
      <c r="K1936" s="82" t="n"/>
      <c r="L1936" s="82" t="n"/>
      <c r="M1936" s="82" t="n"/>
      <c r="N1936" s="82" t="n"/>
      <c r="O1936" s="82" t="n"/>
      <c r="P1936" s="82" t="n"/>
      <c r="Q1936" s="82" t="n"/>
      <c r="R1936" s="82" t="n"/>
      <c r="S1936" s="82" t="n"/>
      <c r="T1936" s="82" t="n"/>
      <c r="U1936" s="82" t="n"/>
      <c r="V1936" s="82" t="n"/>
      <c r="W1936" s="82" t="n"/>
      <c r="X1936" s="82" t="n"/>
      <c r="Y1936" s="82" t="n"/>
      <c r="Z1936" s="82" t="n"/>
    </row>
    <row r="1937" ht="15.75" customHeight="1" s="83">
      <c r="A1937" s="82" t="n"/>
      <c r="B1937" s="44" t="n"/>
      <c r="C1937" s="82" t="n"/>
      <c r="D1937" s="82" t="n"/>
      <c r="E1937" s="81" t="n"/>
      <c r="F1937" s="82" t="n"/>
      <c r="G1937" s="82" t="n"/>
      <c r="H1937" s="82" t="n"/>
      <c r="I1937" s="82" t="n"/>
      <c r="J1937" s="82" t="n"/>
      <c r="K1937" s="82" t="n"/>
      <c r="L1937" s="82" t="n"/>
      <c r="M1937" s="82" t="n"/>
      <c r="N1937" s="82" t="n"/>
      <c r="O1937" s="82" t="n"/>
      <c r="P1937" s="82" t="n"/>
      <c r="Q1937" s="82" t="n"/>
      <c r="R1937" s="82" t="n"/>
      <c r="S1937" s="82" t="n"/>
      <c r="T1937" s="82" t="n"/>
      <c r="U1937" s="82" t="n"/>
      <c r="V1937" s="82" t="n"/>
      <c r="W1937" s="82" t="n"/>
      <c r="X1937" s="82" t="n"/>
      <c r="Y1937" s="82" t="n"/>
      <c r="Z1937" s="82" t="n"/>
    </row>
    <row r="1938" ht="15.75" customHeight="1" s="83">
      <c r="A1938" s="82" t="n"/>
      <c r="B1938" s="44" t="n"/>
      <c r="C1938" s="82" t="n"/>
      <c r="D1938" s="82" t="n"/>
      <c r="E1938" s="81" t="n"/>
      <c r="F1938" s="82" t="n"/>
      <c r="G1938" s="82" t="n"/>
      <c r="H1938" s="82" t="n"/>
      <c r="I1938" s="82" t="n"/>
      <c r="J1938" s="82" t="n"/>
      <c r="K1938" s="82" t="n"/>
      <c r="L1938" s="82" t="n"/>
      <c r="M1938" s="82" t="n"/>
      <c r="N1938" s="82" t="n"/>
      <c r="O1938" s="82" t="n"/>
      <c r="P1938" s="82" t="n"/>
      <c r="Q1938" s="82" t="n"/>
      <c r="R1938" s="82" t="n"/>
      <c r="S1938" s="82" t="n"/>
      <c r="T1938" s="82" t="n"/>
      <c r="U1938" s="82" t="n"/>
      <c r="V1938" s="82" t="n"/>
      <c r="W1938" s="82" t="n"/>
      <c r="X1938" s="82" t="n"/>
      <c r="Y1938" s="82" t="n"/>
      <c r="Z1938" s="82" t="n"/>
    </row>
    <row r="1939" ht="15.75" customHeight="1" s="83">
      <c r="A1939" s="82" t="n"/>
      <c r="B1939" s="44" t="n"/>
      <c r="C1939" s="82" t="n"/>
      <c r="D1939" s="82" t="n"/>
      <c r="E1939" s="81" t="n"/>
      <c r="F1939" s="82" t="n"/>
      <c r="G1939" s="82" t="n"/>
      <c r="H1939" s="82" t="n"/>
      <c r="I1939" s="82" t="n"/>
      <c r="J1939" s="82" t="n"/>
      <c r="K1939" s="82" t="n"/>
      <c r="L1939" s="82" t="n"/>
      <c r="M1939" s="82" t="n"/>
      <c r="N1939" s="82" t="n"/>
      <c r="O1939" s="82" t="n"/>
      <c r="P1939" s="82" t="n"/>
      <c r="Q1939" s="82" t="n"/>
      <c r="R1939" s="82" t="n"/>
      <c r="S1939" s="82" t="n"/>
      <c r="T1939" s="82" t="n"/>
      <c r="U1939" s="82" t="n"/>
      <c r="V1939" s="82" t="n"/>
      <c r="W1939" s="82" t="n"/>
      <c r="X1939" s="82" t="n"/>
      <c r="Y1939" s="82" t="n"/>
      <c r="Z1939" s="82" t="n"/>
    </row>
    <row r="1940" ht="15.75" customHeight="1" s="83">
      <c r="A1940" s="82" t="n"/>
      <c r="B1940" s="44" t="n"/>
      <c r="C1940" s="82" t="n"/>
      <c r="D1940" s="82" t="n"/>
      <c r="E1940" s="81" t="n"/>
      <c r="F1940" s="82" t="n"/>
      <c r="G1940" s="82" t="n"/>
      <c r="H1940" s="82" t="n"/>
      <c r="I1940" s="82" t="n"/>
      <c r="J1940" s="82" t="n"/>
      <c r="K1940" s="82" t="n"/>
      <c r="L1940" s="82" t="n"/>
      <c r="M1940" s="82" t="n"/>
      <c r="N1940" s="82" t="n"/>
      <c r="O1940" s="82" t="n"/>
      <c r="P1940" s="82" t="n"/>
      <c r="Q1940" s="82" t="n"/>
      <c r="R1940" s="82" t="n"/>
      <c r="S1940" s="82" t="n"/>
      <c r="T1940" s="82" t="n"/>
      <c r="U1940" s="82" t="n"/>
      <c r="V1940" s="82" t="n"/>
      <c r="W1940" s="82" t="n"/>
      <c r="X1940" s="82" t="n"/>
      <c r="Y1940" s="82" t="n"/>
      <c r="Z1940" s="82" t="n"/>
    </row>
    <row r="1941" ht="15.75" customHeight="1" s="83">
      <c r="A1941" s="82" t="n"/>
      <c r="B1941" s="44" t="n"/>
      <c r="C1941" s="82" t="n"/>
      <c r="D1941" s="82" t="n"/>
      <c r="E1941" s="81" t="n"/>
      <c r="F1941" s="82" t="n"/>
      <c r="G1941" s="82" t="n"/>
      <c r="H1941" s="82" t="n"/>
      <c r="I1941" s="82" t="n"/>
      <c r="J1941" s="82" t="n"/>
      <c r="K1941" s="82" t="n"/>
      <c r="L1941" s="82" t="n"/>
      <c r="M1941" s="82" t="n"/>
      <c r="N1941" s="82" t="n"/>
      <c r="O1941" s="82" t="n"/>
      <c r="P1941" s="82" t="n"/>
      <c r="Q1941" s="82" t="n"/>
      <c r="R1941" s="82" t="n"/>
      <c r="S1941" s="82" t="n"/>
      <c r="T1941" s="82" t="n"/>
      <c r="U1941" s="82" t="n"/>
      <c r="V1941" s="82" t="n"/>
      <c r="W1941" s="82" t="n"/>
      <c r="X1941" s="82" t="n"/>
      <c r="Y1941" s="82" t="n"/>
      <c r="Z1941" s="82" t="n"/>
    </row>
    <row r="1942" ht="15.75" customHeight="1" s="83">
      <c r="A1942" s="82" t="n"/>
      <c r="B1942" s="44" t="n"/>
      <c r="C1942" s="82" t="n"/>
      <c r="D1942" s="82" t="n"/>
      <c r="E1942" s="81" t="n"/>
      <c r="F1942" s="82" t="n"/>
      <c r="G1942" s="82" t="n"/>
      <c r="H1942" s="82" t="n"/>
      <c r="I1942" s="82" t="n"/>
      <c r="J1942" s="82" t="n"/>
      <c r="K1942" s="82" t="n"/>
      <c r="L1942" s="82" t="n"/>
      <c r="M1942" s="82" t="n"/>
      <c r="N1942" s="82" t="n"/>
      <c r="O1942" s="82" t="n"/>
      <c r="P1942" s="82" t="n"/>
      <c r="Q1942" s="82" t="n"/>
      <c r="R1942" s="82" t="n"/>
      <c r="S1942" s="82" t="n"/>
      <c r="T1942" s="82" t="n"/>
      <c r="U1942" s="82" t="n"/>
      <c r="V1942" s="82" t="n"/>
      <c r="W1942" s="82" t="n"/>
      <c r="X1942" s="82" t="n"/>
      <c r="Y1942" s="82" t="n"/>
      <c r="Z1942" s="82" t="n"/>
    </row>
    <row r="1943" ht="15.75" customHeight="1" s="83">
      <c r="A1943" s="82" t="n"/>
      <c r="B1943" s="44" t="n"/>
      <c r="C1943" s="82" t="n"/>
      <c r="D1943" s="82" t="n"/>
      <c r="E1943" s="81" t="n"/>
      <c r="F1943" s="82" t="n"/>
      <c r="G1943" s="82" t="n"/>
      <c r="H1943" s="82" t="n"/>
      <c r="I1943" s="82" t="n"/>
      <c r="J1943" s="82" t="n"/>
      <c r="K1943" s="82" t="n"/>
      <c r="L1943" s="82" t="n"/>
      <c r="M1943" s="82" t="n"/>
      <c r="N1943" s="82" t="n"/>
      <c r="O1943" s="82" t="n"/>
      <c r="P1943" s="82" t="n"/>
      <c r="Q1943" s="82" t="n"/>
      <c r="R1943" s="82" t="n"/>
      <c r="S1943" s="82" t="n"/>
      <c r="T1943" s="82" t="n"/>
      <c r="U1943" s="82" t="n"/>
      <c r="V1943" s="82" t="n"/>
      <c r="W1943" s="82" t="n"/>
      <c r="X1943" s="82" t="n"/>
      <c r="Y1943" s="82" t="n"/>
      <c r="Z1943" s="82" t="n"/>
    </row>
    <row r="1944" ht="15.75" customHeight="1" s="83">
      <c r="A1944" s="82" t="n"/>
      <c r="B1944" s="44" t="n"/>
      <c r="C1944" s="82" t="n"/>
      <c r="D1944" s="82" t="n"/>
      <c r="E1944" s="81" t="n"/>
      <c r="F1944" s="82" t="n"/>
      <c r="G1944" s="82" t="n"/>
      <c r="H1944" s="82" t="n"/>
      <c r="I1944" s="82" t="n"/>
      <c r="J1944" s="82" t="n"/>
      <c r="K1944" s="82" t="n"/>
      <c r="L1944" s="82" t="n"/>
      <c r="M1944" s="82" t="n"/>
      <c r="N1944" s="82" t="n"/>
      <c r="O1944" s="82" t="n"/>
      <c r="P1944" s="82" t="n"/>
      <c r="Q1944" s="82" t="n"/>
      <c r="R1944" s="82" t="n"/>
      <c r="S1944" s="82" t="n"/>
      <c r="T1944" s="82" t="n"/>
      <c r="U1944" s="82" t="n"/>
      <c r="V1944" s="82" t="n"/>
      <c r="W1944" s="82" t="n"/>
      <c r="X1944" s="82" t="n"/>
      <c r="Y1944" s="82" t="n"/>
      <c r="Z1944" s="82" t="n"/>
    </row>
    <row r="1945" ht="15.75" customHeight="1" s="83">
      <c r="A1945" s="82" t="n"/>
      <c r="B1945" s="44" t="n"/>
      <c r="C1945" s="82" t="n"/>
      <c r="D1945" s="82" t="n"/>
      <c r="E1945" s="81" t="n"/>
      <c r="F1945" s="82" t="n"/>
      <c r="G1945" s="82" t="n"/>
      <c r="H1945" s="82" t="n"/>
      <c r="I1945" s="82" t="n"/>
      <c r="J1945" s="82" t="n"/>
      <c r="K1945" s="82" t="n"/>
      <c r="L1945" s="82" t="n"/>
      <c r="M1945" s="82" t="n"/>
      <c r="N1945" s="82" t="n"/>
      <c r="O1945" s="82" t="n"/>
      <c r="P1945" s="82" t="n"/>
      <c r="Q1945" s="82" t="n"/>
      <c r="R1945" s="82" t="n"/>
      <c r="S1945" s="82" t="n"/>
      <c r="T1945" s="82" t="n"/>
      <c r="U1945" s="82" t="n"/>
      <c r="V1945" s="82" t="n"/>
      <c r="W1945" s="82" t="n"/>
      <c r="X1945" s="82" t="n"/>
      <c r="Y1945" s="82" t="n"/>
      <c r="Z1945" s="82" t="n"/>
    </row>
    <row r="1946" ht="15.75" customHeight="1" s="83">
      <c r="A1946" s="82" t="n"/>
      <c r="B1946" s="44" t="n"/>
      <c r="C1946" s="82" t="n"/>
      <c r="D1946" s="82" t="n"/>
      <c r="E1946" s="81" t="n"/>
      <c r="F1946" s="82" t="n"/>
      <c r="G1946" s="82" t="n"/>
      <c r="H1946" s="82" t="n"/>
      <c r="I1946" s="82" t="n"/>
      <c r="J1946" s="82" t="n"/>
      <c r="K1946" s="82" t="n"/>
      <c r="L1946" s="82" t="n"/>
      <c r="M1946" s="82" t="n"/>
      <c r="N1946" s="82" t="n"/>
      <c r="O1946" s="82" t="n"/>
      <c r="P1946" s="82" t="n"/>
      <c r="Q1946" s="82" t="n"/>
      <c r="R1946" s="82" t="n"/>
      <c r="S1946" s="82" t="n"/>
      <c r="T1946" s="82" t="n"/>
      <c r="U1946" s="82" t="n"/>
      <c r="V1946" s="82" t="n"/>
      <c r="W1946" s="82" t="n"/>
      <c r="X1946" s="82" t="n"/>
      <c r="Y1946" s="82" t="n"/>
      <c r="Z1946" s="82" t="n"/>
    </row>
    <row r="1947" ht="15.75" customHeight="1" s="83">
      <c r="A1947" s="82" t="n"/>
      <c r="B1947" s="44" t="n"/>
      <c r="C1947" s="82" t="n"/>
      <c r="D1947" s="82" t="n"/>
      <c r="E1947" s="81" t="n"/>
      <c r="F1947" s="82" t="n"/>
      <c r="G1947" s="82" t="n"/>
      <c r="H1947" s="82" t="n"/>
      <c r="I1947" s="82" t="n"/>
      <c r="J1947" s="82" t="n"/>
      <c r="K1947" s="82" t="n"/>
      <c r="L1947" s="82" t="n"/>
      <c r="M1947" s="82" t="n"/>
      <c r="N1947" s="82" t="n"/>
      <c r="O1947" s="82" t="n"/>
      <c r="P1947" s="82" t="n"/>
      <c r="Q1947" s="82" t="n"/>
      <c r="R1947" s="82" t="n"/>
      <c r="S1947" s="82" t="n"/>
      <c r="T1947" s="82" t="n"/>
      <c r="U1947" s="82" t="n"/>
      <c r="V1947" s="82" t="n"/>
      <c r="W1947" s="82" t="n"/>
      <c r="X1947" s="82" t="n"/>
      <c r="Y1947" s="82" t="n"/>
      <c r="Z1947" s="82" t="n"/>
    </row>
    <row r="1948" ht="15.75" customHeight="1" s="83">
      <c r="A1948" s="82" t="n"/>
      <c r="B1948" s="44" t="n"/>
      <c r="C1948" s="82" t="n"/>
      <c r="D1948" s="82" t="n"/>
      <c r="E1948" s="81" t="n"/>
      <c r="F1948" s="82" t="n"/>
      <c r="G1948" s="82" t="n"/>
      <c r="H1948" s="82" t="n"/>
      <c r="I1948" s="82" t="n"/>
      <c r="J1948" s="82" t="n"/>
      <c r="K1948" s="82" t="n"/>
      <c r="L1948" s="82" t="n"/>
      <c r="M1948" s="82" t="n"/>
      <c r="N1948" s="82" t="n"/>
      <c r="O1948" s="82" t="n"/>
      <c r="P1948" s="82" t="n"/>
      <c r="Q1948" s="82" t="n"/>
      <c r="R1948" s="82" t="n"/>
      <c r="S1948" s="82" t="n"/>
      <c r="T1948" s="82" t="n"/>
      <c r="U1948" s="82" t="n"/>
      <c r="V1948" s="82" t="n"/>
      <c r="W1948" s="82" t="n"/>
      <c r="X1948" s="82" t="n"/>
      <c r="Y1948" s="82" t="n"/>
      <c r="Z1948" s="82" t="n"/>
    </row>
    <row r="1949" ht="15.75" customHeight="1" s="83">
      <c r="A1949" s="82" t="n"/>
      <c r="B1949" s="44" t="n"/>
      <c r="C1949" s="82" t="n"/>
      <c r="D1949" s="82" t="n"/>
      <c r="E1949" s="81" t="n"/>
      <c r="F1949" s="82" t="n"/>
      <c r="G1949" s="82" t="n"/>
      <c r="H1949" s="82" t="n"/>
      <c r="I1949" s="82" t="n"/>
      <c r="J1949" s="82" t="n"/>
      <c r="K1949" s="82" t="n"/>
      <c r="L1949" s="82" t="n"/>
      <c r="M1949" s="82" t="n"/>
      <c r="N1949" s="82" t="n"/>
      <c r="O1949" s="82" t="n"/>
      <c r="P1949" s="82" t="n"/>
      <c r="Q1949" s="82" t="n"/>
      <c r="R1949" s="82" t="n"/>
      <c r="S1949" s="82" t="n"/>
      <c r="T1949" s="82" t="n"/>
      <c r="U1949" s="82" t="n"/>
      <c r="V1949" s="82" t="n"/>
      <c r="W1949" s="82" t="n"/>
      <c r="X1949" s="82" t="n"/>
      <c r="Y1949" s="82" t="n"/>
      <c r="Z1949" s="82" t="n"/>
    </row>
    <row r="1950" ht="15.75" customHeight="1" s="83">
      <c r="A1950" s="82" t="n"/>
      <c r="B1950" s="44" t="n"/>
      <c r="C1950" s="82" t="n"/>
      <c r="D1950" s="82" t="n"/>
      <c r="E1950" s="81" t="n"/>
      <c r="F1950" s="82" t="n"/>
      <c r="G1950" s="82" t="n"/>
      <c r="H1950" s="82" t="n"/>
      <c r="I1950" s="82" t="n"/>
      <c r="J1950" s="82" t="n"/>
      <c r="K1950" s="82" t="n"/>
      <c r="L1950" s="82" t="n"/>
      <c r="M1950" s="82" t="n"/>
      <c r="N1950" s="82" t="n"/>
      <c r="O1950" s="82" t="n"/>
      <c r="P1950" s="82" t="n"/>
      <c r="Q1950" s="82" t="n"/>
      <c r="R1950" s="82" t="n"/>
      <c r="S1950" s="82" t="n"/>
      <c r="T1950" s="82" t="n"/>
      <c r="U1950" s="82" t="n"/>
      <c r="V1950" s="82" t="n"/>
      <c r="W1950" s="82" t="n"/>
      <c r="X1950" s="82" t="n"/>
      <c r="Y1950" s="82" t="n"/>
      <c r="Z1950" s="82" t="n"/>
    </row>
    <row r="1951" ht="15.75" customHeight="1" s="83">
      <c r="A1951" s="82" t="n"/>
      <c r="B1951" s="44" t="n"/>
      <c r="C1951" s="82" t="n"/>
      <c r="D1951" s="82" t="n"/>
      <c r="E1951" s="81" t="n"/>
      <c r="F1951" s="82" t="n"/>
      <c r="G1951" s="82" t="n"/>
      <c r="H1951" s="82" t="n"/>
      <c r="I1951" s="82" t="n"/>
      <c r="J1951" s="82" t="n"/>
      <c r="K1951" s="82" t="n"/>
      <c r="L1951" s="82" t="n"/>
      <c r="M1951" s="82" t="n"/>
      <c r="N1951" s="82" t="n"/>
      <c r="O1951" s="82" t="n"/>
      <c r="P1951" s="82" t="n"/>
      <c r="Q1951" s="82" t="n"/>
      <c r="R1951" s="82" t="n"/>
      <c r="S1951" s="82" t="n"/>
      <c r="T1951" s="82" t="n"/>
      <c r="U1951" s="82" t="n"/>
      <c r="V1951" s="82" t="n"/>
      <c r="W1951" s="82" t="n"/>
      <c r="X1951" s="82" t="n"/>
      <c r="Y1951" s="82" t="n"/>
      <c r="Z1951" s="82" t="n"/>
    </row>
    <row r="1952" ht="15.75" customHeight="1" s="83">
      <c r="A1952" s="82" t="n"/>
      <c r="B1952" s="44" t="n"/>
      <c r="C1952" s="82" t="n"/>
      <c r="D1952" s="82" t="n"/>
      <c r="E1952" s="81" t="n"/>
      <c r="F1952" s="82" t="n"/>
      <c r="G1952" s="82" t="n"/>
      <c r="H1952" s="82" t="n"/>
      <c r="I1952" s="82" t="n"/>
      <c r="J1952" s="82" t="n"/>
      <c r="K1952" s="82" t="n"/>
      <c r="L1952" s="82" t="n"/>
      <c r="M1952" s="82" t="n"/>
      <c r="N1952" s="82" t="n"/>
      <c r="O1952" s="82" t="n"/>
      <c r="P1952" s="82" t="n"/>
      <c r="Q1952" s="82" t="n"/>
      <c r="R1952" s="82" t="n"/>
      <c r="S1952" s="82" t="n"/>
      <c r="T1952" s="82" t="n"/>
      <c r="U1952" s="82" t="n"/>
      <c r="V1952" s="82" t="n"/>
      <c r="W1952" s="82" t="n"/>
      <c r="X1952" s="82" t="n"/>
      <c r="Y1952" s="82" t="n"/>
      <c r="Z1952" s="82" t="n"/>
    </row>
    <row r="1953" ht="15.75" customHeight="1" s="83">
      <c r="A1953" s="82" t="n"/>
      <c r="B1953" s="44" t="n"/>
      <c r="C1953" s="82" t="n"/>
      <c r="D1953" s="82" t="n"/>
      <c r="E1953" s="81" t="n"/>
      <c r="F1953" s="82" t="n"/>
      <c r="G1953" s="82" t="n"/>
      <c r="H1953" s="82" t="n"/>
      <c r="I1953" s="82" t="n"/>
      <c r="J1953" s="82" t="n"/>
      <c r="K1953" s="82" t="n"/>
      <c r="L1953" s="82" t="n"/>
      <c r="M1953" s="82" t="n"/>
      <c r="N1953" s="82" t="n"/>
      <c r="O1953" s="82" t="n"/>
      <c r="P1953" s="82" t="n"/>
      <c r="Q1953" s="82" t="n"/>
      <c r="R1953" s="82" t="n"/>
      <c r="S1953" s="82" t="n"/>
      <c r="T1953" s="82" t="n"/>
      <c r="U1953" s="82" t="n"/>
      <c r="V1953" s="82" t="n"/>
      <c r="W1953" s="82" t="n"/>
      <c r="X1953" s="82" t="n"/>
      <c r="Y1953" s="82" t="n"/>
      <c r="Z1953" s="82" t="n"/>
    </row>
    <row r="1954" ht="15.75" customHeight="1" s="83">
      <c r="A1954" s="82" t="n"/>
      <c r="B1954" s="44" t="n"/>
      <c r="C1954" s="82" t="n"/>
      <c r="D1954" s="82" t="n"/>
      <c r="E1954" s="81" t="n"/>
      <c r="F1954" s="82" t="n"/>
      <c r="G1954" s="82" t="n"/>
      <c r="H1954" s="82" t="n"/>
      <c r="I1954" s="82" t="n"/>
      <c r="J1954" s="82" t="n"/>
      <c r="K1954" s="82" t="n"/>
      <c r="L1954" s="82" t="n"/>
      <c r="M1954" s="82" t="n"/>
      <c r="N1954" s="82" t="n"/>
      <c r="O1954" s="82" t="n"/>
      <c r="P1954" s="82" t="n"/>
      <c r="Q1954" s="82" t="n"/>
      <c r="R1954" s="82" t="n"/>
      <c r="S1954" s="82" t="n"/>
      <c r="T1954" s="82" t="n"/>
      <c r="U1954" s="82" t="n"/>
      <c r="V1954" s="82" t="n"/>
      <c r="W1954" s="82" t="n"/>
      <c r="X1954" s="82" t="n"/>
      <c r="Y1954" s="82" t="n"/>
      <c r="Z1954" s="82" t="n"/>
    </row>
    <row r="1955" ht="15.75" customHeight="1" s="83">
      <c r="A1955" s="82" t="n"/>
      <c r="B1955" s="44" t="n"/>
      <c r="C1955" s="82" t="n"/>
      <c r="D1955" s="82" t="n"/>
      <c r="E1955" s="81" t="n"/>
      <c r="F1955" s="82" t="n"/>
      <c r="G1955" s="82" t="n"/>
      <c r="H1955" s="82" t="n"/>
      <c r="I1955" s="82" t="n"/>
      <c r="J1955" s="82" t="n"/>
      <c r="K1955" s="82" t="n"/>
      <c r="L1955" s="82" t="n"/>
      <c r="M1955" s="82" t="n"/>
      <c r="N1955" s="82" t="n"/>
      <c r="O1955" s="82" t="n"/>
      <c r="P1955" s="82" t="n"/>
      <c r="Q1955" s="82" t="n"/>
      <c r="R1955" s="82" t="n"/>
      <c r="S1955" s="82" t="n"/>
      <c r="T1955" s="82" t="n"/>
      <c r="U1955" s="82" t="n"/>
      <c r="V1955" s="82" t="n"/>
      <c r="W1955" s="82" t="n"/>
      <c r="X1955" s="82" t="n"/>
      <c r="Y1955" s="82" t="n"/>
      <c r="Z1955" s="82" t="n"/>
    </row>
    <row r="1956" ht="15.75" customHeight="1" s="83">
      <c r="A1956" s="82" t="n"/>
      <c r="B1956" s="44" t="n"/>
      <c r="C1956" s="82" t="n"/>
      <c r="D1956" s="82" t="n"/>
      <c r="E1956" s="81" t="n"/>
      <c r="F1956" s="82" t="n"/>
      <c r="G1956" s="82" t="n"/>
      <c r="H1956" s="82" t="n"/>
      <c r="I1956" s="82" t="n"/>
      <c r="J1956" s="82" t="n"/>
      <c r="K1956" s="82" t="n"/>
      <c r="L1956" s="82" t="n"/>
      <c r="M1956" s="82" t="n"/>
      <c r="N1956" s="82" t="n"/>
      <c r="O1956" s="82" t="n"/>
      <c r="P1956" s="82" t="n"/>
      <c r="Q1956" s="82" t="n"/>
      <c r="R1956" s="82" t="n"/>
      <c r="S1956" s="82" t="n"/>
      <c r="T1956" s="82" t="n"/>
      <c r="U1956" s="82" t="n"/>
      <c r="V1956" s="82" t="n"/>
      <c r="W1956" s="82" t="n"/>
      <c r="X1956" s="82" t="n"/>
      <c r="Y1956" s="82" t="n"/>
      <c r="Z1956" s="82" t="n"/>
    </row>
    <row r="1957" ht="15.75" customHeight="1" s="83">
      <c r="A1957" s="82" t="n"/>
      <c r="B1957" s="44" t="n"/>
      <c r="C1957" s="82" t="n"/>
      <c r="D1957" s="82" t="n"/>
      <c r="E1957" s="81" t="n"/>
      <c r="F1957" s="82" t="n"/>
      <c r="G1957" s="82" t="n"/>
      <c r="H1957" s="82" t="n"/>
      <c r="I1957" s="82" t="n"/>
      <c r="J1957" s="82" t="n"/>
      <c r="K1957" s="82" t="n"/>
      <c r="L1957" s="82" t="n"/>
      <c r="M1957" s="82" t="n"/>
      <c r="N1957" s="82" t="n"/>
      <c r="O1957" s="82" t="n"/>
      <c r="P1957" s="82" t="n"/>
      <c r="Q1957" s="82" t="n"/>
      <c r="R1957" s="82" t="n"/>
      <c r="S1957" s="82" t="n"/>
      <c r="T1957" s="82" t="n"/>
      <c r="U1957" s="82" t="n"/>
      <c r="V1957" s="82" t="n"/>
      <c r="W1957" s="82" t="n"/>
      <c r="X1957" s="82" t="n"/>
      <c r="Y1957" s="82" t="n"/>
      <c r="Z1957" s="82" t="n"/>
    </row>
    <row r="1958" ht="15.75" customHeight="1" s="83">
      <c r="A1958" s="82" t="n"/>
      <c r="B1958" s="44" t="n"/>
      <c r="C1958" s="82" t="n"/>
      <c r="D1958" s="82" t="n"/>
      <c r="E1958" s="81" t="n"/>
      <c r="F1958" s="82" t="n"/>
      <c r="G1958" s="82" t="n"/>
      <c r="H1958" s="82" t="n"/>
      <c r="I1958" s="82" t="n"/>
      <c r="J1958" s="82" t="n"/>
      <c r="K1958" s="82" t="n"/>
      <c r="L1958" s="82" t="n"/>
      <c r="M1958" s="82" t="n"/>
      <c r="N1958" s="82" t="n"/>
      <c r="O1958" s="82" t="n"/>
      <c r="P1958" s="82" t="n"/>
      <c r="Q1958" s="82" t="n"/>
      <c r="R1958" s="82" t="n"/>
      <c r="S1958" s="82" t="n"/>
      <c r="T1958" s="82" t="n"/>
      <c r="U1958" s="82" t="n"/>
      <c r="V1958" s="82" t="n"/>
      <c r="W1958" s="82" t="n"/>
      <c r="X1958" s="82" t="n"/>
      <c r="Y1958" s="82" t="n"/>
      <c r="Z1958" s="82" t="n"/>
    </row>
    <row r="1959" ht="15.75" customHeight="1" s="83">
      <c r="A1959" s="82" t="n"/>
      <c r="B1959" s="44" t="n"/>
      <c r="C1959" s="82" t="n"/>
      <c r="D1959" s="82" t="n"/>
      <c r="E1959" s="81" t="n"/>
      <c r="F1959" s="82" t="n"/>
      <c r="G1959" s="82" t="n"/>
      <c r="H1959" s="82" t="n"/>
      <c r="I1959" s="82" t="n"/>
      <c r="J1959" s="82" t="n"/>
      <c r="K1959" s="82" t="n"/>
      <c r="L1959" s="82" t="n"/>
      <c r="M1959" s="82" t="n"/>
      <c r="N1959" s="82" t="n"/>
      <c r="O1959" s="82" t="n"/>
      <c r="P1959" s="82" t="n"/>
      <c r="Q1959" s="82" t="n"/>
      <c r="R1959" s="82" t="n"/>
      <c r="S1959" s="82" t="n"/>
      <c r="T1959" s="82" t="n"/>
      <c r="U1959" s="82" t="n"/>
      <c r="V1959" s="82" t="n"/>
      <c r="W1959" s="82" t="n"/>
      <c r="X1959" s="82" t="n"/>
      <c r="Y1959" s="82" t="n"/>
      <c r="Z1959" s="82" t="n"/>
    </row>
    <row r="1960" ht="15.75" customHeight="1" s="83">
      <c r="A1960" s="82" t="n"/>
      <c r="B1960" s="44" t="n"/>
      <c r="C1960" s="82" t="n"/>
      <c r="D1960" s="82" t="n"/>
      <c r="E1960" s="81" t="n"/>
      <c r="F1960" s="82" t="n"/>
      <c r="G1960" s="82" t="n"/>
      <c r="H1960" s="82" t="n"/>
      <c r="I1960" s="82" t="n"/>
      <c r="J1960" s="82" t="n"/>
      <c r="K1960" s="82" t="n"/>
      <c r="L1960" s="82" t="n"/>
      <c r="M1960" s="82" t="n"/>
      <c r="N1960" s="82" t="n"/>
      <c r="O1960" s="82" t="n"/>
      <c r="P1960" s="82" t="n"/>
      <c r="Q1960" s="82" t="n"/>
      <c r="R1960" s="82" t="n"/>
      <c r="S1960" s="82" t="n"/>
      <c r="T1960" s="82" t="n"/>
      <c r="U1960" s="82" t="n"/>
      <c r="V1960" s="82" t="n"/>
      <c r="W1960" s="82" t="n"/>
      <c r="X1960" s="82" t="n"/>
      <c r="Y1960" s="82" t="n"/>
      <c r="Z1960" s="82" t="n"/>
    </row>
    <row r="1961" ht="15.75" customHeight="1" s="83">
      <c r="A1961" s="82" t="n"/>
      <c r="B1961" s="44" t="n"/>
      <c r="C1961" s="82" t="n"/>
      <c r="D1961" s="82" t="n"/>
      <c r="E1961" s="81" t="n"/>
      <c r="F1961" s="82" t="n"/>
      <c r="G1961" s="82" t="n"/>
      <c r="H1961" s="82" t="n"/>
      <c r="I1961" s="82" t="n"/>
      <c r="J1961" s="82" t="n"/>
      <c r="K1961" s="82" t="n"/>
      <c r="L1961" s="82" t="n"/>
      <c r="M1961" s="82" t="n"/>
      <c r="N1961" s="82" t="n"/>
      <c r="O1961" s="82" t="n"/>
      <c r="P1961" s="82" t="n"/>
      <c r="Q1961" s="82" t="n"/>
      <c r="R1961" s="82" t="n"/>
      <c r="S1961" s="82" t="n"/>
      <c r="T1961" s="82" t="n"/>
      <c r="U1961" s="82" t="n"/>
      <c r="V1961" s="82" t="n"/>
      <c r="W1961" s="82" t="n"/>
      <c r="X1961" s="82" t="n"/>
      <c r="Y1961" s="82" t="n"/>
      <c r="Z1961" s="82" t="n"/>
    </row>
    <row r="1962" ht="15.75" customHeight="1" s="83">
      <c r="A1962" s="82" t="n"/>
      <c r="B1962" s="44" t="n"/>
      <c r="C1962" s="82" t="n"/>
      <c r="D1962" s="82" t="n"/>
      <c r="E1962" s="81" t="n"/>
      <c r="F1962" s="82" t="n"/>
      <c r="G1962" s="82" t="n"/>
      <c r="H1962" s="82" t="n"/>
      <c r="I1962" s="82" t="n"/>
      <c r="J1962" s="82" t="n"/>
      <c r="K1962" s="82" t="n"/>
      <c r="L1962" s="82" t="n"/>
      <c r="M1962" s="82" t="n"/>
      <c r="N1962" s="82" t="n"/>
      <c r="O1962" s="82" t="n"/>
      <c r="P1962" s="82" t="n"/>
      <c r="Q1962" s="82" t="n"/>
      <c r="R1962" s="82" t="n"/>
      <c r="S1962" s="82" t="n"/>
      <c r="T1962" s="82" t="n"/>
      <c r="U1962" s="82" t="n"/>
      <c r="V1962" s="82" t="n"/>
      <c r="W1962" s="82" t="n"/>
      <c r="X1962" s="82" t="n"/>
      <c r="Y1962" s="82" t="n"/>
      <c r="Z1962" s="82" t="n"/>
    </row>
    <row r="1963" ht="15.75" customHeight="1" s="83">
      <c r="A1963" s="82" t="n"/>
      <c r="B1963" s="44" t="n"/>
      <c r="C1963" s="82" t="n"/>
      <c r="D1963" s="82" t="n"/>
      <c r="E1963" s="81" t="n"/>
      <c r="F1963" s="82" t="n"/>
      <c r="G1963" s="82" t="n"/>
      <c r="H1963" s="82" t="n"/>
      <c r="I1963" s="82" t="n"/>
      <c r="J1963" s="82" t="n"/>
      <c r="K1963" s="82" t="n"/>
      <c r="L1963" s="82" t="n"/>
      <c r="M1963" s="82" t="n"/>
      <c r="N1963" s="82" t="n"/>
      <c r="O1963" s="82" t="n"/>
      <c r="P1963" s="82" t="n"/>
      <c r="Q1963" s="82" t="n"/>
      <c r="R1963" s="82" t="n"/>
      <c r="S1963" s="82" t="n"/>
      <c r="T1963" s="82" t="n"/>
      <c r="U1963" s="82" t="n"/>
      <c r="V1963" s="82" t="n"/>
      <c r="W1963" s="82" t="n"/>
      <c r="X1963" s="82" t="n"/>
      <c r="Y1963" s="82" t="n"/>
      <c r="Z1963" s="82" t="n"/>
    </row>
    <row r="1964" ht="15.75" customHeight="1" s="83">
      <c r="A1964" s="82" t="n"/>
      <c r="B1964" s="44" t="n"/>
      <c r="C1964" s="82" t="n"/>
      <c r="D1964" s="82" t="n"/>
      <c r="E1964" s="81" t="n"/>
      <c r="F1964" s="82" t="n"/>
      <c r="G1964" s="82" t="n"/>
      <c r="H1964" s="82" t="n"/>
      <c r="I1964" s="82" t="n"/>
      <c r="J1964" s="82" t="n"/>
      <c r="K1964" s="82" t="n"/>
      <c r="L1964" s="82" t="n"/>
      <c r="M1964" s="82" t="n"/>
      <c r="N1964" s="82" t="n"/>
      <c r="O1964" s="82" t="n"/>
      <c r="P1964" s="82" t="n"/>
      <c r="Q1964" s="82" t="n"/>
      <c r="R1964" s="82" t="n"/>
      <c r="S1964" s="82" t="n"/>
      <c r="T1964" s="82" t="n"/>
      <c r="U1964" s="82" t="n"/>
      <c r="V1964" s="82" t="n"/>
      <c r="W1964" s="82" t="n"/>
      <c r="X1964" s="82" t="n"/>
      <c r="Y1964" s="82" t="n"/>
      <c r="Z1964" s="82" t="n"/>
    </row>
    <row r="1965" ht="15.75" customHeight="1" s="83">
      <c r="A1965" s="82" t="n"/>
      <c r="B1965" s="44" t="n"/>
      <c r="C1965" s="82" t="n"/>
      <c r="D1965" s="82" t="n"/>
      <c r="E1965" s="81" t="n"/>
      <c r="F1965" s="82" t="n"/>
      <c r="G1965" s="82" t="n"/>
      <c r="H1965" s="82" t="n"/>
      <c r="I1965" s="82" t="n"/>
      <c r="J1965" s="82" t="n"/>
      <c r="K1965" s="82" t="n"/>
      <c r="L1965" s="82" t="n"/>
      <c r="M1965" s="82" t="n"/>
      <c r="N1965" s="82" t="n"/>
      <c r="O1965" s="82" t="n"/>
      <c r="P1965" s="82" t="n"/>
      <c r="Q1965" s="82" t="n"/>
      <c r="R1965" s="82" t="n"/>
      <c r="S1965" s="82" t="n"/>
      <c r="T1965" s="82" t="n"/>
      <c r="U1965" s="82" t="n"/>
      <c r="V1965" s="82" t="n"/>
      <c r="W1965" s="82" t="n"/>
      <c r="X1965" s="82" t="n"/>
      <c r="Y1965" s="82" t="n"/>
      <c r="Z1965" s="82" t="n"/>
    </row>
    <row r="1966" ht="15.75" customHeight="1" s="83">
      <c r="A1966" s="82" t="n"/>
      <c r="B1966" s="44" t="n"/>
      <c r="C1966" s="82" t="n"/>
      <c r="D1966" s="82" t="n"/>
      <c r="E1966" s="81" t="n"/>
      <c r="F1966" s="82" t="n"/>
      <c r="G1966" s="82" t="n"/>
      <c r="H1966" s="82" t="n"/>
      <c r="I1966" s="82" t="n"/>
      <c r="J1966" s="82" t="n"/>
      <c r="K1966" s="82" t="n"/>
      <c r="L1966" s="82" t="n"/>
      <c r="M1966" s="82" t="n"/>
      <c r="N1966" s="82" t="n"/>
      <c r="O1966" s="82" t="n"/>
      <c r="P1966" s="82" t="n"/>
      <c r="Q1966" s="82" t="n"/>
      <c r="R1966" s="82" t="n"/>
      <c r="S1966" s="82" t="n"/>
      <c r="T1966" s="82" t="n"/>
      <c r="U1966" s="82" t="n"/>
      <c r="V1966" s="82" t="n"/>
      <c r="W1966" s="82" t="n"/>
      <c r="X1966" s="82" t="n"/>
      <c r="Y1966" s="82" t="n"/>
      <c r="Z1966" s="82" t="n"/>
    </row>
    <row r="1967" ht="15.75" customHeight="1" s="83">
      <c r="A1967" s="82" t="n"/>
      <c r="B1967" s="44" t="n"/>
      <c r="C1967" s="82" t="n"/>
      <c r="D1967" s="82" t="n"/>
      <c r="E1967" s="81" t="n"/>
      <c r="F1967" s="82" t="n"/>
      <c r="G1967" s="82" t="n"/>
      <c r="H1967" s="82" t="n"/>
      <c r="I1967" s="82" t="n"/>
      <c r="J1967" s="82" t="n"/>
      <c r="K1967" s="82" t="n"/>
      <c r="L1967" s="82" t="n"/>
      <c r="M1967" s="82" t="n"/>
      <c r="N1967" s="82" t="n"/>
      <c r="O1967" s="82" t="n"/>
      <c r="P1967" s="82" t="n"/>
      <c r="Q1967" s="82" t="n"/>
      <c r="R1967" s="82" t="n"/>
      <c r="S1967" s="82" t="n"/>
      <c r="T1967" s="82" t="n"/>
      <c r="U1967" s="82" t="n"/>
      <c r="V1967" s="82" t="n"/>
      <c r="W1967" s="82" t="n"/>
      <c r="X1967" s="82" t="n"/>
      <c r="Y1967" s="82" t="n"/>
      <c r="Z1967" s="82" t="n"/>
    </row>
    <row r="1968" ht="15.75" customHeight="1" s="83">
      <c r="A1968" s="82" t="n"/>
      <c r="B1968" s="44" t="n"/>
      <c r="C1968" s="82" t="n"/>
      <c r="D1968" s="82" t="n"/>
      <c r="E1968" s="81" t="n"/>
      <c r="F1968" s="82" t="n"/>
      <c r="G1968" s="82" t="n"/>
      <c r="H1968" s="82" t="n"/>
      <c r="I1968" s="82" t="n"/>
      <c r="J1968" s="82" t="n"/>
      <c r="K1968" s="82" t="n"/>
      <c r="L1968" s="82" t="n"/>
      <c r="M1968" s="82" t="n"/>
      <c r="N1968" s="82" t="n"/>
      <c r="O1968" s="82" t="n"/>
      <c r="P1968" s="82" t="n"/>
      <c r="Q1968" s="82" t="n"/>
      <c r="R1968" s="82" t="n"/>
      <c r="S1968" s="82" t="n"/>
      <c r="T1968" s="82" t="n"/>
      <c r="U1968" s="82" t="n"/>
      <c r="V1968" s="82" t="n"/>
      <c r="W1968" s="82" t="n"/>
      <c r="X1968" s="82" t="n"/>
      <c r="Y1968" s="82" t="n"/>
      <c r="Z1968" s="82" t="n"/>
    </row>
    <row r="1969" ht="15.75" customHeight="1" s="83">
      <c r="A1969" s="82" t="n"/>
      <c r="B1969" s="44" t="n"/>
      <c r="C1969" s="82" t="n"/>
      <c r="D1969" s="82" t="n"/>
      <c r="E1969" s="81" t="n"/>
      <c r="F1969" s="82" t="n"/>
      <c r="G1969" s="82" t="n"/>
      <c r="H1969" s="82" t="n"/>
      <c r="I1969" s="82" t="n"/>
      <c r="J1969" s="82" t="n"/>
      <c r="K1969" s="82" t="n"/>
      <c r="L1969" s="82" t="n"/>
      <c r="M1969" s="82" t="n"/>
      <c r="N1969" s="82" t="n"/>
      <c r="O1969" s="82" t="n"/>
      <c r="P1969" s="82" t="n"/>
      <c r="Q1969" s="82" t="n"/>
      <c r="R1969" s="82" t="n"/>
      <c r="S1969" s="82" t="n"/>
      <c r="T1969" s="82" t="n"/>
      <c r="U1969" s="82" t="n"/>
      <c r="V1969" s="82" t="n"/>
      <c r="W1969" s="82" t="n"/>
      <c r="X1969" s="82" t="n"/>
      <c r="Y1969" s="82" t="n"/>
      <c r="Z1969" s="82" t="n"/>
    </row>
    <row r="1970" ht="15.75" customHeight="1" s="83">
      <c r="A1970" s="82" t="n"/>
      <c r="B1970" s="44" t="n"/>
      <c r="C1970" s="82" t="n"/>
      <c r="D1970" s="82" t="n"/>
      <c r="E1970" s="81" t="n"/>
      <c r="F1970" s="82" t="n"/>
      <c r="G1970" s="82" t="n"/>
      <c r="H1970" s="82" t="n"/>
      <c r="I1970" s="82" t="n"/>
      <c r="J1970" s="82" t="n"/>
      <c r="K1970" s="82" t="n"/>
      <c r="L1970" s="82" t="n"/>
      <c r="M1970" s="82" t="n"/>
      <c r="N1970" s="82" t="n"/>
      <c r="O1970" s="82" t="n"/>
      <c r="P1970" s="82" t="n"/>
      <c r="Q1970" s="82" t="n"/>
      <c r="R1970" s="82" t="n"/>
      <c r="S1970" s="82" t="n"/>
      <c r="T1970" s="82" t="n"/>
      <c r="U1970" s="82" t="n"/>
      <c r="V1970" s="82" t="n"/>
      <c r="W1970" s="82" t="n"/>
      <c r="X1970" s="82" t="n"/>
      <c r="Y1970" s="82" t="n"/>
      <c r="Z1970" s="82" t="n"/>
    </row>
    <row r="1971" ht="15.75" customHeight="1" s="83">
      <c r="A1971" s="82" t="n"/>
      <c r="B1971" s="44" t="n"/>
      <c r="C1971" s="82" t="n"/>
      <c r="D1971" s="82" t="n"/>
      <c r="E1971" s="81" t="n"/>
      <c r="F1971" s="82" t="n"/>
      <c r="G1971" s="82" t="n"/>
      <c r="H1971" s="82" t="n"/>
      <c r="I1971" s="82" t="n"/>
      <c r="J1971" s="82" t="n"/>
      <c r="K1971" s="82" t="n"/>
      <c r="L1971" s="82" t="n"/>
      <c r="M1971" s="82" t="n"/>
      <c r="N1971" s="82" t="n"/>
      <c r="O1971" s="82" t="n"/>
      <c r="P1971" s="82" t="n"/>
      <c r="Q1971" s="82" t="n"/>
      <c r="R1971" s="82" t="n"/>
      <c r="S1971" s="82" t="n"/>
      <c r="T1971" s="82" t="n"/>
      <c r="U1971" s="82" t="n"/>
      <c r="V1971" s="82" t="n"/>
      <c r="W1971" s="82" t="n"/>
      <c r="X1971" s="82" t="n"/>
      <c r="Y1971" s="82" t="n"/>
      <c r="Z1971" s="82" t="n"/>
    </row>
    <row r="1972" ht="15.75" customHeight="1" s="83">
      <c r="A1972" s="82" t="n"/>
      <c r="B1972" s="44" t="n"/>
      <c r="C1972" s="82" t="n"/>
      <c r="D1972" s="82" t="n"/>
      <c r="E1972" s="81" t="n"/>
      <c r="F1972" s="82" t="n"/>
      <c r="G1972" s="82" t="n"/>
      <c r="H1972" s="82" t="n"/>
      <c r="I1972" s="82" t="n"/>
      <c r="J1972" s="82" t="n"/>
      <c r="K1972" s="82" t="n"/>
      <c r="L1972" s="82" t="n"/>
      <c r="M1972" s="82" t="n"/>
      <c r="N1972" s="82" t="n"/>
      <c r="O1972" s="82" t="n"/>
      <c r="P1972" s="82" t="n"/>
      <c r="Q1972" s="82" t="n"/>
      <c r="R1972" s="82" t="n"/>
      <c r="S1972" s="82" t="n"/>
      <c r="T1972" s="82" t="n"/>
      <c r="U1972" s="82" t="n"/>
      <c r="V1972" s="82" t="n"/>
      <c r="W1972" s="82" t="n"/>
      <c r="X1972" s="82" t="n"/>
      <c r="Y1972" s="82" t="n"/>
      <c r="Z1972" s="82" t="n"/>
    </row>
    <row r="1973" ht="15.75" customHeight="1" s="83">
      <c r="A1973" s="82" t="n"/>
      <c r="B1973" s="44" t="n"/>
      <c r="C1973" s="82" t="n"/>
      <c r="D1973" s="82" t="n"/>
      <c r="E1973" s="81" t="n"/>
      <c r="F1973" s="82" t="n"/>
      <c r="G1973" s="82" t="n"/>
      <c r="H1973" s="82" t="n"/>
      <c r="I1973" s="82" t="n"/>
      <c r="J1973" s="82" t="n"/>
      <c r="K1973" s="82" t="n"/>
      <c r="L1973" s="82" t="n"/>
      <c r="M1973" s="82" t="n"/>
      <c r="N1973" s="82" t="n"/>
      <c r="O1973" s="82" t="n"/>
      <c r="P1973" s="82" t="n"/>
      <c r="Q1973" s="82" t="n"/>
      <c r="R1973" s="82" t="n"/>
      <c r="S1973" s="82" t="n"/>
      <c r="T1973" s="82" t="n"/>
      <c r="U1973" s="82" t="n"/>
      <c r="V1973" s="82" t="n"/>
      <c r="W1973" s="82" t="n"/>
      <c r="X1973" s="82" t="n"/>
      <c r="Y1973" s="82" t="n"/>
      <c r="Z1973" s="82" t="n"/>
    </row>
    <row r="1974" ht="15.75" customHeight="1" s="83">
      <c r="A1974" s="82" t="n"/>
      <c r="B1974" s="44" t="n"/>
      <c r="C1974" s="82" t="n"/>
      <c r="D1974" s="82" t="n"/>
      <c r="E1974" s="81" t="n"/>
      <c r="F1974" s="82" t="n"/>
      <c r="G1974" s="82" t="n"/>
      <c r="H1974" s="82" t="n"/>
      <c r="I1974" s="82" t="n"/>
      <c r="J1974" s="82" t="n"/>
      <c r="K1974" s="82" t="n"/>
      <c r="L1974" s="82" t="n"/>
      <c r="M1974" s="82" t="n"/>
      <c r="N1974" s="82" t="n"/>
      <c r="O1974" s="82" t="n"/>
      <c r="P1974" s="82" t="n"/>
      <c r="Q1974" s="82" t="n"/>
      <c r="R1974" s="82" t="n"/>
      <c r="S1974" s="82" t="n"/>
      <c r="T1974" s="82" t="n"/>
      <c r="U1974" s="82" t="n"/>
      <c r="V1974" s="82" t="n"/>
      <c r="W1974" s="82" t="n"/>
      <c r="X1974" s="82" t="n"/>
      <c r="Y1974" s="82" t="n"/>
      <c r="Z1974" s="82" t="n"/>
    </row>
    <row r="1975" ht="15.75" customHeight="1" s="83">
      <c r="A1975" s="82" t="n"/>
      <c r="B1975" s="44" t="n"/>
      <c r="C1975" s="82" t="n"/>
      <c r="D1975" s="82" t="n"/>
      <c r="E1975" s="81" t="n"/>
      <c r="F1975" s="82" t="n"/>
      <c r="G1975" s="82" t="n"/>
      <c r="H1975" s="82" t="n"/>
      <c r="I1975" s="82" t="n"/>
      <c r="J1975" s="82" t="n"/>
      <c r="K1975" s="82" t="n"/>
      <c r="L1975" s="82" t="n"/>
      <c r="M1975" s="82" t="n"/>
      <c r="N1975" s="82" t="n"/>
      <c r="O1975" s="82" t="n"/>
      <c r="P1975" s="82" t="n"/>
      <c r="Q1975" s="82" t="n"/>
      <c r="R1975" s="82" t="n"/>
      <c r="S1975" s="82" t="n"/>
      <c r="T1975" s="82" t="n"/>
      <c r="U1975" s="82" t="n"/>
      <c r="V1975" s="82" t="n"/>
      <c r="W1975" s="82" t="n"/>
      <c r="X1975" s="82" t="n"/>
      <c r="Y1975" s="82" t="n"/>
      <c r="Z1975" s="82" t="n"/>
    </row>
    <row r="1976" ht="15.75" customHeight="1" s="83">
      <c r="A1976" s="82" t="n"/>
      <c r="B1976" s="44" t="n"/>
      <c r="C1976" s="82" t="n"/>
      <c r="D1976" s="82" t="n"/>
      <c r="E1976" s="81" t="n"/>
      <c r="F1976" s="82" t="n"/>
      <c r="G1976" s="82" t="n"/>
      <c r="H1976" s="82" t="n"/>
      <c r="I1976" s="82" t="n"/>
      <c r="J1976" s="82" t="n"/>
      <c r="K1976" s="82" t="n"/>
      <c r="L1976" s="82" t="n"/>
      <c r="M1976" s="82" t="n"/>
      <c r="N1976" s="82" t="n"/>
      <c r="O1976" s="82" t="n"/>
      <c r="P1976" s="82" t="n"/>
      <c r="Q1976" s="82" t="n"/>
      <c r="R1976" s="82" t="n"/>
      <c r="S1976" s="82" t="n"/>
      <c r="T1976" s="82" t="n"/>
      <c r="U1976" s="82" t="n"/>
      <c r="V1976" s="82" t="n"/>
      <c r="W1976" s="82" t="n"/>
      <c r="X1976" s="82" t="n"/>
      <c r="Y1976" s="82" t="n"/>
      <c r="Z1976" s="82" t="n"/>
    </row>
    <row r="1977" ht="15.75" customHeight="1" s="83">
      <c r="A1977" s="82" t="n"/>
      <c r="B1977" s="44" t="n"/>
      <c r="C1977" s="82" t="n"/>
      <c r="D1977" s="82" t="n"/>
      <c r="E1977" s="81" t="n"/>
      <c r="F1977" s="82" t="n"/>
      <c r="G1977" s="82" t="n"/>
      <c r="H1977" s="82" t="n"/>
      <c r="I1977" s="82" t="n"/>
      <c r="J1977" s="82" t="n"/>
      <c r="K1977" s="82" t="n"/>
      <c r="L1977" s="82" t="n"/>
      <c r="M1977" s="82" t="n"/>
      <c r="N1977" s="82" t="n"/>
      <c r="O1977" s="82" t="n"/>
      <c r="P1977" s="82" t="n"/>
      <c r="Q1977" s="82" t="n"/>
      <c r="R1977" s="82" t="n"/>
      <c r="S1977" s="82" t="n"/>
      <c r="T1977" s="82" t="n"/>
      <c r="U1977" s="82" t="n"/>
      <c r="V1977" s="82" t="n"/>
      <c r="W1977" s="82" t="n"/>
      <c r="X1977" s="82" t="n"/>
      <c r="Y1977" s="82" t="n"/>
      <c r="Z1977" s="82" t="n"/>
    </row>
    <row r="1978" ht="15.75" customHeight="1" s="83">
      <c r="A1978" s="82" t="n"/>
      <c r="B1978" s="44" t="n"/>
      <c r="C1978" s="82" t="n"/>
      <c r="D1978" s="82" t="n"/>
      <c r="E1978" s="81" t="n"/>
      <c r="F1978" s="82" t="n"/>
      <c r="G1978" s="82" t="n"/>
      <c r="H1978" s="82" t="n"/>
      <c r="I1978" s="82" t="n"/>
      <c r="J1978" s="82" t="n"/>
      <c r="K1978" s="82" t="n"/>
      <c r="L1978" s="82" t="n"/>
      <c r="M1978" s="82" t="n"/>
      <c r="N1978" s="82" t="n"/>
      <c r="O1978" s="82" t="n"/>
      <c r="P1978" s="82" t="n"/>
      <c r="Q1978" s="82" t="n"/>
      <c r="R1978" s="82" t="n"/>
      <c r="S1978" s="82" t="n"/>
      <c r="T1978" s="82" t="n"/>
      <c r="U1978" s="82" t="n"/>
      <c r="V1978" s="82" t="n"/>
      <c r="W1978" s="82" t="n"/>
      <c r="X1978" s="82" t="n"/>
      <c r="Y1978" s="82" t="n"/>
      <c r="Z1978" s="82" t="n"/>
    </row>
    <row r="1979" ht="15.75" customHeight="1" s="83">
      <c r="A1979" s="82" t="n"/>
      <c r="B1979" s="44" t="n"/>
      <c r="C1979" s="82" t="n"/>
      <c r="D1979" s="82" t="n"/>
      <c r="E1979" s="81" t="n"/>
      <c r="F1979" s="82" t="n"/>
      <c r="G1979" s="82" t="n"/>
      <c r="H1979" s="82" t="n"/>
      <c r="I1979" s="82" t="n"/>
      <c r="J1979" s="82" t="n"/>
      <c r="K1979" s="82" t="n"/>
      <c r="L1979" s="82" t="n"/>
      <c r="M1979" s="82" t="n"/>
      <c r="N1979" s="82" t="n"/>
      <c r="O1979" s="82" t="n"/>
      <c r="P1979" s="82" t="n"/>
      <c r="Q1979" s="82" t="n"/>
      <c r="R1979" s="82" t="n"/>
      <c r="S1979" s="82" t="n"/>
      <c r="T1979" s="82" t="n"/>
      <c r="U1979" s="82" t="n"/>
      <c r="V1979" s="82" t="n"/>
      <c r="W1979" s="82" t="n"/>
      <c r="X1979" s="82" t="n"/>
      <c r="Y1979" s="82" t="n"/>
      <c r="Z1979" s="82" t="n"/>
    </row>
    <row r="1980" ht="15.75" customHeight="1" s="83">
      <c r="A1980" s="82" t="n"/>
      <c r="B1980" s="44" t="n"/>
      <c r="C1980" s="82" t="n"/>
      <c r="D1980" s="82" t="n"/>
      <c r="E1980" s="81" t="n"/>
      <c r="F1980" s="82" t="n"/>
      <c r="G1980" s="82" t="n"/>
      <c r="H1980" s="82" t="n"/>
      <c r="I1980" s="82" t="n"/>
      <c r="J1980" s="82" t="n"/>
      <c r="K1980" s="82" t="n"/>
      <c r="L1980" s="82" t="n"/>
      <c r="M1980" s="82" t="n"/>
      <c r="N1980" s="82" t="n"/>
      <c r="O1980" s="82" t="n"/>
      <c r="P1980" s="82" t="n"/>
      <c r="Q1980" s="82" t="n"/>
      <c r="R1980" s="82" t="n"/>
      <c r="S1980" s="82" t="n"/>
      <c r="T1980" s="82" t="n"/>
      <c r="U1980" s="82" t="n"/>
      <c r="V1980" s="82" t="n"/>
      <c r="W1980" s="82" t="n"/>
      <c r="X1980" s="82" t="n"/>
      <c r="Y1980" s="82" t="n"/>
      <c r="Z1980" s="82" t="n"/>
    </row>
    <row r="1981" ht="15.75" customHeight="1" s="83">
      <c r="A1981" s="82" t="n"/>
      <c r="B1981" s="44" t="n"/>
      <c r="C1981" s="82" t="n"/>
      <c r="D1981" s="82" t="n"/>
      <c r="E1981" s="81" t="n"/>
      <c r="F1981" s="82" t="n"/>
      <c r="G1981" s="82" t="n"/>
      <c r="H1981" s="82" t="n"/>
      <c r="I1981" s="82" t="n"/>
      <c r="J1981" s="82" t="n"/>
      <c r="K1981" s="82" t="n"/>
      <c r="L1981" s="82" t="n"/>
      <c r="M1981" s="82" t="n"/>
      <c r="N1981" s="82" t="n"/>
      <c r="O1981" s="82" t="n"/>
      <c r="P1981" s="82" t="n"/>
      <c r="Q1981" s="82" t="n"/>
      <c r="R1981" s="82" t="n"/>
      <c r="S1981" s="82" t="n"/>
      <c r="T1981" s="82" t="n"/>
      <c r="U1981" s="82" t="n"/>
      <c r="V1981" s="82" t="n"/>
      <c r="W1981" s="82" t="n"/>
      <c r="X1981" s="82" t="n"/>
      <c r="Y1981" s="82" t="n"/>
      <c r="Z1981" s="82" t="n"/>
    </row>
    <row r="1982" ht="15.75" customHeight="1" s="83">
      <c r="A1982" s="82" t="n"/>
      <c r="B1982" s="44" t="n"/>
      <c r="C1982" s="82" t="n"/>
      <c r="D1982" s="82" t="n"/>
      <c r="E1982" s="81" t="n"/>
      <c r="F1982" s="82" t="n"/>
      <c r="G1982" s="82" t="n"/>
      <c r="H1982" s="82" t="n"/>
      <c r="I1982" s="82" t="n"/>
      <c r="J1982" s="82" t="n"/>
      <c r="K1982" s="82" t="n"/>
      <c r="L1982" s="82" t="n"/>
      <c r="M1982" s="82" t="n"/>
      <c r="N1982" s="82" t="n"/>
      <c r="O1982" s="82" t="n"/>
      <c r="P1982" s="82" t="n"/>
      <c r="Q1982" s="82" t="n"/>
      <c r="R1982" s="82" t="n"/>
      <c r="S1982" s="82" t="n"/>
      <c r="T1982" s="82" t="n"/>
      <c r="U1982" s="82" t="n"/>
      <c r="V1982" s="82" t="n"/>
      <c r="W1982" s="82" t="n"/>
      <c r="X1982" s="82" t="n"/>
      <c r="Y1982" s="82" t="n"/>
      <c r="Z1982" s="82" t="n"/>
    </row>
    <row r="1983" ht="15.75" customHeight="1" s="83">
      <c r="A1983" s="82" t="n"/>
      <c r="B1983" s="44" t="n"/>
      <c r="C1983" s="82" t="n"/>
      <c r="D1983" s="82" t="n"/>
      <c r="E1983" s="81" t="n"/>
      <c r="F1983" s="82" t="n"/>
      <c r="G1983" s="82" t="n"/>
      <c r="H1983" s="82" t="n"/>
      <c r="I1983" s="82" t="n"/>
      <c r="J1983" s="82" t="n"/>
      <c r="K1983" s="82" t="n"/>
      <c r="L1983" s="82" t="n"/>
      <c r="M1983" s="82" t="n"/>
      <c r="N1983" s="82" t="n"/>
      <c r="O1983" s="82" t="n"/>
      <c r="P1983" s="82" t="n"/>
      <c r="Q1983" s="82" t="n"/>
      <c r="R1983" s="82" t="n"/>
      <c r="S1983" s="82" t="n"/>
      <c r="T1983" s="82" t="n"/>
      <c r="U1983" s="82" t="n"/>
      <c r="V1983" s="82" t="n"/>
      <c r="W1983" s="82" t="n"/>
      <c r="X1983" s="82" t="n"/>
      <c r="Y1983" s="82" t="n"/>
      <c r="Z1983" s="82" t="n"/>
    </row>
    <row r="1984" ht="15.75" customHeight="1" s="83">
      <c r="A1984" s="82" t="n"/>
      <c r="B1984" s="44" t="n"/>
      <c r="C1984" s="82" t="n"/>
      <c r="D1984" s="82" t="n"/>
      <c r="E1984" s="81" t="n"/>
      <c r="F1984" s="82" t="n"/>
      <c r="G1984" s="82" t="n"/>
      <c r="H1984" s="82" t="n"/>
      <c r="I1984" s="82" t="n"/>
      <c r="J1984" s="82" t="n"/>
      <c r="K1984" s="82" t="n"/>
      <c r="L1984" s="82" t="n"/>
      <c r="M1984" s="82" t="n"/>
      <c r="N1984" s="82" t="n"/>
      <c r="O1984" s="82" t="n"/>
      <c r="P1984" s="82" t="n"/>
      <c r="Q1984" s="82" t="n"/>
      <c r="R1984" s="82" t="n"/>
      <c r="S1984" s="82" t="n"/>
      <c r="T1984" s="82" t="n"/>
      <c r="U1984" s="82" t="n"/>
      <c r="V1984" s="82" t="n"/>
      <c r="W1984" s="82" t="n"/>
      <c r="X1984" s="82" t="n"/>
      <c r="Y1984" s="82" t="n"/>
      <c r="Z1984" s="82" t="n"/>
    </row>
    <row r="1985" ht="15.75" customHeight="1" s="83">
      <c r="A1985" s="82" t="n"/>
      <c r="B1985" s="44" t="n"/>
      <c r="C1985" s="82" t="n"/>
      <c r="D1985" s="82" t="n"/>
      <c r="E1985" s="81" t="n"/>
      <c r="F1985" s="82" t="n"/>
      <c r="G1985" s="82" t="n"/>
      <c r="H1985" s="82" t="n"/>
      <c r="I1985" s="82" t="n"/>
      <c r="J1985" s="82" t="n"/>
      <c r="K1985" s="82" t="n"/>
      <c r="L1985" s="82" t="n"/>
      <c r="M1985" s="82" t="n"/>
      <c r="N1985" s="82" t="n"/>
      <c r="O1985" s="82" t="n"/>
      <c r="P1985" s="82" t="n"/>
      <c r="Q1985" s="82" t="n"/>
      <c r="R1985" s="82" t="n"/>
      <c r="S1985" s="82" t="n"/>
      <c r="T1985" s="82" t="n"/>
      <c r="U1985" s="82" t="n"/>
      <c r="V1985" s="82" t="n"/>
      <c r="W1985" s="82" t="n"/>
      <c r="X1985" s="82" t="n"/>
      <c r="Y1985" s="82" t="n"/>
      <c r="Z1985" s="82" t="n"/>
    </row>
    <row r="1986" ht="15.75" customHeight="1" s="83">
      <c r="A1986" s="82" t="n"/>
      <c r="B1986" s="44" t="n"/>
      <c r="C1986" s="82" t="n"/>
      <c r="D1986" s="82" t="n"/>
      <c r="E1986" s="81" t="n"/>
      <c r="F1986" s="82" t="n"/>
      <c r="G1986" s="82" t="n"/>
      <c r="H1986" s="82" t="n"/>
      <c r="I1986" s="82" t="n"/>
      <c r="J1986" s="82" t="n"/>
      <c r="K1986" s="82" t="n"/>
      <c r="L1986" s="82" t="n"/>
      <c r="M1986" s="82" t="n"/>
      <c r="N1986" s="82" t="n"/>
      <c r="O1986" s="82" t="n"/>
      <c r="P1986" s="82" t="n"/>
      <c r="Q1986" s="82" t="n"/>
      <c r="R1986" s="82" t="n"/>
      <c r="S1986" s="82" t="n"/>
      <c r="T1986" s="82" t="n"/>
      <c r="U1986" s="82" t="n"/>
      <c r="V1986" s="82" t="n"/>
      <c r="W1986" s="82" t="n"/>
      <c r="X1986" s="82" t="n"/>
      <c r="Y1986" s="82" t="n"/>
      <c r="Z1986" s="82" t="n"/>
    </row>
    <row r="1987" ht="15.75" customHeight="1" s="83">
      <c r="A1987" s="82" t="n"/>
      <c r="B1987" s="44" t="n"/>
      <c r="C1987" s="82" t="n"/>
      <c r="D1987" s="82" t="n"/>
      <c r="E1987" s="81" t="n"/>
      <c r="F1987" s="82" t="n"/>
      <c r="G1987" s="82" t="n"/>
      <c r="H1987" s="82" t="n"/>
      <c r="I1987" s="82" t="n"/>
      <c r="J1987" s="82" t="n"/>
      <c r="K1987" s="82" t="n"/>
      <c r="L1987" s="82" t="n"/>
      <c r="M1987" s="82" t="n"/>
      <c r="N1987" s="82" t="n"/>
      <c r="O1987" s="82" t="n"/>
      <c r="P1987" s="82" t="n"/>
      <c r="Q1987" s="82" t="n"/>
      <c r="R1987" s="82" t="n"/>
      <c r="S1987" s="82" t="n"/>
      <c r="T1987" s="82" t="n"/>
      <c r="U1987" s="82" t="n"/>
      <c r="V1987" s="82" t="n"/>
      <c r="W1987" s="82" t="n"/>
      <c r="X1987" s="82" t="n"/>
      <c r="Y1987" s="82" t="n"/>
      <c r="Z1987" s="82" t="n"/>
    </row>
    <row r="1988" ht="15.75" customHeight="1" s="83">
      <c r="A1988" s="82" t="n"/>
      <c r="B1988" s="44" t="n"/>
      <c r="C1988" s="82" t="n"/>
      <c r="D1988" s="82" t="n"/>
      <c r="E1988" s="81" t="n"/>
      <c r="F1988" s="82" t="n"/>
      <c r="G1988" s="82" t="n"/>
      <c r="H1988" s="82" t="n"/>
      <c r="I1988" s="82" t="n"/>
      <c r="J1988" s="82" t="n"/>
      <c r="K1988" s="82" t="n"/>
      <c r="L1988" s="82" t="n"/>
      <c r="M1988" s="82" t="n"/>
      <c r="N1988" s="82" t="n"/>
      <c r="O1988" s="82" t="n"/>
      <c r="P1988" s="82" t="n"/>
      <c r="Q1988" s="82" t="n"/>
      <c r="R1988" s="82" t="n"/>
      <c r="S1988" s="82" t="n"/>
      <c r="T1988" s="82" t="n"/>
      <c r="U1988" s="82" t="n"/>
      <c r="V1988" s="82" t="n"/>
      <c r="W1988" s="82" t="n"/>
      <c r="X1988" s="82" t="n"/>
      <c r="Y1988" s="82" t="n"/>
      <c r="Z1988" s="82" t="n"/>
    </row>
    <row r="1989" ht="15.75" customHeight="1" s="83">
      <c r="A1989" s="82" t="n"/>
      <c r="B1989" s="44" t="n"/>
      <c r="C1989" s="82" t="n"/>
      <c r="D1989" s="82" t="n"/>
      <c r="E1989" s="81" t="n"/>
      <c r="F1989" s="82" t="n"/>
      <c r="G1989" s="82" t="n"/>
      <c r="H1989" s="82" t="n"/>
      <c r="I1989" s="82" t="n"/>
      <c r="J1989" s="82" t="n"/>
      <c r="K1989" s="82" t="n"/>
      <c r="L1989" s="82" t="n"/>
      <c r="M1989" s="82" t="n"/>
      <c r="N1989" s="82" t="n"/>
      <c r="O1989" s="82" t="n"/>
      <c r="P1989" s="82" t="n"/>
      <c r="Q1989" s="82" t="n"/>
      <c r="R1989" s="82" t="n"/>
      <c r="S1989" s="82" t="n"/>
      <c r="T1989" s="82" t="n"/>
      <c r="U1989" s="82" t="n"/>
      <c r="V1989" s="82" t="n"/>
      <c r="W1989" s="82" t="n"/>
      <c r="X1989" s="82" t="n"/>
      <c r="Y1989" s="82" t="n"/>
      <c r="Z1989" s="82" t="n"/>
    </row>
    <row r="1990" ht="15.75" customHeight="1" s="83">
      <c r="A1990" s="82" t="n"/>
      <c r="B1990" s="44" t="n"/>
      <c r="C1990" s="82" t="n"/>
      <c r="D1990" s="82" t="n"/>
      <c r="E1990" s="81" t="n"/>
      <c r="F1990" s="82" t="n"/>
      <c r="G1990" s="82" t="n"/>
      <c r="H1990" s="82" t="n"/>
      <c r="I1990" s="82" t="n"/>
      <c r="J1990" s="82" t="n"/>
      <c r="K1990" s="82" t="n"/>
      <c r="L1990" s="82" t="n"/>
      <c r="M1990" s="82" t="n"/>
      <c r="N1990" s="82" t="n"/>
      <c r="O1990" s="82" t="n"/>
      <c r="P1990" s="82" t="n"/>
      <c r="Q1990" s="82" t="n"/>
      <c r="R1990" s="82" t="n"/>
      <c r="S1990" s="82" t="n"/>
      <c r="T1990" s="82" t="n"/>
      <c r="U1990" s="82" t="n"/>
      <c r="V1990" s="82" t="n"/>
      <c r="W1990" s="82" t="n"/>
      <c r="X1990" s="82" t="n"/>
      <c r="Y1990" s="82" t="n"/>
      <c r="Z1990" s="82" t="n"/>
    </row>
    <row r="1991" ht="15.75" customHeight="1" s="83">
      <c r="A1991" s="82" t="n"/>
      <c r="B1991" s="44" t="n"/>
      <c r="C1991" s="82" t="n"/>
      <c r="D1991" s="82" t="n"/>
      <c r="E1991" s="81" t="n"/>
      <c r="F1991" s="82" t="n"/>
      <c r="G1991" s="82" t="n"/>
      <c r="H1991" s="82" t="n"/>
      <c r="I1991" s="82" t="n"/>
      <c r="J1991" s="82" t="n"/>
      <c r="K1991" s="82" t="n"/>
      <c r="L1991" s="82" t="n"/>
      <c r="M1991" s="82" t="n"/>
      <c r="N1991" s="82" t="n"/>
      <c r="O1991" s="82" t="n"/>
      <c r="P1991" s="82" t="n"/>
      <c r="Q1991" s="82" t="n"/>
      <c r="R1991" s="82" t="n"/>
      <c r="S1991" s="82" t="n"/>
      <c r="T1991" s="82" t="n"/>
      <c r="U1991" s="82" t="n"/>
      <c r="V1991" s="82" t="n"/>
      <c r="W1991" s="82" t="n"/>
      <c r="X1991" s="82" t="n"/>
      <c r="Y1991" s="82" t="n"/>
      <c r="Z1991" s="82" t="n"/>
    </row>
    <row r="1992" ht="15.75" customHeight="1" s="83">
      <c r="A1992" s="82" t="n"/>
      <c r="B1992" s="44" t="n"/>
      <c r="C1992" s="82" t="n"/>
      <c r="D1992" s="82" t="n"/>
      <c r="E1992" s="81" t="n"/>
      <c r="F1992" s="82" t="n"/>
      <c r="G1992" s="82" t="n"/>
      <c r="H1992" s="82" t="n"/>
      <c r="I1992" s="82" t="n"/>
      <c r="J1992" s="82" t="n"/>
      <c r="K1992" s="82" t="n"/>
      <c r="L1992" s="82" t="n"/>
      <c r="M1992" s="82" t="n"/>
      <c r="N1992" s="82" t="n"/>
      <c r="O1992" s="82" t="n"/>
      <c r="P1992" s="82" t="n"/>
      <c r="Q1992" s="82" t="n"/>
      <c r="R1992" s="82" t="n"/>
      <c r="S1992" s="82" t="n"/>
      <c r="T1992" s="82" t="n"/>
      <c r="U1992" s="82" t="n"/>
      <c r="V1992" s="82" t="n"/>
      <c r="W1992" s="82" t="n"/>
      <c r="X1992" s="82" t="n"/>
      <c r="Y1992" s="82" t="n"/>
      <c r="Z1992" s="82" t="n"/>
    </row>
    <row r="1993" ht="15.75" customHeight="1" s="83">
      <c r="A1993" s="82" t="n"/>
      <c r="B1993" s="44" t="n"/>
      <c r="C1993" s="82" t="n"/>
      <c r="D1993" s="82" t="n"/>
      <c r="E1993" s="81" t="n"/>
      <c r="F1993" s="82" t="n"/>
      <c r="G1993" s="82" t="n"/>
      <c r="H1993" s="82" t="n"/>
      <c r="I1993" s="82" t="n"/>
      <c r="J1993" s="82" t="n"/>
      <c r="K1993" s="82" t="n"/>
      <c r="L1993" s="82" t="n"/>
      <c r="M1993" s="82" t="n"/>
      <c r="N1993" s="82" t="n"/>
      <c r="O1993" s="82" t="n"/>
      <c r="P1993" s="82" t="n"/>
      <c r="Q1993" s="82" t="n"/>
      <c r="R1993" s="82" t="n"/>
      <c r="S1993" s="82" t="n"/>
      <c r="T1993" s="82" t="n"/>
      <c r="U1993" s="82" t="n"/>
      <c r="V1993" s="82" t="n"/>
      <c r="W1993" s="82" t="n"/>
      <c r="X1993" s="82" t="n"/>
      <c r="Y1993" s="82" t="n"/>
      <c r="Z1993" s="82" t="n"/>
    </row>
    <row r="1994" ht="15.75" customHeight="1" s="83">
      <c r="A1994" s="82" t="n"/>
      <c r="B1994" s="44" t="n"/>
      <c r="C1994" s="82" t="n"/>
      <c r="D1994" s="82" t="n"/>
      <c r="E1994" s="81" t="n"/>
      <c r="F1994" s="82" t="n"/>
      <c r="G1994" s="82" t="n"/>
      <c r="H1994" s="82" t="n"/>
      <c r="I1994" s="82" t="n"/>
      <c r="J1994" s="82" t="n"/>
      <c r="K1994" s="82" t="n"/>
      <c r="L1994" s="82" t="n"/>
      <c r="M1994" s="82" t="n"/>
      <c r="N1994" s="82" t="n"/>
      <c r="O1994" s="82" t="n"/>
      <c r="P1994" s="82" t="n"/>
      <c r="Q1994" s="82" t="n"/>
      <c r="R1994" s="82" t="n"/>
      <c r="S1994" s="82" t="n"/>
      <c r="T1994" s="82" t="n"/>
      <c r="U1994" s="82" t="n"/>
      <c r="V1994" s="82" t="n"/>
      <c r="W1994" s="82" t="n"/>
      <c r="X1994" s="82" t="n"/>
      <c r="Y1994" s="82" t="n"/>
      <c r="Z1994" s="82" t="n"/>
    </row>
    <row r="1995" ht="15.75" customHeight="1" s="83">
      <c r="A1995" s="82" t="n"/>
      <c r="B1995" s="44" t="n"/>
      <c r="C1995" s="82" t="n"/>
      <c r="D1995" s="82" t="n"/>
      <c r="E1995" s="81" t="n"/>
      <c r="F1995" s="82" t="n"/>
      <c r="G1995" s="82" t="n"/>
      <c r="H1995" s="82" t="n"/>
      <c r="I1995" s="82" t="n"/>
      <c r="J1995" s="82" t="n"/>
      <c r="K1995" s="82" t="n"/>
      <c r="L1995" s="82" t="n"/>
      <c r="M1995" s="82" t="n"/>
      <c r="N1995" s="82" t="n"/>
      <c r="O1995" s="82" t="n"/>
      <c r="P1995" s="82" t="n"/>
      <c r="Q1995" s="82" t="n"/>
      <c r="R1995" s="82" t="n"/>
      <c r="S1995" s="82" t="n"/>
      <c r="T1995" s="82" t="n"/>
      <c r="U1995" s="82" t="n"/>
      <c r="V1995" s="82" t="n"/>
      <c r="W1995" s="82" t="n"/>
      <c r="X1995" s="82" t="n"/>
      <c r="Y1995" s="82" t="n"/>
      <c r="Z1995" s="82" t="n"/>
    </row>
    <row r="1996" ht="15.75" customHeight="1" s="83">
      <c r="A1996" s="82" t="n"/>
      <c r="B1996" s="44" t="n"/>
      <c r="C1996" s="82" t="n"/>
      <c r="D1996" s="82" t="n"/>
      <c r="E1996" s="81" t="n"/>
      <c r="F1996" s="82" t="n"/>
      <c r="G1996" s="82" t="n"/>
      <c r="H1996" s="82" t="n"/>
      <c r="I1996" s="82" t="n"/>
      <c r="J1996" s="82" t="n"/>
      <c r="K1996" s="82" t="n"/>
      <c r="L1996" s="82" t="n"/>
      <c r="M1996" s="82" t="n"/>
      <c r="N1996" s="82" t="n"/>
      <c r="O1996" s="82" t="n"/>
      <c r="P1996" s="82" t="n"/>
      <c r="Q1996" s="82" t="n"/>
      <c r="R1996" s="82" t="n"/>
      <c r="S1996" s="82" t="n"/>
      <c r="T1996" s="82" t="n"/>
      <c r="U1996" s="82" t="n"/>
      <c r="V1996" s="82" t="n"/>
      <c r="W1996" s="82" t="n"/>
      <c r="X1996" s="82" t="n"/>
      <c r="Y1996" s="82" t="n"/>
      <c r="Z1996" s="82" t="n"/>
    </row>
    <row r="1997" ht="15.75" customHeight="1" s="83">
      <c r="A1997" s="82" t="n"/>
      <c r="B1997" s="44" t="n"/>
      <c r="C1997" s="82" t="n"/>
      <c r="D1997" s="82" t="n"/>
      <c r="E1997" s="81" t="n"/>
      <c r="F1997" s="82" t="n"/>
      <c r="G1997" s="82" t="n"/>
      <c r="H1997" s="82" t="n"/>
      <c r="I1997" s="82" t="n"/>
      <c r="J1997" s="82" t="n"/>
      <c r="K1997" s="82" t="n"/>
      <c r="L1997" s="82" t="n"/>
      <c r="M1997" s="82" t="n"/>
      <c r="N1997" s="82" t="n"/>
      <c r="O1997" s="82" t="n"/>
      <c r="P1997" s="82" t="n"/>
      <c r="Q1997" s="82" t="n"/>
      <c r="R1997" s="82" t="n"/>
      <c r="S1997" s="82" t="n"/>
      <c r="T1997" s="82" t="n"/>
      <c r="U1997" s="82" t="n"/>
      <c r="V1997" s="82" t="n"/>
      <c r="W1997" s="82" t="n"/>
      <c r="X1997" s="82" t="n"/>
      <c r="Y1997" s="82" t="n"/>
      <c r="Z1997" s="82" t="n"/>
    </row>
    <row r="1998" ht="15.75" customHeight="1" s="83">
      <c r="A1998" s="82" t="n"/>
      <c r="B1998" s="44" t="n"/>
      <c r="C1998" s="82" t="n"/>
      <c r="D1998" s="82" t="n"/>
      <c r="E1998" s="81" t="n"/>
      <c r="F1998" s="82" t="n"/>
      <c r="G1998" s="82" t="n"/>
      <c r="H1998" s="82" t="n"/>
      <c r="I1998" s="82" t="n"/>
      <c r="J1998" s="82" t="n"/>
      <c r="K1998" s="82" t="n"/>
      <c r="L1998" s="82" t="n"/>
      <c r="M1998" s="82" t="n"/>
      <c r="N1998" s="82" t="n"/>
      <c r="O1998" s="82" t="n"/>
      <c r="P1998" s="82" t="n"/>
      <c r="Q1998" s="82" t="n"/>
      <c r="R1998" s="82" t="n"/>
      <c r="S1998" s="82" t="n"/>
      <c r="T1998" s="82" t="n"/>
      <c r="U1998" s="82" t="n"/>
      <c r="V1998" s="82" t="n"/>
      <c r="W1998" s="82" t="n"/>
      <c r="X1998" s="82" t="n"/>
      <c r="Y1998" s="82" t="n"/>
      <c r="Z1998" s="82" t="n"/>
    </row>
    <row r="1999" ht="15.75" customHeight="1" s="83">
      <c r="A1999" s="82" t="n"/>
      <c r="B1999" s="44" t="n"/>
      <c r="C1999" s="82" t="n"/>
      <c r="D1999" s="82" t="n"/>
      <c r="E1999" s="81" t="n"/>
      <c r="F1999" s="82" t="n"/>
      <c r="G1999" s="82" t="n"/>
      <c r="H1999" s="82" t="n"/>
      <c r="I1999" s="82" t="n"/>
      <c r="J1999" s="82" t="n"/>
      <c r="K1999" s="82" t="n"/>
      <c r="L1999" s="82" t="n"/>
      <c r="M1999" s="82" t="n"/>
      <c r="N1999" s="82" t="n"/>
      <c r="O1999" s="82" t="n"/>
      <c r="P1999" s="82" t="n"/>
      <c r="Q1999" s="82" t="n"/>
      <c r="R1999" s="82" t="n"/>
      <c r="S1999" s="82" t="n"/>
      <c r="T1999" s="82" t="n"/>
      <c r="U1999" s="82" t="n"/>
      <c r="V1999" s="82" t="n"/>
      <c r="W1999" s="82" t="n"/>
      <c r="X1999" s="82" t="n"/>
      <c r="Y1999" s="82" t="n"/>
      <c r="Z1999" s="82" t="n"/>
    </row>
    <row r="2000" ht="15.75" customHeight="1" s="83">
      <c r="A2000" s="82" t="n"/>
      <c r="B2000" s="44" t="n"/>
      <c r="C2000" s="82" t="n"/>
      <c r="D2000" s="82" t="n"/>
      <c r="E2000" s="81" t="n"/>
      <c r="F2000" s="82" t="n"/>
      <c r="G2000" s="82" t="n"/>
      <c r="H2000" s="82" t="n"/>
      <c r="I2000" s="82" t="n"/>
      <c r="J2000" s="82" t="n"/>
      <c r="K2000" s="82" t="n"/>
      <c r="L2000" s="82" t="n"/>
      <c r="M2000" s="82" t="n"/>
      <c r="N2000" s="82" t="n"/>
      <c r="O2000" s="82" t="n"/>
      <c r="P2000" s="82" t="n"/>
      <c r="Q2000" s="82" t="n"/>
      <c r="R2000" s="82" t="n"/>
      <c r="S2000" s="82" t="n"/>
      <c r="T2000" s="82" t="n"/>
      <c r="U2000" s="82" t="n"/>
      <c r="V2000" s="82" t="n"/>
      <c r="W2000" s="82" t="n"/>
      <c r="X2000" s="82" t="n"/>
      <c r="Y2000" s="82" t="n"/>
      <c r="Z2000" s="82" t="n"/>
    </row>
    <row r="2001" ht="15.75" customHeight="1" s="83">
      <c r="A2001" s="82" t="n"/>
      <c r="B2001" s="44" t="n"/>
      <c r="C2001" s="82" t="n"/>
      <c r="D2001" s="82" t="n"/>
      <c r="E2001" s="81" t="n"/>
      <c r="F2001" s="82" t="n"/>
      <c r="G2001" s="82" t="n"/>
      <c r="H2001" s="82" t="n"/>
      <c r="I2001" s="82" t="n"/>
      <c r="J2001" s="82" t="n"/>
      <c r="K2001" s="82" t="n"/>
      <c r="L2001" s="82" t="n"/>
      <c r="M2001" s="82" t="n"/>
      <c r="N2001" s="82" t="n"/>
      <c r="O2001" s="82" t="n"/>
      <c r="P2001" s="82" t="n"/>
      <c r="Q2001" s="82" t="n"/>
      <c r="R2001" s="82" t="n"/>
      <c r="S2001" s="82" t="n"/>
      <c r="T2001" s="82" t="n"/>
      <c r="U2001" s="82" t="n"/>
      <c r="V2001" s="82" t="n"/>
      <c r="W2001" s="82" t="n"/>
      <c r="X2001" s="82" t="n"/>
      <c r="Y2001" s="82" t="n"/>
      <c r="Z2001" s="82" t="n"/>
    </row>
    <row r="2002" ht="15.75" customHeight="1" s="83">
      <c r="A2002" s="82" t="n"/>
      <c r="B2002" s="44" t="n"/>
      <c r="C2002" s="82" t="n"/>
      <c r="D2002" s="82" t="n"/>
      <c r="E2002" s="81" t="n"/>
      <c r="F2002" s="82" t="n"/>
      <c r="G2002" s="82" t="n"/>
      <c r="H2002" s="82" t="n"/>
      <c r="I2002" s="82" t="n"/>
      <c r="J2002" s="82" t="n"/>
      <c r="K2002" s="82" t="n"/>
      <c r="L2002" s="82" t="n"/>
      <c r="M2002" s="82" t="n"/>
      <c r="N2002" s="82" t="n"/>
      <c r="O2002" s="82" t="n"/>
      <c r="P2002" s="82" t="n"/>
      <c r="Q2002" s="82" t="n"/>
      <c r="R2002" s="82" t="n"/>
      <c r="S2002" s="82" t="n"/>
      <c r="T2002" s="82" t="n"/>
      <c r="U2002" s="82" t="n"/>
      <c r="V2002" s="82" t="n"/>
      <c r="W2002" s="82" t="n"/>
      <c r="X2002" s="82" t="n"/>
      <c r="Y2002" s="82" t="n"/>
      <c r="Z2002" s="82" t="n"/>
    </row>
    <row r="2003" ht="15.75" customHeight="1" s="83">
      <c r="A2003" s="82" t="n"/>
      <c r="B2003" s="44" t="n"/>
      <c r="C2003" s="82" t="n"/>
      <c r="D2003" s="82" t="n"/>
      <c r="E2003" s="81" t="n"/>
      <c r="F2003" s="82" t="n"/>
      <c r="G2003" s="82" t="n"/>
      <c r="H2003" s="82" t="n"/>
      <c r="I2003" s="82" t="n"/>
      <c r="J2003" s="82" t="n"/>
      <c r="K2003" s="82" t="n"/>
      <c r="L2003" s="82" t="n"/>
      <c r="M2003" s="82" t="n"/>
      <c r="N2003" s="82" t="n"/>
      <c r="O2003" s="82" t="n"/>
      <c r="P2003" s="82" t="n"/>
      <c r="Q2003" s="82" t="n"/>
      <c r="R2003" s="82" t="n"/>
      <c r="S2003" s="82" t="n"/>
      <c r="T2003" s="82" t="n"/>
      <c r="U2003" s="82" t="n"/>
      <c r="V2003" s="82" t="n"/>
      <c r="W2003" s="82" t="n"/>
      <c r="X2003" s="82" t="n"/>
      <c r="Y2003" s="82" t="n"/>
      <c r="Z2003" s="82" t="n"/>
    </row>
    <row r="2004" ht="15.75" customHeight="1" s="83">
      <c r="A2004" s="82" t="n"/>
      <c r="B2004" s="44" t="n"/>
      <c r="C2004" s="82" t="n"/>
      <c r="D2004" s="82" t="n"/>
      <c r="E2004" s="81" t="n"/>
      <c r="F2004" s="82" t="n"/>
      <c r="G2004" s="82" t="n"/>
      <c r="H2004" s="82" t="n"/>
      <c r="I2004" s="82" t="n"/>
      <c r="J2004" s="82" t="n"/>
      <c r="K2004" s="82" t="n"/>
      <c r="L2004" s="82" t="n"/>
      <c r="M2004" s="82" t="n"/>
      <c r="N2004" s="82" t="n"/>
      <c r="O2004" s="82" t="n"/>
      <c r="P2004" s="82" t="n"/>
      <c r="Q2004" s="82" t="n"/>
      <c r="R2004" s="82" t="n"/>
      <c r="S2004" s="82" t="n"/>
      <c r="T2004" s="82" t="n"/>
      <c r="U2004" s="82" t="n"/>
      <c r="V2004" s="82" t="n"/>
      <c r="W2004" s="82" t="n"/>
      <c r="X2004" s="82" t="n"/>
      <c r="Y2004" s="82" t="n"/>
      <c r="Z2004" s="82" t="n"/>
    </row>
    <row r="2005" ht="15.75" customHeight="1" s="83">
      <c r="A2005" s="82" t="n"/>
      <c r="B2005" s="44" t="n"/>
      <c r="C2005" s="82" t="n"/>
      <c r="D2005" s="82" t="n"/>
      <c r="E2005" s="81" t="n"/>
      <c r="F2005" s="82" t="n"/>
      <c r="G2005" s="82" t="n"/>
      <c r="H2005" s="82" t="n"/>
      <c r="I2005" s="82" t="n"/>
      <c r="J2005" s="82" t="n"/>
      <c r="K2005" s="82" t="n"/>
      <c r="L2005" s="82" t="n"/>
      <c r="M2005" s="82" t="n"/>
      <c r="N2005" s="82" t="n"/>
      <c r="O2005" s="82" t="n"/>
      <c r="P2005" s="82" t="n"/>
      <c r="Q2005" s="82" t="n"/>
      <c r="R2005" s="82" t="n"/>
      <c r="S2005" s="82" t="n"/>
      <c r="T2005" s="82" t="n"/>
      <c r="U2005" s="82" t="n"/>
      <c r="V2005" s="82" t="n"/>
      <c r="W2005" s="82" t="n"/>
      <c r="X2005" s="82" t="n"/>
      <c r="Y2005" s="82" t="n"/>
      <c r="Z2005" s="82" t="n"/>
    </row>
    <row r="2006" ht="15.75" customHeight="1" s="83">
      <c r="A2006" s="82" t="n"/>
      <c r="B2006" s="44" t="n"/>
      <c r="C2006" s="82" t="n"/>
      <c r="D2006" s="82" t="n"/>
      <c r="E2006" s="81" t="n"/>
      <c r="F2006" s="82" t="n"/>
      <c r="G2006" s="82" t="n"/>
      <c r="H2006" s="82" t="n"/>
      <c r="I2006" s="82" t="n"/>
      <c r="J2006" s="82" t="n"/>
      <c r="K2006" s="82" t="n"/>
      <c r="L2006" s="82" t="n"/>
      <c r="M2006" s="82" t="n"/>
      <c r="N2006" s="82" t="n"/>
      <c r="O2006" s="82" t="n"/>
      <c r="P2006" s="82" t="n"/>
      <c r="Q2006" s="82" t="n"/>
      <c r="R2006" s="82" t="n"/>
      <c r="S2006" s="82" t="n"/>
      <c r="T2006" s="82" t="n"/>
      <c r="U2006" s="82" t="n"/>
      <c r="V2006" s="82" t="n"/>
      <c r="W2006" s="82" t="n"/>
      <c r="X2006" s="82" t="n"/>
      <c r="Y2006" s="82" t="n"/>
      <c r="Z2006" s="82" t="n"/>
    </row>
    <row r="2007" ht="15.75" customHeight="1" s="83">
      <c r="A2007" s="82" t="n"/>
      <c r="B2007" s="44" t="n"/>
      <c r="C2007" s="82" t="n"/>
      <c r="D2007" s="82" t="n"/>
      <c r="E2007" s="81" t="n"/>
      <c r="F2007" s="82" t="n"/>
      <c r="G2007" s="82" t="n"/>
      <c r="H2007" s="82" t="n"/>
      <c r="I2007" s="82" t="n"/>
      <c r="J2007" s="82" t="n"/>
      <c r="K2007" s="82" t="n"/>
      <c r="L2007" s="82" t="n"/>
      <c r="M2007" s="82" t="n"/>
      <c r="N2007" s="82" t="n"/>
      <c r="O2007" s="82" t="n"/>
      <c r="P2007" s="82" t="n"/>
      <c r="Q2007" s="82" t="n"/>
      <c r="R2007" s="82" t="n"/>
      <c r="S2007" s="82" t="n"/>
      <c r="T2007" s="82" t="n"/>
      <c r="U2007" s="82" t="n"/>
      <c r="V2007" s="82" t="n"/>
      <c r="W2007" s="82" t="n"/>
      <c r="X2007" s="82" t="n"/>
      <c r="Y2007" s="82" t="n"/>
      <c r="Z2007" s="82" t="n"/>
    </row>
  </sheetData>
  <dataValidations count="1">
    <dataValidation sqref="H2:H146" showDropDown="0" showInputMessage="0" showErrorMessage="1" allowBlank="1" type="list">
      <formula1>"Telephonic Screening,ZN Submission,ZN Interview,ZN Salary Discussion,ZN Offer,ZN Hire,Candidate Withdrawn"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00E4E7EC"/>
    <outlinePr summaryBelow="0" summaryRight="0"/>
    <pageSetUpPr/>
  </sheetPr>
  <dimension ref="A11:H14"/>
  <sheetViews>
    <sheetView showGridLines="0" workbookViewId="0">
      <selection activeCell="A1" sqref="A1"/>
    </sheetView>
  </sheetViews>
  <sheetFormatPr baseColWidth="8" defaultColWidth="14.43" defaultRowHeight="15" customHeight="1"/>
  <cols>
    <col width="26.86" customWidth="1" style="83" min="1" max="1"/>
    <col width="21.14" customWidth="1" style="83" min="2" max="2"/>
    <col width="22.57" customWidth="1" style="83" min="3" max="3"/>
    <col width="15.43" customWidth="1" style="83" min="4" max="4"/>
    <col width="13.71" customWidth="1" style="83" min="5" max="5"/>
    <col width="9" customWidth="1" style="83" min="6" max="6"/>
    <col width="14.71" customWidth="1" style="83" min="7" max="7"/>
  </cols>
  <sheetData>
    <row r="11">
      <c r="A11" s="56" t="inlineStr">
        <is>
          <t>Req Title</t>
        </is>
      </c>
      <c r="B11" s="56" t="inlineStr">
        <is>
          <t>Telephonic Screening</t>
        </is>
      </c>
      <c r="C11" s="56" t="inlineStr">
        <is>
          <t>Candidate Withdrawn</t>
        </is>
      </c>
      <c r="D11" s="56" t="inlineStr">
        <is>
          <t>ZN Submission</t>
        </is>
      </c>
      <c r="E11" s="56" t="inlineStr">
        <is>
          <t>ZN Interview</t>
        </is>
      </c>
      <c r="F11" s="56" t="inlineStr">
        <is>
          <t>ZN Offer</t>
        </is>
      </c>
      <c r="G11" s="56" t="inlineStr">
        <is>
          <t>ZN Hire</t>
        </is>
      </c>
      <c r="H11" s="56" t="inlineStr">
        <is>
          <t>Grand Total</t>
        </is>
      </c>
    </row>
    <row r="12">
      <c r="A12" s="57" t="inlineStr">
        <is>
          <t>DBA</t>
        </is>
      </c>
      <c r="B12" s="58" t="n">
        <v>11</v>
      </c>
      <c r="C12" s="58" t="n"/>
      <c r="D12" s="58" t="n">
        <v>6</v>
      </c>
      <c r="E12" s="58" t="n"/>
      <c r="F12" s="58" t="n"/>
      <c r="G12" s="58" t="n"/>
      <c r="H12" s="58" t="n">
        <v>17</v>
      </c>
    </row>
    <row r="13">
      <c r="A13" s="57" t="inlineStr">
        <is>
          <t>Full Stack Developer</t>
        </is>
      </c>
      <c r="B13" s="58" t="n">
        <v>37</v>
      </c>
      <c r="C13" s="58" t="n">
        <v>8</v>
      </c>
      <c r="D13" s="58" t="n">
        <v>8</v>
      </c>
      <c r="E13" s="58" t="n">
        <v>6</v>
      </c>
      <c r="F13" s="58" t="n">
        <v>1</v>
      </c>
      <c r="G13" s="58" t="n">
        <v>1</v>
      </c>
      <c r="H13" s="58" t="n">
        <v>61</v>
      </c>
    </row>
    <row r="14">
      <c r="A14" s="57" t="inlineStr">
        <is>
          <t>Grand Total</t>
        </is>
      </c>
      <c r="B14" s="58" t="n">
        <v>48</v>
      </c>
      <c r="C14" s="58" t="n">
        <v>8</v>
      </c>
      <c r="D14" s="58" t="n">
        <v>14</v>
      </c>
      <c r="E14" s="58" t="n">
        <v>6</v>
      </c>
      <c r="F14" s="58" t="n">
        <v>1</v>
      </c>
      <c r="G14" s="58" t="n">
        <v>1</v>
      </c>
      <c r="H14" s="58" t="n">
        <v>78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4E7EC"/>
    <outlinePr summaryBelow="0" summaryRight="0"/>
    <pageSetUpPr/>
  </sheetPr>
  <dimension ref="A1:M79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5" t="inlineStr">
        <is>
          <t>Recruiter Name</t>
        </is>
      </c>
      <c r="B1" s="35" t="inlineStr">
        <is>
          <t>Date</t>
        </is>
      </c>
      <c r="C1" s="35" t="inlineStr">
        <is>
          <t>Month</t>
        </is>
      </c>
      <c r="D1" s="35" t="inlineStr">
        <is>
          <t>Candidate Name</t>
        </is>
      </c>
      <c r="E1" s="3" t="inlineStr">
        <is>
          <t>Contact Number</t>
        </is>
      </c>
      <c r="F1" s="35" t="inlineStr">
        <is>
          <t>Current Location</t>
        </is>
      </c>
      <c r="G1" s="35" t="inlineStr">
        <is>
          <t>Req Title</t>
        </is>
      </c>
      <c r="H1" s="35" t="inlineStr">
        <is>
          <t>Screening Status</t>
        </is>
      </c>
      <c r="I1" s="35" t="inlineStr">
        <is>
          <t>Comments</t>
        </is>
      </c>
      <c r="J1" s="35" t="inlineStr">
        <is>
          <t>Current Salary</t>
        </is>
      </c>
      <c r="K1" s="35" t="inlineStr">
        <is>
          <t>Expected Salary</t>
        </is>
      </c>
      <c r="L1" s="35" t="inlineStr">
        <is>
          <t>Comments</t>
        </is>
      </c>
      <c r="M1" s="35" t="inlineStr">
        <is>
          <t> </t>
        </is>
      </c>
    </row>
    <row r="2">
      <c r="A2" s="49" t="inlineStr">
        <is>
          <t>Vijay Anand</t>
        </is>
      </c>
      <c r="B2" s="48" t="n">
        <v>45665</v>
      </c>
      <c r="C2" s="49" t="inlineStr">
        <is>
          <t>January</t>
        </is>
      </c>
      <c r="D2" s="49" t="inlineStr">
        <is>
          <t>Sandhya S</t>
        </is>
      </c>
      <c r="E2" s="49" t="n">
        <v>8667092941</v>
      </c>
      <c r="F2" s="49" t="inlineStr">
        <is>
          <t>Chennai</t>
        </is>
      </c>
      <c r="G2" s="49" t="inlineStr">
        <is>
          <t>Full Stack Developer</t>
        </is>
      </c>
      <c r="H2" s="49" t="inlineStr">
        <is>
          <t>Candidate Withdrawn</t>
        </is>
      </c>
      <c r="I2" s="49" t="inlineStr">
        <is>
          <t>Backed out</t>
        </is>
      </c>
      <c r="J2" s="49" t="inlineStr">
        <is>
          <t>10.2 LPA</t>
        </is>
      </c>
      <c r="K2" s="49" t="inlineStr">
        <is>
          <t>16 LPA</t>
        </is>
      </c>
      <c r="L2" s="49" t="inlineStr">
        <is>
          <t>candidate backed out</t>
        </is>
      </c>
      <c r="M2" s="49" t="n"/>
    </row>
    <row r="3">
      <c r="A3" s="49" t="inlineStr">
        <is>
          <t>Sarath</t>
        </is>
      </c>
      <c r="B3" s="48" t="n">
        <v>45665</v>
      </c>
      <c r="C3" s="49" t="inlineStr">
        <is>
          <t>January</t>
        </is>
      </c>
      <c r="D3" s="72" t="inlineStr">
        <is>
          <t>Bakya Vijayan</t>
        </is>
      </c>
      <c r="E3" s="51" t="n">
        <v>9600790511</v>
      </c>
      <c r="F3" s="49" t="inlineStr">
        <is>
          <t>Chennai</t>
        </is>
      </c>
      <c r="G3" s="49" t="inlineStr">
        <is>
          <t>Full Stack Developer</t>
        </is>
      </c>
      <c r="H3" s="49" t="inlineStr">
        <is>
          <t>Telephonic Screening</t>
        </is>
      </c>
      <c r="I3" s="49" t="inlineStr">
        <is>
          <t>Reject- Budget Constraint</t>
        </is>
      </c>
      <c r="J3" s="49" t="inlineStr">
        <is>
          <t>18 LPA</t>
        </is>
      </c>
      <c r="K3" s="49" t="inlineStr">
        <is>
          <t>33 LPA</t>
        </is>
      </c>
      <c r="L3" s="49" t="n"/>
      <c r="M3" s="49" t="n"/>
    </row>
    <row r="4">
      <c r="A4" s="49" t="inlineStr">
        <is>
          <t>Sarath</t>
        </is>
      </c>
      <c r="B4" s="48" t="n">
        <v>45665</v>
      </c>
      <c r="C4" s="49" t="inlineStr">
        <is>
          <t>January</t>
        </is>
      </c>
      <c r="D4" s="49" t="inlineStr">
        <is>
          <t>Naveen Asapu</t>
        </is>
      </c>
      <c r="E4" s="51" t="n">
        <v>8124457892</v>
      </c>
      <c r="F4" s="49" t="inlineStr">
        <is>
          <t>Chennai</t>
        </is>
      </c>
      <c r="G4" s="49" t="inlineStr">
        <is>
          <t>Full Stack Developer</t>
        </is>
      </c>
      <c r="H4" s="49" t="inlineStr">
        <is>
          <t>Telephonic Screening</t>
        </is>
      </c>
      <c r="I4" s="49" t="inlineStr">
        <is>
          <t>Reject- Budget Constraint</t>
        </is>
      </c>
      <c r="J4" s="49" t="inlineStr">
        <is>
          <t>22.50 LPA</t>
        </is>
      </c>
      <c r="K4" s="49" t="inlineStr">
        <is>
          <t>32 LPA</t>
        </is>
      </c>
      <c r="L4" s="49" t="n"/>
      <c r="M4" s="49" t="n"/>
    </row>
    <row r="5">
      <c r="A5" s="49" t="inlineStr">
        <is>
          <t>Sarath</t>
        </is>
      </c>
      <c r="B5" s="48" t="n">
        <v>45665</v>
      </c>
      <c r="C5" s="49" t="inlineStr">
        <is>
          <t>January</t>
        </is>
      </c>
      <c r="D5" s="49" t="inlineStr">
        <is>
          <t>Alaghu Sundram</t>
        </is>
      </c>
      <c r="E5" s="51" t="n">
        <v>8939114429</v>
      </c>
      <c r="F5" s="49" t="inlineStr">
        <is>
          <t>Chennai</t>
        </is>
      </c>
      <c r="G5" s="49" t="inlineStr">
        <is>
          <t>Full Stack Developer</t>
        </is>
      </c>
      <c r="H5" s="49" t="inlineStr">
        <is>
          <t>Telephonic Screening</t>
        </is>
      </c>
      <c r="I5" s="49" t="inlineStr">
        <is>
          <t>Reject</t>
        </is>
      </c>
      <c r="J5" s="49" t="n"/>
      <c r="K5" s="49" t="n"/>
      <c r="L5" s="49" t="n"/>
      <c r="M5" s="49" t="n"/>
    </row>
    <row r="6">
      <c r="A6" s="49" t="inlineStr">
        <is>
          <t>Sarath</t>
        </is>
      </c>
      <c r="B6" s="48" t="n">
        <v>45665</v>
      </c>
      <c r="C6" s="49" t="inlineStr">
        <is>
          <t>January</t>
        </is>
      </c>
      <c r="D6" s="49" t="inlineStr">
        <is>
          <t>Jegan P</t>
        </is>
      </c>
      <c r="E6" s="55" t="n">
        <v>7904841246</v>
      </c>
      <c r="F6" s="49" t="inlineStr">
        <is>
          <t>Chennai</t>
        </is>
      </c>
      <c r="G6" s="49" t="inlineStr">
        <is>
          <t>Full Stack Developer</t>
        </is>
      </c>
      <c r="H6" s="49" t="inlineStr">
        <is>
          <t>Telephonic Screening</t>
        </is>
      </c>
      <c r="I6" s="49" t="inlineStr">
        <is>
          <t>Reject</t>
        </is>
      </c>
      <c r="J6" s="49" t="n"/>
      <c r="K6" s="49" t="n"/>
      <c r="L6" s="49" t="n"/>
      <c r="M6" s="49" t="n"/>
    </row>
    <row r="7">
      <c r="A7" s="49" t="inlineStr">
        <is>
          <t>Sarath</t>
        </is>
      </c>
      <c r="B7" s="48" t="n">
        <v>45665</v>
      </c>
      <c r="C7" s="49" t="inlineStr">
        <is>
          <t>January</t>
        </is>
      </c>
      <c r="D7" s="49" t="inlineStr">
        <is>
          <t>Naresh Ponnusamy</t>
        </is>
      </c>
      <c r="E7" s="51" t="n">
        <v>8015392688</v>
      </c>
      <c r="F7" s="49" t="inlineStr">
        <is>
          <t>Chennai</t>
        </is>
      </c>
      <c r="G7" s="49" t="inlineStr">
        <is>
          <t>Full Stack Developer</t>
        </is>
      </c>
      <c r="H7" s="49" t="inlineStr">
        <is>
          <t>Telephonic Screening</t>
        </is>
      </c>
      <c r="I7" s="49" t="inlineStr">
        <is>
          <t>Reject- 3 months NP</t>
        </is>
      </c>
      <c r="J7" s="49" t="n"/>
      <c r="K7" s="49" t="n"/>
      <c r="L7" s="49" t="n"/>
      <c r="M7" s="49" t="n"/>
    </row>
    <row r="8">
      <c r="A8" s="49" t="inlineStr">
        <is>
          <t>Sarath</t>
        </is>
      </c>
      <c r="B8" s="48" t="n">
        <v>45665</v>
      </c>
      <c r="C8" s="49" t="inlineStr">
        <is>
          <t>January</t>
        </is>
      </c>
      <c r="D8" s="59" t="inlineStr">
        <is>
          <t>Syed Hameed</t>
        </is>
      </c>
      <c r="E8" s="49" t="n">
        <v>9025729639</v>
      </c>
      <c r="F8" s="49" t="inlineStr">
        <is>
          <t>Chennai</t>
        </is>
      </c>
      <c r="G8" s="49" t="inlineStr">
        <is>
          <t>Full Stack Developer</t>
        </is>
      </c>
      <c r="H8" s="49" t="inlineStr">
        <is>
          <t>ZN Submission</t>
        </is>
      </c>
      <c r="I8" s="49" t="inlineStr">
        <is>
          <t>Backed out</t>
        </is>
      </c>
      <c r="J8" s="49" t="inlineStr">
        <is>
          <t>13 LPA</t>
        </is>
      </c>
      <c r="K8" s="49" t="inlineStr">
        <is>
          <t>As per the company standard</t>
        </is>
      </c>
      <c r="L8" s="49" t="n"/>
      <c r="M8" s="49" t="n"/>
    </row>
    <row r="9">
      <c r="A9" s="49" t="inlineStr">
        <is>
          <t>Sarath</t>
        </is>
      </c>
      <c r="B9" s="48" t="n">
        <v>45665</v>
      </c>
      <c r="C9" s="49" t="inlineStr">
        <is>
          <t>January</t>
        </is>
      </c>
      <c r="D9" s="49" t="inlineStr">
        <is>
          <t>Pradeepraj Arumugam</t>
        </is>
      </c>
      <c r="E9" s="51" t="n">
        <v>9943300927</v>
      </c>
      <c r="F9" s="49" t="inlineStr">
        <is>
          <t>Chennai</t>
        </is>
      </c>
      <c r="G9" s="49" t="inlineStr">
        <is>
          <t>Full Stack Developer</t>
        </is>
      </c>
      <c r="H9" s="49" t="inlineStr">
        <is>
          <t>Telephonic Screening</t>
        </is>
      </c>
      <c r="I9" s="49" t="inlineStr">
        <is>
          <t>Reject</t>
        </is>
      </c>
      <c r="J9" s="49" t="n"/>
      <c r="K9" s="49" t="n"/>
      <c r="L9" s="49" t="n"/>
      <c r="M9" s="49" t="n"/>
    </row>
    <row r="10">
      <c r="A10" s="49" t="inlineStr">
        <is>
          <t>Sarath</t>
        </is>
      </c>
      <c r="B10" s="48" t="n">
        <v>45665</v>
      </c>
      <c r="C10" s="49" t="inlineStr">
        <is>
          <t>January</t>
        </is>
      </c>
      <c r="D10" s="49" t="inlineStr">
        <is>
          <t>Sivakumar Kandappan</t>
        </is>
      </c>
      <c r="E10" s="51" t="n">
        <v>6381585734</v>
      </c>
      <c r="F10" s="49" t="inlineStr">
        <is>
          <t>Chennai</t>
        </is>
      </c>
      <c r="G10" s="49" t="inlineStr">
        <is>
          <t>Full Stack Developer</t>
        </is>
      </c>
      <c r="H10" s="49" t="inlineStr">
        <is>
          <t>Telephonic Screening</t>
        </is>
      </c>
      <c r="I10" s="49" t="inlineStr">
        <is>
          <t>Not intrested</t>
        </is>
      </c>
      <c r="J10" s="49" t="n"/>
      <c r="K10" s="49" t="n"/>
      <c r="L10" s="49" t="n"/>
      <c r="M10" s="49" t="n"/>
    </row>
    <row r="11">
      <c r="A11" s="49" t="inlineStr">
        <is>
          <t>Sarath</t>
        </is>
      </c>
      <c r="B11" s="48" t="n">
        <v>45665</v>
      </c>
      <c r="C11" s="49" t="inlineStr">
        <is>
          <t>January</t>
        </is>
      </c>
      <c r="D11" s="49" t="inlineStr">
        <is>
          <t>Venkatesh Prabhu</t>
        </is>
      </c>
      <c r="E11" s="51" t="n">
        <v>7010645183</v>
      </c>
      <c r="F11" s="49" t="inlineStr">
        <is>
          <t>Chennai</t>
        </is>
      </c>
      <c r="G11" s="49" t="inlineStr">
        <is>
          <t>Full Stack Developer</t>
        </is>
      </c>
      <c r="H11" s="49" t="inlineStr">
        <is>
          <t>Telephonic Screening</t>
        </is>
      </c>
      <c r="I11" s="49" t="inlineStr">
        <is>
          <t>Not intrested</t>
        </is>
      </c>
      <c r="J11" s="49" t="n"/>
      <c r="K11" s="49" t="n"/>
      <c r="L11" s="49" t="n"/>
      <c r="M11" s="49" t="n"/>
    </row>
    <row r="12">
      <c r="A12" s="49" t="inlineStr">
        <is>
          <t>Sarath</t>
        </is>
      </c>
      <c r="B12" s="48" t="n">
        <v>45665</v>
      </c>
      <c r="C12" s="49" t="inlineStr">
        <is>
          <t>January</t>
        </is>
      </c>
      <c r="D12" s="65" t="inlineStr">
        <is>
          <t>Dibakar Hazra</t>
        </is>
      </c>
      <c r="E12" s="49" t="n">
        <v>7908313425</v>
      </c>
      <c r="F12" s="49" t="inlineStr">
        <is>
          <t>Chennai</t>
        </is>
      </c>
      <c r="G12" s="49" t="inlineStr">
        <is>
          <t>Full Stack Developer</t>
        </is>
      </c>
      <c r="H12" s="49" t="inlineStr">
        <is>
          <t>Telephonic Screening</t>
        </is>
      </c>
      <c r="I12" s="49" t="inlineStr">
        <is>
          <t>Reject</t>
        </is>
      </c>
      <c r="J12" s="49" t="n"/>
      <c r="K12" s="49" t="n"/>
      <c r="L12" s="49" t="n"/>
      <c r="M12" s="49" t="n"/>
    </row>
    <row r="13">
      <c r="A13" s="49" t="inlineStr">
        <is>
          <t>Sarath</t>
        </is>
      </c>
      <c r="B13" s="48" t="n">
        <v>45666</v>
      </c>
      <c r="C13" s="49" t="inlineStr">
        <is>
          <t>January</t>
        </is>
      </c>
      <c r="D13" s="65" t="inlineStr">
        <is>
          <t>Mayank Khandelwal</t>
        </is>
      </c>
      <c r="E13" s="49" t="n">
        <v>9871532875</v>
      </c>
      <c r="F13" s="49" t="inlineStr">
        <is>
          <t>Chennai</t>
        </is>
      </c>
      <c r="G13" s="49" t="inlineStr">
        <is>
          <t>Full Stack Developer</t>
        </is>
      </c>
      <c r="H13" s="49" t="inlineStr">
        <is>
          <t>Telephonic Screening</t>
        </is>
      </c>
      <c r="I13" s="49" t="inlineStr">
        <is>
          <t>Reject</t>
        </is>
      </c>
      <c r="J13" s="49" t="n"/>
      <c r="K13" s="49" t="n"/>
      <c r="L13" s="49" t="n"/>
      <c r="M13" s="49" t="n"/>
    </row>
    <row r="14">
      <c r="A14" s="49" t="inlineStr">
        <is>
          <t>Sarath</t>
        </is>
      </c>
      <c r="B14" s="48" t="n">
        <v>45666</v>
      </c>
      <c r="C14" s="49" t="inlineStr">
        <is>
          <t>January</t>
        </is>
      </c>
      <c r="D14" s="72" t="inlineStr">
        <is>
          <t>Aravindkumar Perumal</t>
        </is>
      </c>
      <c r="E14" s="51" t="n">
        <v>9629284742</v>
      </c>
      <c r="F14" s="49" t="inlineStr">
        <is>
          <t>Chennai</t>
        </is>
      </c>
      <c r="G14" s="49" t="inlineStr">
        <is>
          <t>Full Stack Developer</t>
        </is>
      </c>
      <c r="H14" s="49" t="inlineStr">
        <is>
          <t>Telephonic Screening</t>
        </is>
      </c>
      <c r="I14" s="49" t="inlineStr">
        <is>
          <t>Beyond the budget</t>
        </is>
      </c>
      <c r="J14" s="49" t="inlineStr">
        <is>
          <t>25 LPA</t>
        </is>
      </c>
      <c r="K14" s="49" t="inlineStr">
        <is>
          <t>33 LPA</t>
        </is>
      </c>
      <c r="L14" s="49" t="n"/>
      <c r="M14" s="49" t="n"/>
    </row>
    <row r="15">
      <c r="A15" s="49" t="inlineStr">
        <is>
          <t>Sarath</t>
        </is>
      </c>
      <c r="B15" s="48" t="n">
        <v>45666</v>
      </c>
      <c r="C15" s="49" t="inlineStr">
        <is>
          <t>January</t>
        </is>
      </c>
      <c r="D15" s="49" t="inlineStr">
        <is>
          <t>Noorul Sirajudeen</t>
        </is>
      </c>
      <c r="E15" s="51" t="n">
        <v>9677909469</v>
      </c>
      <c r="F15" s="49" t="inlineStr">
        <is>
          <t>Chennai</t>
        </is>
      </c>
      <c r="G15" s="49" t="inlineStr">
        <is>
          <t>Full Stack Developer</t>
        </is>
      </c>
      <c r="H15" s="49" t="inlineStr">
        <is>
          <t>Telephonic Screening</t>
        </is>
      </c>
      <c r="I15" s="49" t="inlineStr">
        <is>
          <t>Reject</t>
        </is>
      </c>
      <c r="J15" s="49" t="n"/>
      <c r="K15" s="49" t="n"/>
      <c r="L15" s="49" t="n"/>
      <c r="M15" s="49" t="n"/>
    </row>
    <row r="16">
      <c r="A16" s="49" t="inlineStr">
        <is>
          <t>Sarath</t>
        </is>
      </c>
      <c r="B16" s="48" t="n">
        <v>45666</v>
      </c>
      <c r="C16" s="49" t="inlineStr">
        <is>
          <t>January</t>
        </is>
      </c>
      <c r="D16" s="49" t="inlineStr">
        <is>
          <t>Ruth Angel Balu</t>
        </is>
      </c>
      <c r="E16" s="51" t="n">
        <v>9952981253</v>
      </c>
      <c r="F16" s="49" t="inlineStr">
        <is>
          <t>Chennai</t>
        </is>
      </c>
      <c r="G16" s="49" t="inlineStr">
        <is>
          <t>Full Stack Developer</t>
        </is>
      </c>
      <c r="H16" s="49" t="inlineStr">
        <is>
          <t>Telephonic Screening</t>
        </is>
      </c>
      <c r="I16" s="49" t="inlineStr">
        <is>
          <t>Reject</t>
        </is>
      </c>
      <c r="J16" s="49" t="n"/>
      <c r="K16" s="49" t="n"/>
      <c r="L16" s="49" t="n"/>
      <c r="M16" s="49" t="n"/>
    </row>
    <row r="17">
      <c r="A17" s="49" t="inlineStr">
        <is>
          <t>Sarath</t>
        </is>
      </c>
      <c r="B17" s="48" t="n">
        <v>45666</v>
      </c>
      <c r="C17" s="49" t="inlineStr">
        <is>
          <t>January</t>
        </is>
      </c>
      <c r="D17" s="59" t="inlineStr">
        <is>
          <t>Jagadeesh Murugaiyan</t>
        </is>
      </c>
      <c r="E17" s="49" t="n">
        <v>9677231132</v>
      </c>
      <c r="F17" s="49" t="inlineStr">
        <is>
          <t>Chennai</t>
        </is>
      </c>
      <c r="G17" s="49" t="inlineStr">
        <is>
          <t>Full Stack Developer</t>
        </is>
      </c>
      <c r="H17" s="49" t="inlineStr">
        <is>
          <t>Telephonic Screening</t>
        </is>
      </c>
      <c r="I17" s="49" t="inlineStr">
        <is>
          <t>Beyond Budget</t>
        </is>
      </c>
      <c r="J17" s="49" t="inlineStr">
        <is>
          <t>22 LPA</t>
        </is>
      </c>
      <c r="K17" s="49" t="inlineStr">
        <is>
          <t>28 LPA</t>
        </is>
      </c>
      <c r="L17" s="49" t="inlineStr">
        <is>
          <t>don't have any cloud exp</t>
        </is>
      </c>
      <c r="M17" s="49" t="n"/>
    </row>
    <row r="18">
      <c r="A18" s="49" t="inlineStr">
        <is>
          <t>Sarath</t>
        </is>
      </c>
      <c r="B18" s="48" t="n">
        <v>45666</v>
      </c>
      <c r="C18" s="49" t="inlineStr">
        <is>
          <t>January</t>
        </is>
      </c>
      <c r="D18" s="49" t="inlineStr">
        <is>
          <t>Ashok Hariharan</t>
        </is>
      </c>
      <c r="E18" s="51" t="n">
        <v>9894887733</v>
      </c>
      <c r="F18" s="49" t="inlineStr">
        <is>
          <t>Chennai</t>
        </is>
      </c>
      <c r="G18" s="49" t="inlineStr">
        <is>
          <t>Full Stack Developer</t>
        </is>
      </c>
      <c r="H18" s="49" t="inlineStr">
        <is>
          <t>Telephonic Screening</t>
        </is>
      </c>
      <c r="I18" s="49" t="inlineStr">
        <is>
          <t>beyond Budget</t>
        </is>
      </c>
      <c r="J18" s="49" t="inlineStr">
        <is>
          <t>26 LPA</t>
        </is>
      </c>
      <c r="K18" s="49" t="inlineStr">
        <is>
          <t>33 LPA</t>
        </is>
      </c>
      <c r="L18" s="49" t="inlineStr">
        <is>
          <t xml:space="preserve">2 Months </t>
        </is>
      </c>
      <c r="M18" s="49" t="n"/>
    </row>
    <row r="19">
      <c r="A19" s="67" t="inlineStr">
        <is>
          <t>Sarath</t>
        </is>
      </c>
      <c r="B19" s="67" t="n">
        <v>45666</v>
      </c>
      <c r="C19" s="67" t="inlineStr">
        <is>
          <t>January</t>
        </is>
      </c>
      <c r="D19" s="67" t="inlineStr">
        <is>
          <t>Elangovan Mathan</t>
        </is>
      </c>
      <c r="E19" s="67" t="n">
        <v>9500866068</v>
      </c>
      <c r="F19" s="67" t="inlineStr">
        <is>
          <t>Chennai</t>
        </is>
      </c>
      <c r="G19" s="67" t="inlineStr">
        <is>
          <t>Full Stack Developer</t>
        </is>
      </c>
      <c r="H19" s="49" t="inlineStr">
        <is>
          <t>ZN Hire</t>
        </is>
      </c>
      <c r="I19" s="67" t="inlineStr">
        <is>
          <t>Offer accepted</t>
        </is>
      </c>
      <c r="J19" s="67" t="inlineStr">
        <is>
          <t>7 LPA</t>
        </is>
      </c>
      <c r="K19" s="67" t="inlineStr">
        <is>
          <t>13.50 LPA</t>
        </is>
      </c>
      <c r="L19" s="67" t="inlineStr">
        <is>
          <t>Immediate</t>
        </is>
      </c>
      <c r="M19" s="67" t="inlineStr">
        <is>
          <t>Joining on 20jan</t>
        </is>
      </c>
    </row>
    <row r="20">
      <c r="A20" s="49" t="inlineStr">
        <is>
          <t>Sarath</t>
        </is>
      </c>
      <c r="B20" s="48" t="n">
        <v>45666</v>
      </c>
      <c r="C20" s="49" t="inlineStr">
        <is>
          <t>January</t>
        </is>
      </c>
      <c r="D20" s="49" t="inlineStr">
        <is>
          <t>Nirmalkumar Neelamegan</t>
        </is>
      </c>
      <c r="E20" s="51" t="n">
        <v>7339451508</v>
      </c>
      <c r="F20" s="49" t="inlineStr">
        <is>
          <t>Chennai</t>
        </is>
      </c>
      <c r="G20" s="49" t="inlineStr">
        <is>
          <t>Full Stack Developer</t>
        </is>
      </c>
      <c r="H20" s="49" t="inlineStr">
        <is>
          <t>ZN Interview</t>
        </is>
      </c>
      <c r="I20" s="49" t="inlineStr">
        <is>
          <t>need to send</t>
        </is>
      </c>
      <c r="J20" s="49" t="inlineStr">
        <is>
          <t>8 LPA</t>
        </is>
      </c>
      <c r="K20" s="49" t="inlineStr">
        <is>
          <t>13 LPA</t>
        </is>
      </c>
      <c r="L20" s="49" t="inlineStr">
        <is>
          <t>1 Month</t>
        </is>
      </c>
      <c r="M20" s="49" t="n"/>
    </row>
    <row r="21">
      <c r="A21" s="49" t="inlineStr">
        <is>
          <t>Sarath</t>
        </is>
      </c>
      <c r="B21" s="48" t="n">
        <v>45666</v>
      </c>
      <c r="C21" s="49" t="inlineStr">
        <is>
          <t>January</t>
        </is>
      </c>
      <c r="D21" s="49" t="inlineStr">
        <is>
          <t xml:space="preserve">Vinodhini Martin </t>
        </is>
      </c>
      <c r="E21" s="51" t="n">
        <v>9025831044</v>
      </c>
      <c r="F21" s="49" t="inlineStr">
        <is>
          <t>Chennai</t>
        </is>
      </c>
      <c r="G21" s="49" t="inlineStr">
        <is>
          <t>Full Stack Developer</t>
        </is>
      </c>
      <c r="H21" s="49" t="inlineStr">
        <is>
          <t>Telephonic Screening</t>
        </is>
      </c>
      <c r="I21" s="49" t="inlineStr">
        <is>
          <t>Not intrested</t>
        </is>
      </c>
      <c r="J21" s="49" t="n"/>
      <c r="K21" s="49" t="n"/>
      <c r="L21" s="49" t="n"/>
      <c r="M21" s="49" t="n"/>
    </row>
    <row r="22">
      <c r="A22" s="49" t="inlineStr">
        <is>
          <t>Sarath</t>
        </is>
      </c>
      <c r="B22" s="48" t="n">
        <v>45666</v>
      </c>
      <c r="C22" s="49" t="inlineStr">
        <is>
          <t>January</t>
        </is>
      </c>
      <c r="D22" s="69" t="inlineStr">
        <is>
          <t>Preethi Sekar</t>
        </is>
      </c>
      <c r="E22" s="49" t="n">
        <v>7358129494</v>
      </c>
      <c r="F22" s="49" t="inlineStr">
        <is>
          <t>Chennai</t>
        </is>
      </c>
      <c r="G22" s="49" t="inlineStr">
        <is>
          <t>Full Stack Developer</t>
        </is>
      </c>
      <c r="H22" s="49" t="inlineStr">
        <is>
          <t>ZN Submission</t>
        </is>
      </c>
      <c r="I22" s="32" t="n"/>
      <c r="J22" s="49" t="inlineStr">
        <is>
          <t>6 LPA</t>
        </is>
      </c>
      <c r="K22" s="49" t="inlineStr">
        <is>
          <t>10 LPA</t>
        </is>
      </c>
      <c r="L22" s="49" t="inlineStr">
        <is>
          <t xml:space="preserve">Immediate </t>
        </is>
      </c>
      <c r="M22" s="49" t="n"/>
    </row>
    <row r="23">
      <c r="A23" s="49" t="inlineStr">
        <is>
          <t>Sarath</t>
        </is>
      </c>
      <c r="B23" s="48" t="n">
        <v>45667</v>
      </c>
      <c r="C23" s="49" t="inlineStr">
        <is>
          <t>January</t>
        </is>
      </c>
      <c r="D23" s="49" t="inlineStr">
        <is>
          <t>Mathan Kumar S</t>
        </is>
      </c>
      <c r="E23" s="51" t="n">
        <v>8248540437</v>
      </c>
      <c r="F23" s="49" t="inlineStr">
        <is>
          <t>Chennai</t>
        </is>
      </c>
      <c r="G23" s="49" t="inlineStr">
        <is>
          <t>Full Stack Developer</t>
        </is>
      </c>
      <c r="H23" s="49" t="inlineStr">
        <is>
          <t>Candidate Withdrawn</t>
        </is>
      </c>
      <c r="I23" s="49" t="inlineStr">
        <is>
          <t>Backed out</t>
        </is>
      </c>
      <c r="J23" s="49" t="inlineStr">
        <is>
          <t>7.5 LPA</t>
        </is>
      </c>
      <c r="K23" s="49" t="inlineStr">
        <is>
          <t>15 LPA</t>
        </is>
      </c>
      <c r="L23" s="49" t="inlineStr">
        <is>
          <t>7th Feb last date</t>
        </is>
      </c>
      <c r="M23" s="49" t="n"/>
    </row>
    <row r="24">
      <c r="A24" s="49" t="inlineStr">
        <is>
          <t>Sarath</t>
        </is>
      </c>
      <c r="B24" s="48" t="n">
        <v>45667</v>
      </c>
      <c r="C24" s="49" t="inlineStr">
        <is>
          <t>January</t>
        </is>
      </c>
      <c r="D24" s="49" t="inlineStr">
        <is>
          <t>Owais Nismo</t>
        </is>
      </c>
      <c r="E24" s="51" t="n">
        <v>9074086377</v>
      </c>
      <c r="F24" s="49" t="inlineStr">
        <is>
          <t>Chennai</t>
        </is>
      </c>
      <c r="G24" s="49" t="inlineStr">
        <is>
          <t>Full Stack Developer</t>
        </is>
      </c>
      <c r="H24" s="49" t="inlineStr">
        <is>
          <t>Candidate Withdrawn</t>
        </is>
      </c>
      <c r="I24" s="49" t="inlineStr">
        <is>
          <t>Backed out</t>
        </is>
      </c>
      <c r="J24" s="49" t="inlineStr">
        <is>
          <t>7.50 LPA</t>
        </is>
      </c>
      <c r="K24" s="49" t="inlineStr">
        <is>
          <t>12 LPA</t>
        </is>
      </c>
      <c r="L24" s="49" t="inlineStr">
        <is>
          <t>30 Days</t>
        </is>
      </c>
      <c r="M24" s="49" t="n"/>
    </row>
    <row r="25">
      <c r="A25" s="49" t="inlineStr">
        <is>
          <t>Sarath</t>
        </is>
      </c>
      <c r="B25" s="48" t="n">
        <v>45667</v>
      </c>
      <c r="C25" s="49" t="inlineStr">
        <is>
          <t>January</t>
        </is>
      </c>
      <c r="D25" s="49" t="inlineStr">
        <is>
          <t>Kamatchi venkatesan</t>
        </is>
      </c>
      <c r="E25" s="51" t="n">
        <v>9600241024</v>
      </c>
      <c r="F25" s="49" t="inlineStr">
        <is>
          <t>Chennai</t>
        </is>
      </c>
      <c r="G25" s="49" t="inlineStr">
        <is>
          <t>Full Stack Developer</t>
        </is>
      </c>
      <c r="H25" s="49" t="inlineStr">
        <is>
          <t>ZN Interview</t>
        </is>
      </c>
      <c r="I25" s="49" t="inlineStr">
        <is>
          <t>Rejected</t>
        </is>
      </c>
      <c r="J25" s="49" t="inlineStr">
        <is>
          <t>4.9 LPA</t>
        </is>
      </c>
      <c r="K25" s="49" t="inlineStr">
        <is>
          <t>9 LPA</t>
        </is>
      </c>
      <c r="L25" s="49" t="inlineStr">
        <is>
          <t>90 Days(Negotiable t0 45)</t>
        </is>
      </c>
      <c r="M25" s="49" t="n"/>
    </row>
    <row r="26">
      <c r="A26" s="49" t="inlineStr">
        <is>
          <t>Sarath</t>
        </is>
      </c>
      <c r="B26" s="48" t="n">
        <v>45667</v>
      </c>
      <c r="C26" s="49" t="inlineStr">
        <is>
          <t>January</t>
        </is>
      </c>
      <c r="D26" s="70" t="inlineStr">
        <is>
          <t>Humera Yasmeen</t>
        </is>
      </c>
      <c r="E26" s="51" t="n">
        <v>7598459786</v>
      </c>
      <c r="F26" s="49" t="inlineStr">
        <is>
          <t>Chennai</t>
        </is>
      </c>
      <c r="G26" s="49" t="inlineStr">
        <is>
          <t>Full Stack Developer</t>
        </is>
      </c>
      <c r="H26" s="49" t="inlineStr">
        <is>
          <t>ZN Interview</t>
        </is>
      </c>
      <c r="I26" s="49" t="inlineStr">
        <is>
          <t>On 14-01-25</t>
        </is>
      </c>
      <c r="J26" s="49" t="inlineStr">
        <is>
          <t>20 LPA</t>
        </is>
      </c>
      <c r="K26" s="49" t="inlineStr">
        <is>
          <t>25 LPA</t>
        </is>
      </c>
      <c r="L26" s="49" t="inlineStr">
        <is>
          <t>30 Days</t>
        </is>
      </c>
      <c r="M26" s="49" t="n"/>
    </row>
    <row r="27">
      <c r="A27" s="49" t="inlineStr">
        <is>
          <t>Sarath</t>
        </is>
      </c>
      <c r="B27" s="48" t="n">
        <v>45667</v>
      </c>
      <c r="C27" s="49" t="inlineStr">
        <is>
          <t>January</t>
        </is>
      </c>
      <c r="D27" s="49" t="inlineStr">
        <is>
          <t>Indiver Piyush</t>
        </is>
      </c>
      <c r="E27" s="51" t="n">
        <v>8148859722</v>
      </c>
      <c r="F27" s="49" t="inlineStr">
        <is>
          <t>Chennai</t>
        </is>
      </c>
      <c r="G27" s="49" t="inlineStr">
        <is>
          <t>Full Stack Developer</t>
        </is>
      </c>
      <c r="H27" s="49" t="inlineStr">
        <is>
          <t>ZN Interview</t>
        </is>
      </c>
      <c r="I27" s="49" t="inlineStr">
        <is>
          <t>Reject</t>
        </is>
      </c>
      <c r="J27" s="49" t="n"/>
      <c r="K27" s="49" t="n"/>
      <c r="L27" s="49" t="n"/>
      <c r="M27" s="49" t="n"/>
    </row>
    <row r="28">
      <c r="A28" s="49" t="inlineStr">
        <is>
          <t>Sarath</t>
        </is>
      </c>
      <c r="B28" s="48" t="n">
        <v>45667</v>
      </c>
      <c r="C28" s="49" t="inlineStr">
        <is>
          <t>January</t>
        </is>
      </c>
      <c r="D28" s="49" t="inlineStr">
        <is>
          <t>Bibin Christopher</t>
        </is>
      </c>
      <c r="E28" s="51" t="n">
        <v>6383938335</v>
      </c>
      <c r="F28" s="49" t="inlineStr">
        <is>
          <t>Chennai</t>
        </is>
      </c>
      <c r="G28" s="49" t="inlineStr">
        <is>
          <t>Full Stack Developer</t>
        </is>
      </c>
      <c r="H28" s="49" t="inlineStr">
        <is>
          <t>Telephonic Screening</t>
        </is>
      </c>
      <c r="I28" s="49" t="inlineStr">
        <is>
          <t>Reject</t>
        </is>
      </c>
      <c r="J28" s="49" t="n"/>
      <c r="K28" s="49" t="n"/>
      <c r="L28" s="49" t="n"/>
      <c r="M28" s="49" t="n"/>
    </row>
    <row r="29">
      <c r="A29" s="49" t="inlineStr">
        <is>
          <t>Sarath</t>
        </is>
      </c>
      <c r="B29" s="48" t="n">
        <v>45667</v>
      </c>
      <c r="C29" s="49" t="inlineStr">
        <is>
          <t>January</t>
        </is>
      </c>
      <c r="D29" s="59" t="inlineStr">
        <is>
          <t>Tamil Selvan</t>
        </is>
      </c>
      <c r="E29" s="49" t="n">
        <v>7010349163</v>
      </c>
      <c r="F29" s="49" t="inlineStr">
        <is>
          <t>Chennai</t>
        </is>
      </c>
      <c r="G29" s="49" t="inlineStr">
        <is>
          <t>Full Stack Developer</t>
        </is>
      </c>
      <c r="H29" s="49" t="inlineStr">
        <is>
          <t>Telephonic Screening</t>
        </is>
      </c>
      <c r="I29" s="49" t="inlineStr">
        <is>
          <t>Reject</t>
        </is>
      </c>
      <c r="J29" s="49" t="n"/>
      <c r="K29" s="49" t="n"/>
      <c r="L29" s="49" t="n"/>
      <c r="M29" s="49" t="n"/>
    </row>
    <row r="30">
      <c r="A30" s="49" t="inlineStr">
        <is>
          <t>Sarath</t>
        </is>
      </c>
      <c r="B30" s="48" t="n">
        <v>45667</v>
      </c>
      <c r="C30" s="49" t="inlineStr">
        <is>
          <t>January</t>
        </is>
      </c>
      <c r="D30" s="59" t="inlineStr">
        <is>
          <t>Harish Sundhar</t>
        </is>
      </c>
      <c r="E30" s="49" t="n">
        <v>8973631907</v>
      </c>
      <c r="F30" s="49" t="inlineStr">
        <is>
          <t>Chennai</t>
        </is>
      </c>
      <c r="G30" s="49" t="inlineStr">
        <is>
          <t>Full Stack Developer</t>
        </is>
      </c>
      <c r="H30" s="49" t="inlineStr">
        <is>
          <t>Telephonic Screening</t>
        </is>
      </c>
      <c r="I30" s="49" t="inlineStr">
        <is>
          <t>Not intrested</t>
        </is>
      </c>
      <c r="J30" s="49" t="n"/>
      <c r="K30" s="49" t="n"/>
      <c r="L30" s="49" t="n"/>
      <c r="M30" s="49" t="n"/>
    </row>
    <row r="31">
      <c r="A31" s="49" t="inlineStr">
        <is>
          <t>Sarath</t>
        </is>
      </c>
      <c r="B31" s="48" t="n">
        <v>45667</v>
      </c>
      <c r="C31" s="49" t="inlineStr">
        <is>
          <t>January</t>
        </is>
      </c>
      <c r="D31" s="49" t="inlineStr">
        <is>
          <t>Abinaya S</t>
        </is>
      </c>
      <c r="E31" s="51" t="n">
        <v>9360174449</v>
      </c>
      <c r="F31" s="49" t="inlineStr">
        <is>
          <t>Kovilpatti</t>
        </is>
      </c>
      <c r="G31" s="49" t="inlineStr">
        <is>
          <t>Full Stack Developer</t>
        </is>
      </c>
      <c r="H31" s="49" t="inlineStr">
        <is>
          <t>Candidate Withdrawn</t>
        </is>
      </c>
      <c r="I31" s="49" t="inlineStr">
        <is>
          <t>Backed out</t>
        </is>
      </c>
      <c r="J31" s="49" t="inlineStr">
        <is>
          <t>8 LPA</t>
        </is>
      </c>
      <c r="K31" s="49" t="inlineStr">
        <is>
          <t>14 LPA</t>
        </is>
      </c>
      <c r="L31" s="49" t="inlineStr">
        <is>
          <t>15 Days</t>
        </is>
      </c>
      <c r="M31" s="49" t="n"/>
    </row>
    <row r="32">
      <c r="A32" s="72" t="inlineStr">
        <is>
          <t>Sarath</t>
        </is>
      </c>
      <c r="B32" s="71" t="n">
        <v>45670</v>
      </c>
      <c r="C32" s="72" t="inlineStr">
        <is>
          <t>January</t>
        </is>
      </c>
      <c r="D32" s="72" t="inlineStr">
        <is>
          <t>Ramya Muthuraman</t>
        </is>
      </c>
      <c r="E32" s="72" t="n">
        <v>7339092698</v>
      </c>
      <c r="F32" s="72" t="inlineStr">
        <is>
          <t>Chennai</t>
        </is>
      </c>
      <c r="G32" s="72" t="inlineStr">
        <is>
          <t>Full Stack Developer</t>
        </is>
      </c>
      <c r="H32" s="72" t="inlineStr">
        <is>
          <t>ZN Offer</t>
        </is>
      </c>
      <c r="I32" s="72" t="inlineStr">
        <is>
          <t>Selected</t>
        </is>
      </c>
      <c r="J32" s="72" t="inlineStr">
        <is>
          <t>8 LPA</t>
        </is>
      </c>
      <c r="K32" s="72" t="inlineStr">
        <is>
          <t>12 LPA</t>
        </is>
      </c>
      <c r="L32" s="72" t="inlineStr">
        <is>
          <t>90 Days(Negotioable to 45days0</t>
        </is>
      </c>
      <c r="M32" s="72" t="n"/>
    </row>
    <row r="33">
      <c r="A33" s="49" t="inlineStr">
        <is>
          <t>Sarath</t>
        </is>
      </c>
      <c r="B33" s="48" t="n">
        <v>45670</v>
      </c>
      <c r="C33" s="49" t="inlineStr">
        <is>
          <t>January</t>
        </is>
      </c>
      <c r="D33" s="49" t="inlineStr">
        <is>
          <t>Elangovan Murugan</t>
        </is>
      </c>
      <c r="E33" s="51" t="n">
        <v>8056732185</v>
      </c>
      <c r="F33" s="49" t="inlineStr">
        <is>
          <t>Chennai</t>
        </is>
      </c>
      <c r="G33" s="49" t="inlineStr">
        <is>
          <t>Full Stack Developer</t>
        </is>
      </c>
      <c r="H33" s="49" t="inlineStr">
        <is>
          <t>ZN Interview</t>
        </is>
      </c>
      <c r="I33" s="49" t="inlineStr">
        <is>
          <t>Submitted for Review</t>
        </is>
      </c>
      <c r="J33" s="49" t="inlineStr">
        <is>
          <t>9.2 LPA</t>
        </is>
      </c>
      <c r="K33" s="49" t="inlineStr">
        <is>
          <t>15 LPA</t>
        </is>
      </c>
      <c r="L33" s="49" t="inlineStr">
        <is>
          <t>60 Days(Negotiable to 30days)</t>
        </is>
      </c>
      <c r="M33" s="49" t="n"/>
    </row>
    <row r="34">
      <c r="A34" s="49" t="inlineStr">
        <is>
          <t>Sarath</t>
        </is>
      </c>
      <c r="B34" s="48" t="n">
        <v>45670</v>
      </c>
      <c r="C34" s="49" t="inlineStr">
        <is>
          <t>January</t>
        </is>
      </c>
      <c r="D34" s="59" t="inlineStr">
        <is>
          <t>Ram Kumar</t>
        </is>
      </c>
      <c r="E34" s="49" t="n">
        <v>8610028776</v>
      </c>
      <c r="F34" s="49" t="inlineStr">
        <is>
          <t>Chennai</t>
        </is>
      </c>
      <c r="G34" s="49" t="inlineStr">
        <is>
          <t>Full Stack Developer</t>
        </is>
      </c>
      <c r="H34" s="49" t="inlineStr">
        <is>
          <t>Telephonic Screening</t>
        </is>
      </c>
      <c r="I34" s="49" t="inlineStr">
        <is>
          <t>Reject</t>
        </is>
      </c>
      <c r="J34" s="49" t="n"/>
      <c r="K34" s="49" t="n"/>
      <c r="L34" s="49" t="n"/>
      <c r="M34" s="49" t="n"/>
    </row>
    <row r="35">
      <c r="A35" s="49" t="inlineStr">
        <is>
          <t>Sarath</t>
        </is>
      </c>
      <c r="B35" s="48" t="n">
        <v>45670</v>
      </c>
      <c r="C35" s="49" t="inlineStr">
        <is>
          <t>January</t>
        </is>
      </c>
      <c r="D35" s="49" t="inlineStr">
        <is>
          <t>Vanishri Boopathy</t>
        </is>
      </c>
      <c r="E35" s="51" t="n">
        <v>9677228396</v>
      </c>
      <c r="F35" s="49" t="inlineStr">
        <is>
          <t>Chennai</t>
        </is>
      </c>
      <c r="G35" s="49" t="inlineStr">
        <is>
          <t>Full Stack Developer</t>
        </is>
      </c>
      <c r="H35" s="49" t="inlineStr">
        <is>
          <t>Telephonic Screening</t>
        </is>
      </c>
      <c r="I35" s="49" t="inlineStr">
        <is>
          <t>On hold due to high exp</t>
        </is>
      </c>
      <c r="J35" s="49" t="inlineStr">
        <is>
          <t>12 LPA</t>
        </is>
      </c>
      <c r="K35" s="49" t="inlineStr">
        <is>
          <t>20 LPA</t>
        </is>
      </c>
      <c r="L35" s="49" t="n"/>
      <c r="M35" s="49" t="n"/>
    </row>
    <row r="36">
      <c r="A36" s="49" t="inlineStr">
        <is>
          <t>Vijay Anand</t>
        </is>
      </c>
      <c r="B36" s="48" t="n">
        <v>45671</v>
      </c>
      <c r="C36" s="49" t="inlineStr">
        <is>
          <t>January</t>
        </is>
      </c>
      <c r="D36" s="49" t="inlineStr">
        <is>
          <t>Hareharan R S</t>
        </is>
      </c>
      <c r="E36" s="49" t="n">
        <v>7358207040</v>
      </c>
      <c r="F36" s="49" t="inlineStr">
        <is>
          <t>Chennai</t>
        </is>
      </c>
      <c r="G36" s="49" t="inlineStr">
        <is>
          <t>Full Stack Developer</t>
        </is>
      </c>
      <c r="H36" s="49" t="inlineStr">
        <is>
          <t>Candidate Withdrawn</t>
        </is>
      </c>
      <c r="I36" s="49" t="inlineStr">
        <is>
          <t>Backed out</t>
        </is>
      </c>
      <c r="J36" s="49" t="inlineStr">
        <is>
          <t>4 LPA</t>
        </is>
      </c>
      <c r="K36" s="49" t="inlineStr">
        <is>
          <t>6.5 LPA - 7 LPA</t>
        </is>
      </c>
      <c r="L36" s="49" t="inlineStr">
        <is>
          <t>Immediate Joiner</t>
        </is>
      </c>
      <c r="M36" s="49" t="n"/>
    </row>
    <row r="37">
      <c r="A37" s="49" t="inlineStr">
        <is>
          <t>Vijay Anand</t>
        </is>
      </c>
      <c r="B37" s="48" t="n">
        <v>45671</v>
      </c>
      <c r="C37" s="49" t="inlineStr">
        <is>
          <t>January</t>
        </is>
      </c>
      <c r="D37" s="49" t="inlineStr">
        <is>
          <t>Noorul Sirajudeen</t>
        </is>
      </c>
      <c r="E37" s="49" t="n">
        <v>9677909469</v>
      </c>
      <c r="F37" s="49" t="inlineStr">
        <is>
          <t>Chennai</t>
        </is>
      </c>
      <c r="G37" s="49" t="inlineStr">
        <is>
          <t>Full Stack Developer</t>
        </is>
      </c>
      <c r="H37" s="49" t="inlineStr">
        <is>
          <t>Telephonic Screening</t>
        </is>
      </c>
      <c r="I37" s="49" t="inlineStr">
        <is>
          <t>He needs time to think about the opportunity with ZeroNorth</t>
        </is>
      </c>
      <c r="J37" s="49" t="n"/>
      <c r="K37" s="49" t="n"/>
      <c r="L37" s="49" t="n"/>
      <c r="M37" s="49" t="n"/>
    </row>
    <row r="38">
      <c r="A38" s="49" t="inlineStr">
        <is>
          <t>Vijay Anand</t>
        </is>
      </c>
      <c r="B38" s="48" t="n">
        <v>45672</v>
      </c>
      <c r="C38" s="49" t="inlineStr">
        <is>
          <t>January</t>
        </is>
      </c>
      <c r="D38" s="49" t="inlineStr">
        <is>
          <t>Rohith H</t>
        </is>
      </c>
      <c r="E38" s="49" t="n">
        <v>9884538089</v>
      </c>
      <c r="F38" s="49" t="inlineStr">
        <is>
          <t>Chennai</t>
        </is>
      </c>
      <c r="G38" s="49" t="inlineStr">
        <is>
          <t>Full Stack Developer</t>
        </is>
      </c>
      <c r="H38" s="49" t="inlineStr">
        <is>
          <t>ZN Interview</t>
        </is>
      </c>
      <c r="I38" s="49" t="inlineStr">
        <is>
          <t>R1 completed - 14 Feb (awaiting feedback)</t>
        </is>
      </c>
      <c r="J38" s="49" t="inlineStr">
        <is>
          <t>14 LPA</t>
        </is>
      </c>
      <c r="K38" s="49" t="inlineStr">
        <is>
          <t>18 LPA</t>
        </is>
      </c>
      <c r="L38" s="49" t="inlineStr">
        <is>
          <t>1 month</t>
        </is>
      </c>
      <c r="M38" s="49" t="n"/>
    </row>
    <row r="39">
      <c r="A39" s="49" t="inlineStr">
        <is>
          <t>Arohi</t>
        </is>
      </c>
      <c r="B39" s="48" t="n">
        <v>45672</v>
      </c>
      <c r="C39" s="49" t="inlineStr">
        <is>
          <t>January</t>
        </is>
      </c>
      <c r="D39" s="49" t="inlineStr">
        <is>
          <t>Santhosh S</t>
        </is>
      </c>
      <c r="E39" s="49" t="n">
        <v>8838295808</v>
      </c>
      <c r="F39" s="49" t="inlineStr">
        <is>
          <t>Chennai</t>
        </is>
      </c>
      <c r="G39" s="49" t="inlineStr">
        <is>
          <t>Full Stack Developer</t>
        </is>
      </c>
      <c r="H39" s="49" t="inlineStr">
        <is>
          <t>Telephonic Screening</t>
        </is>
      </c>
      <c r="I39" s="49" t="inlineStr">
        <is>
          <t>Reject</t>
        </is>
      </c>
      <c r="J39" s="49" t="n"/>
      <c r="K39" s="49" t="n"/>
      <c r="L39" s="49" t="n"/>
      <c r="M39" s="49" t="n"/>
    </row>
    <row r="40">
      <c r="A40" s="49" t="inlineStr">
        <is>
          <t>Arohi</t>
        </is>
      </c>
      <c r="B40" s="48" t="n">
        <v>45672</v>
      </c>
      <c r="C40" s="49" t="inlineStr">
        <is>
          <t>January</t>
        </is>
      </c>
      <c r="D40" s="49" t="inlineStr">
        <is>
          <t>Anandh C</t>
        </is>
      </c>
      <c r="E40" s="49" t="n">
        <v>8838249278</v>
      </c>
      <c r="F40" s="49" t="inlineStr">
        <is>
          <t>Chennai</t>
        </is>
      </c>
      <c r="G40" s="49" t="inlineStr">
        <is>
          <t>Full Stack Developer</t>
        </is>
      </c>
      <c r="H40" s="49" t="inlineStr">
        <is>
          <t>Telephonic Screening</t>
        </is>
      </c>
      <c r="I40" s="49" t="inlineStr">
        <is>
          <t>Reject</t>
        </is>
      </c>
      <c r="J40" s="49" t="n"/>
      <c r="K40" s="49" t="n"/>
      <c r="L40" s="49" t="n"/>
      <c r="M40" s="49" t="n"/>
    </row>
    <row r="41">
      <c r="A41" s="49" t="inlineStr">
        <is>
          <t>Arohi</t>
        </is>
      </c>
      <c r="B41" s="48" t="n">
        <v>45672</v>
      </c>
      <c r="C41" s="49" t="inlineStr">
        <is>
          <t>January</t>
        </is>
      </c>
      <c r="D41" s="49" t="inlineStr">
        <is>
          <t>Thulasiram M</t>
        </is>
      </c>
      <c r="E41" s="49" t="n">
        <v>7708735444</v>
      </c>
      <c r="F41" s="49" t="inlineStr">
        <is>
          <t>Chennai</t>
        </is>
      </c>
      <c r="G41" s="49" t="inlineStr">
        <is>
          <t>Full Stack Developer</t>
        </is>
      </c>
      <c r="H41" s="49" t="inlineStr">
        <is>
          <t>Candidate Withdrawn</t>
        </is>
      </c>
      <c r="I41" s="49" t="inlineStr">
        <is>
          <t>Backed out</t>
        </is>
      </c>
      <c r="J41" s="49" t="inlineStr">
        <is>
          <t>3.8LPA</t>
        </is>
      </c>
      <c r="K41" s="49" t="inlineStr">
        <is>
          <t>7-8LPA</t>
        </is>
      </c>
      <c r="L41" s="49" t="inlineStr">
        <is>
          <t>1 month</t>
        </is>
      </c>
      <c r="M41" s="49" t="n"/>
    </row>
    <row r="42">
      <c r="A42" s="49" t="inlineStr">
        <is>
          <t>Arohi</t>
        </is>
      </c>
      <c r="B42" s="48" t="n">
        <v>45672</v>
      </c>
      <c r="C42" s="49" t="inlineStr">
        <is>
          <t>January</t>
        </is>
      </c>
      <c r="D42" s="49" t="inlineStr">
        <is>
          <t>Rengashree R</t>
        </is>
      </c>
      <c r="E42" s="49" t="n">
        <v>9342272661</v>
      </c>
      <c r="F42" s="49" t="inlineStr">
        <is>
          <t>Chennai</t>
        </is>
      </c>
      <c r="G42" s="49" t="inlineStr">
        <is>
          <t>Full Stack Developer</t>
        </is>
      </c>
      <c r="H42" s="49" t="inlineStr">
        <is>
          <t>Telephonic Screening</t>
        </is>
      </c>
      <c r="I42" s="49" t="inlineStr">
        <is>
          <t>Not intrested</t>
        </is>
      </c>
      <c r="J42" s="49" t="n"/>
      <c r="K42" s="49" t="n"/>
      <c r="L42" s="49" t="n"/>
      <c r="M42" s="49" t="n"/>
    </row>
    <row r="43">
      <c r="A43" s="49" t="inlineStr">
        <is>
          <t>Arohi</t>
        </is>
      </c>
      <c r="B43" s="48" t="n">
        <v>45672</v>
      </c>
      <c r="C43" s="49" t="inlineStr">
        <is>
          <t>January</t>
        </is>
      </c>
      <c r="D43" s="49" t="inlineStr">
        <is>
          <t>Santhiya Ravi</t>
        </is>
      </c>
      <c r="E43" s="49" t="n">
        <v>8015647157</v>
      </c>
      <c r="F43" s="49" t="inlineStr">
        <is>
          <t>Chennai</t>
        </is>
      </c>
      <c r="G43" s="49" t="inlineStr">
        <is>
          <t>Full Stack Developer</t>
        </is>
      </c>
      <c r="H43" s="49" t="inlineStr">
        <is>
          <t>ZN Submission</t>
        </is>
      </c>
      <c r="I43" s="49" t="inlineStr">
        <is>
          <t>Submitted for Review</t>
        </is>
      </c>
      <c r="J43" s="49" t="inlineStr">
        <is>
          <t>4.3LPA</t>
        </is>
      </c>
      <c r="K43" s="49" t="inlineStr">
        <is>
          <t>7.25LPA</t>
        </is>
      </c>
      <c r="L43" s="49" t="inlineStr">
        <is>
          <t>Can join after 15 days</t>
        </is>
      </c>
      <c r="M43" s="49" t="n"/>
    </row>
    <row r="44">
      <c r="A44" s="49" t="inlineStr">
        <is>
          <t>Arohi</t>
        </is>
      </c>
      <c r="B44" s="48" t="n">
        <v>45672</v>
      </c>
      <c r="C44" s="49" t="inlineStr">
        <is>
          <t>January</t>
        </is>
      </c>
      <c r="D44" s="74" t="inlineStr">
        <is>
          <t>Mohamed Irfan F</t>
        </is>
      </c>
      <c r="E44" s="49" t="n">
        <v>9566676562</v>
      </c>
      <c r="F44" s="49" t="inlineStr">
        <is>
          <t>Chennai</t>
        </is>
      </c>
      <c r="G44" s="49" t="inlineStr">
        <is>
          <t>Full Stack Developer</t>
        </is>
      </c>
      <c r="H44" s="49" t="inlineStr">
        <is>
          <t>Telephonic Screening</t>
        </is>
      </c>
      <c r="I44" s="49" t="inlineStr">
        <is>
          <t>Reject</t>
        </is>
      </c>
      <c r="J44" s="49" t="n"/>
      <c r="K44" s="49" t="n"/>
      <c r="L44" s="49" t="n"/>
      <c r="M44" s="49" t="n"/>
    </row>
    <row r="45">
      <c r="A45" s="49" t="inlineStr">
        <is>
          <t>Arohi</t>
        </is>
      </c>
      <c r="B45" s="48" t="n">
        <v>45672</v>
      </c>
      <c r="C45" s="49" t="inlineStr">
        <is>
          <t>January</t>
        </is>
      </c>
      <c r="D45" s="49" t="inlineStr">
        <is>
          <t>Arun R</t>
        </is>
      </c>
      <c r="E45" s="49" t="n">
        <v>9384594294</v>
      </c>
      <c r="F45" s="49" t="inlineStr">
        <is>
          <t>Chennai</t>
        </is>
      </c>
      <c r="G45" s="49" t="inlineStr">
        <is>
          <t>Full Stack Developer</t>
        </is>
      </c>
      <c r="H45" s="49" t="inlineStr">
        <is>
          <t>ZN Submission</t>
        </is>
      </c>
      <c r="I45" s="49" t="inlineStr">
        <is>
          <t>Submitted for Review</t>
        </is>
      </c>
      <c r="J45" s="49" t="inlineStr">
        <is>
          <t>5LPA</t>
        </is>
      </c>
      <c r="K45" s="49" t="inlineStr">
        <is>
          <t>8-9LPA</t>
        </is>
      </c>
      <c r="L45" s="49" t="inlineStr">
        <is>
          <t>1 month</t>
        </is>
      </c>
      <c r="M45" s="49" t="n"/>
    </row>
    <row r="46">
      <c r="A46" s="49" t="inlineStr">
        <is>
          <t>Arohi</t>
        </is>
      </c>
      <c r="B46" s="48" t="n">
        <v>45672</v>
      </c>
      <c r="C46" s="49" t="inlineStr">
        <is>
          <t>January</t>
        </is>
      </c>
      <c r="D46" s="69" t="inlineStr">
        <is>
          <t>Vengatesh V</t>
        </is>
      </c>
      <c r="E46" s="49" t="n">
        <v>9788874996</v>
      </c>
      <c r="F46" s="49" t="inlineStr">
        <is>
          <t>Chennai</t>
        </is>
      </c>
      <c r="G46" s="49" t="inlineStr">
        <is>
          <t>Full Stack Developer</t>
        </is>
      </c>
      <c r="H46" s="49" t="inlineStr">
        <is>
          <t>Candidate Withdrawn</t>
        </is>
      </c>
      <c r="I46" s="49" t="inlineStr">
        <is>
          <t>Backed out</t>
        </is>
      </c>
      <c r="J46" s="49" t="inlineStr">
        <is>
          <t>4.5LPA</t>
        </is>
      </c>
      <c r="K46" s="49" t="inlineStr">
        <is>
          <t>7-8LPA</t>
        </is>
      </c>
      <c r="L46" s="49" t="inlineStr">
        <is>
          <t>3 months</t>
        </is>
      </c>
      <c r="M46" s="49" t="n"/>
    </row>
    <row r="47">
      <c r="A47" s="49" t="inlineStr">
        <is>
          <t>Arohi</t>
        </is>
      </c>
      <c r="B47" s="48" t="n">
        <v>45672</v>
      </c>
      <c r="C47" s="49" t="inlineStr">
        <is>
          <t>January</t>
        </is>
      </c>
      <c r="D47" s="69" t="inlineStr">
        <is>
          <t>Prawin Krishna</t>
        </is>
      </c>
      <c r="E47" s="49" t="n">
        <v>9551741668</v>
      </c>
      <c r="F47" s="49" t="inlineStr">
        <is>
          <t>Chennai</t>
        </is>
      </c>
      <c r="G47" s="49" t="inlineStr">
        <is>
          <t>Full Stack Developer</t>
        </is>
      </c>
      <c r="H47" s="49" t="inlineStr">
        <is>
          <t>ZN Submission</t>
        </is>
      </c>
      <c r="I47" s="49" t="inlineStr">
        <is>
          <t>Submitted for Review</t>
        </is>
      </c>
      <c r="J47" s="49" t="inlineStr">
        <is>
          <t>4.5LPA</t>
        </is>
      </c>
      <c r="K47" s="49" t="inlineStr">
        <is>
          <t>8LPA</t>
        </is>
      </c>
      <c r="L47" s="49" t="inlineStr">
        <is>
          <t>45 days  nego to 30 Days</t>
        </is>
      </c>
      <c r="M47" s="49" t="n"/>
    </row>
    <row r="48">
      <c r="A48" s="49" t="inlineStr">
        <is>
          <t>Arohi</t>
        </is>
      </c>
      <c r="B48" s="48" t="n">
        <v>45672</v>
      </c>
      <c r="C48" s="49" t="inlineStr">
        <is>
          <t>January</t>
        </is>
      </c>
      <c r="D48" s="49" t="inlineStr">
        <is>
          <t>Manoj Kumar</t>
        </is>
      </c>
      <c r="E48" s="49" t="n">
        <v>8778178737</v>
      </c>
      <c r="F48" s="49" t="inlineStr">
        <is>
          <t>Chennai</t>
        </is>
      </c>
      <c r="G48" s="49" t="inlineStr">
        <is>
          <t>Full Stack Developer</t>
        </is>
      </c>
      <c r="H48" s="49" t="inlineStr">
        <is>
          <t>Telephonic Screening</t>
        </is>
      </c>
      <c r="I48" s="49" t="inlineStr">
        <is>
          <t>Reject</t>
        </is>
      </c>
      <c r="J48" s="49" t="inlineStr">
        <is>
          <t>11 LPA</t>
        </is>
      </c>
      <c r="K48" s="49" t="inlineStr">
        <is>
          <t>16 LPA</t>
        </is>
      </c>
      <c r="L48" s="49" t="inlineStr">
        <is>
          <t>Immediate joiner</t>
        </is>
      </c>
      <c r="M48" s="49" t="n"/>
    </row>
    <row r="49">
      <c r="A49" s="49" t="inlineStr">
        <is>
          <t>Arohi</t>
        </is>
      </c>
      <c r="B49" s="48" t="n">
        <v>45672</v>
      </c>
      <c r="C49" s="49" t="inlineStr">
        <is>
          <t>January</t>
        </is>
      </c>
      <c r="D49" s="49" t="inlineStr">
        <is>
          <t>Mohamed Rahmatullah</t>
        </is>
      </c>
      <c r="E49" s="49" t="n">
        <v>8939732284</v>
      </c>
      <c r="F49" s="49" t="inlineStr">
        <is>
          <t>Chennai</t>
        </is>
      </c>
      <c r="G49" s="49" t="inlineStr">
        <is>
          <t>Full Stack Developer</t>
        </is>
      </c>
      <c r="H49" s="49" t="inlineStr">
        <is>
          <t>Telephonic Screening</t>
        </is>
      </c>
      <c r="I49" s="49" t="inlineStr">
        <is>
          <t>Reject</t>
        </is>
      </c>
      <c r="J49" s="49" t="n"/>
      <c r="K49" s="49" t="n"/>
      <c r="L49" s="49" t="n"/>
      <c r="M49" s="49" t="n"/>
    </row>
    <row r="50">
      <c r="A50" s="49" t="inlineStr">
        <is>
          <t>Arohi</t>
        </is>
      </c>
      <c r="B50" s="48" t="n">
        <v>45673</v>
      </c>
      <c r="C50" s="49" t="inlineStr">
        <is>
          <t>January</t>
        </is>
      </c>
      <c r="D50" s="69" t="inlineStr">
        <is>
          <t>L Satheesh Kumar</t>
        </is>
      </c>
      <c r="E50" s="49" t="n">
        <v>95978876055</v>
      </c>
      <c r="F50" s="49" t="inlineStr">
        <is>
          <t>Chennai</t>
        </is>
      </c>
      <c r="G50" s="49" t="inlineStr">
        <is>
          <t>Full Stack Developer</t>
        </is>
      </c>
      <c r="H50" s="49" t="inlineStr">
        <is>
          <t>Telephonic Screening</t>
        </is>
      </c>
      <c r="I50" s="49" t="inlineStr">
        <is>
          <t>Reject</t>
        </is>
      </c>
      <c r="J50" s="49" t="n"/>
      <c r="K50" s="49" t="n"/>
      <c r="L50" s="49" t="n"/>
      <c r="M50" s="49" t="n"/>
    </row>
    <row r="51">
      <c r="A51" s="49" t="inlineStr">
        <is>
          <t>Sarath</t>
        </is>
      </c>
      <c r="B51" s="48" t="n">
        <v>45673</v>
      </c>
      <c r="C51" s="49" t="inlineStr">
        <is>
          <t>January</t>
        </is>
      </c>
      <c r="D51" s="49" t="inlineStr">
        <is>
          <t>Srinu Nagula</t>
        </is>
      </c>
      <c r="E51" s="51" t="n">
        <v>9701430042</v>
      </c>
      <c r="F51" s="49" t="inlineStr">
        <is>
          <t>Chennai</t>
        </is>
      </c>
      <c r="G51" s="49" t="inlineStr">
        <is>
          <t>DBA</t>
        </is>
      </c>
      <c r="H51" s="49" t="inlineStr">
        <is>
          <t>ZN Submission</t>
        </is>
      </c>
      <c r="I51" s="49" t="inlineStr">
        <is>
          <t>L1-TBRS</t>
        </is>
      </c>
      <c r="J51" s="49" t="inlineStr">
        <is>
          <t>4.30 LPA</t>
        </is>
      </c>
      <c r="K51" s="49" t="inlineStr">
        <is>
          <t>10 LPA</t>
        </is>
      </c>
      <c r="L51" s="49" t="inlineStr">
        <is>
          <t>10 Feb last working</t>
        </is>
      </c>
      <c r="M51" s="49" t="n"/>
    </row>
    <row r="52">
      <c r="A52" s="49" t="inlineStr">
        <is>
          <t>Sarath</t>
        </is>
      </c>
      <c r="B52" s="48" t="n">
        <v>45673</v>
      </c>
      <c r="C52" s="49" t="inlineStr">
        <is>
          <t>January</t>
        </is>
      </c>
      <c r="D52" s="49" t="inlineStr">
        <is>
          <t>Raja</t>
        </is>
      </c>
      <c r="E52" s="51" t="n">
        <v>9842628783</v>
      </c>
      <c r="F52" s="49" t="inlineStr">
        <is>
          <t>Chennai</t>
        </is>
      </c>
      <c r="G52" s="49" t="inlineStr">
        <is>
          <t>DBA</t>
        </is>
      </c>
      <c r="H52" s="49" t="inlineStr">
        <is>
          <t>ZN Submission</t>
        </is>
      </c>
      <c r="I52" s="49" t="inlineStr">
        <is>
          <t>Review</t>
        </is>
      </c>
      <c r="J52" s="49" t="inlineStr">
        <is>
          <t>18 LPA</t>
        </is>
      </c>
      <c r="K52" s="49" t="inlineStr">
        <is>
          <t>21 LPA</t>
        </is>
      </c>
      <c r="L52" s="49" t="inlineStr">
        <is>
          <t>Immediate</t>
        </is>
      </c>
      <c r="M52" s="49" t="n"/>
    </row>
    <row r="53">
      <c r="A53" s="49" t="inlineStr">
        <is>
          <t>Sarath</t>
        </is>
      </c>
      <c r="B53" s="48" t="n">
        <v>45673</v>
      </c>
      <c r="C53" s="49" t="inlineStr">
        <is>
          <t>January</t>
        </is>
      </c>
      <c r="D53" s="49" t="inlineStr">
        <is>
          <t>Bhuvaneswari Devi</t>
        </is>
      </c>
      <c r="E53" s="51" t="n">
        <v>9701244844</v>
      </c>
      <c r="F53" s="49" t="inlineStr">
        <is>
          <t>Chennai</t>
        </is>
      </c>
      <c r="G53" s="49" t="inlineStr">
        <is>
          <t>DBA</t>
        </is>
      </c>
      <c r="H53" s="49" t="inlineStr">
        <is>
          <t>Telephonic Screening</t>
        </is>
      </c>
      <c r="I53" s="49" t="inlineStr">
        <is>
          <t>Not intrested</t>
        </is>
      </c>
      <c r="J53" s="49" t="n"/>
      <c r="K53" s="49" t="n"/>
      <c r="L53" s="49" t="n"/>
      <c r="M53" s="49" t="n"/>
    </row>
    <row r="54">
      <c r="A54" s="49" t="inlineStr">
        <is>
          <t>Sarath</t>
        </is>
      </c>
      <c r="B54" s="48" t="n">
        <v>45673</v>
      </c>
      <c r="C54" s="49" t="inlineStr">
        <is>
          <t>January</t>
        </is>
      </c>
      <c r="D54" s="49" t="inlineStr">
        <is>
          <t>Gayathri Srinivasan</t>
        </is>
      </c>
      <c r="E54" s="51" t="n">
        <v>6382294895</v>
      </c>
      <c r="F54" s="49" t="inlineStr">
        <is>
          <t>Chennai</t>
        </is>
      </c>
      <c r="G54" s="49" t="inlineStr">
        <is>
          <t>DBA</t>
        </is>
      </c>
      <c r="H54" s="49" t="inlineStr">
        <is>
          <t>Telephonic Screening</t>
        </is>
      </c>
      <c r="I54" s="49" t="inlineStr">
        <is>
          <t>Not intrested</t>
        </is>
      </c>
      <c r="J54" s="49" t="n"/>
      <c r="K54" s="49" t="n"/>
      <c r="L54" s="49" t="n"/>
      <c r="M54" s="49" t="n"/>
    </row>
    <row r="55">
      <c r="A55" s="49" t="inlineStr">
        <is>
          <t>Sarath</t>
        </is>
      </c>
      <c r="B55" s="48" t="n">
        <v>45673</v>
      </c>
      <c r="C55" s="49" t="inlineStr">
        <is>
          <t>January</t>
        </is>
      </c>
      <c r="D55" s="49" t="inlineStr">
        <is>
          <t>Vinodh Kumar</t>
        </is>
      </c>
      <c r="E55" s="51" t="n">
        <v>8019144327</v>
      </c>
      <c r="F55" s="49" t="inlineStr">
        <is>
          <t>Chennai</t>
        </is>
      </c>
      <c r="G55" s="49" t="inlineStr">
        <is>
          <t>DBA</t>
        </is>
      </c>
      <c r="H55" s="49" t="inlineStr">
        <is>
          <t>ZN Submission</t>
        </is>
      </c>
      <c r="I55" s="49" t="inlineStr">
        <is>
          <t>Duplication - ZN already have resume</t>
        </is>
      </c>
      <c r="J55" s="49" t="n"/>
      <c r="K55" s="49" t="n"/>
      <c r="L55" s="49" t="n"/>
      <c r="M55" s="49" t="n"/>
    </row>
    <row r="56">
      <c r="A56" s="49" t="inlineStr">
        <is>
          <t>Sarath</t>
        </is>
      </c>
      <c r="B56" s="48" t="n">
        <v>45673</v>
      </c>
      <c r="C56" s="49" t="inlineStr">
        <is>
          <t>January</t>
        </is>
      </c>
      <c r="D56" s="49" t="inlineStr">
        <is>
          <t>Jagadeesh Korraee</t>
        </is>
      </c>
      <c r="E56" s="51" t="n">
        <v>9642497850</v>
      </c>
      <c r="F56" s="49" t="inlineStr">
        <is>
          <t>Chennai</t>
        </is>
      </c>
      <c r="G56" s="49" t="inlineStr">
        <is>
          <t>DBA</t>
        </is>
      </c>
      <c r="H56" s="49" t="inlineStr">
        <is>
          <t>Telephonic Screening</t>
        </is>
      </c>
      <c r="I56" s="49" t="inlineStr">
        <is>
          <t>Reject - 3 months NP</t>
        </is>
      </c>
      <c r="J56" s="49" t="n"/>
      <c r="K56" s="49" t="n"/>
      <c r="L56" s="49" t="n"/>
      <c r="M56" s="49" t="n"/>
    </row>
    <row r="57">
      <c r="A57" s="49" t="inlineStr">
        <is>
          <t>Sarath</t>
        </is>
      </c>
      <c r="B57" s="48" t="n">
        <v>45673</v>
      </c>
      <c r="C57" s="49" t="inlineStr">
        <is>
          <t>January</t>
        </is>
      </c>
      <c r="D57" s="69" t="inlineStr">
        <is>
          <t>Raman Seshadri</t>
        </is>
      </c>
      <c r="E57" s="49" t="n">
        <v>9499955041</v>
      </c>
      <c r="F57" s="49" t="inlineStr">
        <is>
          <t>Chennai</t>
        </is>
      </c>
      <c r="G57" s="49" t="inlineStr">
        <is>
          <t>DBA</t>
        </is>
      </c>
      <c r="H57" s="49" t="inlineStr">
        <is>
          <t>Telephonic Screening</t>
        </is>
      </c>
      <c r="I57" s="49" t="inlineStr">
        <is>
          <t>He has 90days notice period</t>
        </is>
      </c>
      <c r="J57" s="49" t="inlineStr">
        <is>
          <t>4.5 LPA</t>
        </is>
      </c>
      <c r="K57" s="49" t="inlineStr">
        <is>
          <t>9 LPA</t>
        </is>
      </c>
      <c r="L57" s="49" t="inlineStr">
        <is>
          <t>90Days</t>
        </is>
      </c>
      <c r="M57" s="49" t="n"/>
    </row>
    <row r="58">
      <c r="A58" s="49" t="inlineStr">
        <is>
          <t>Sarath</t>
        </is>
      </c>
      <c r="B58" s="48" t="n">
        <v>45677</v>
      </c>
      <c r="C58" s="49" t="inlineStr">
        <is>
          <t>January</t>
        </is>
      </c>
      <c r="D58" s="49" t="inlineStr">
        <is>
          <t>Arun Athithyan</t>
        </is>
      </c>
      <c r="E58" s="51" t="n">
        <v>9788242496</v>
      </c>
      <c r="F58" s="49" t="inlineStr">
        <is>
          <t>Chennai</t>
        </is>
      </c>
      <c r="G58" s="49" t="inlineStr">
        <is>
          <t>DBA</t>
        </is>
      </c>
      <c r="H58" s="49" t="inlineStr">
        <is>
          <t>ZN Submission</t>
        </is>
      </c>
      <c r="I58" s="49" t="inlineStr">
        <is>
          <t>Reject - 3 months NP</t>
        </is>
      </c>
      <c r="J58" s="49" t="inlineStr">
        <is>
          <t>12 LPA</t>
        </is>
      </c>
      <c r="K58" s="49" t="inlineStr">
        <is>
          <t>16 LPA</t>
        </is>
      </c>
      <c r="L58" s="49" t="inlineStr">
        <is>
          <t>90 days</t>
        </is>
      </c>
      <c r="M58" s="49" t="n"/>
    </row>
    <row r="59">
      <c r="A59" s="49" t="inlineStr">
        <is>
          <t>Sarath</t>
        </is>
      </c>
      <c r="B59" s="48" t="n">
        <v>45677</v>
      </c>
      <c r="C59" s="49" t="inlineStr">
        <is>
          <t>January</t>
        </is>
      </c>
      <c r="D59" s="49" t="inlineStr">
        <is>
          <t>Mahammed Abdul</t>
        </is>
      </c>
      <c r="E59" s="75" t="n">
        <v>9150396516</v>
      </c>
      <c r="F59" s="49" t="inlineStr">
        <is>
          <t>Chennai</t>
        </is>
      </c>
      <c r="G59" s="49" t="inlineStr">
        <is>
          <t>DBA</t>
        </is>
      </c>
      <c r="H59" s="49" t="inlineStr">
        <is>
          <t>ZN Submission</t>
        </is>
      </c>
      <c r="I59" s="32" t="inlineStr">
        <is>
          <t>Review</t>
        </is>
      </c>
      <c r="J59" s="49" t="inlineStr">
        <is>
          <t>8 LPA</t>
        </is>
      </c>
      <c r="K59" s="49" t="inlineStr">
        <is>
          <t>40% Hike</t>
        </is>
      </c>
      <c r="L59" s="49" t="inlineStr">
        <is>
          <t>Immediate</t>
        </is>
      </c>
      <c r="M59" s="49" t="n"/>
    </row>
    <row r="60">
      <c r="A60" s="49" t="inlineStr">
        <is>
          <t>Sarath</t>
        </is>
      </c>
      <c r="B60" s="48" t="n">
        <v>45677</v>
      </c>
      <c r="C60" s="49" t="inlineStr">
        <is>
          <t>January</t>
        </is>
      </c>
      <c r="D60" s="49" t="inlineStr">
        <is>
          <t>Shivam Chauhan</t>
        </is>
      </c>
      <c r="E60" s="51" t="n">
        <v>7017000093</v>
      </c>
      <c r="F60" s="49" t="inlineStr">
        <is>
          <t>Noida</t>
        </is>
      </c>
      <c r="G60" s="49" t="inlineStr">
        <is>
          <t>DBA</t>
        </is>
      </c>
      <c r="H60" s="49" t="inlineStr">
        <is>
          <t>Telephonic Screening</t>
        </is>
      </c>
      <c r="I60" s="49" t="inlineStr">
        <is>
          <t>Reject</t>
        </is>
      </c>
      <c r="J60" s="49" t="n"/>
      <c r="K60" s="49" t="n"/>
      <c r="L60" s="49" t="n"/>
      <c r="M60" s="49" t="n"/>
    </row>
    <row r="61">
      <c r="A61" s="49" t="inlineStr">
        <is>
          <t>Sarath</t>
        </is>
      </c>
      <c r="B61" s="48" t="n">
        <v>45677</v>
      </c>
      <c r="C61" s="49" t="inlineStr">
        <is>
          <t>January</t>
        </is>
      </c>
      <c r="D61" s="49" t="inlineStr">
        <is>
          <t>Ibrahim A</t>
        </is>
      </c>
      <c r="E61" s="76" t="n">
        <v>7871157867</v>
      </c>
      <c r="F61" s="49" t="inlineStr">
        <is>
          <t>Chennai</t>
        </is>
      </c>
      <c r="G61" s="49" t="inlineStr">
        <is>
          <t>DBA</t>
        </is>
      </c>
      <c r="H61" s="49" t="inlineStr">
        <is>
          <t>Telephonic Screening</t>
        </is>
      </c>
      <c r="I61" s="49" t="inlineStr">
        <is>
          <t>Reject</t>
        </is>
      </c>
      <c r="J61" s="49" t="n"/>
      <c r="K61" s="49" t="n"/>
      <c r="L61" s="49" t="n"/>
      <c r="M61" s="49" t="n"/>
    </row>
    <row r="62">
      <c r="A62" s="49" t="inlineStr">
        <is>
          <t>Sarath</t>
        </is>
      </c>
      <c r="B62" s="48" t="n">
        <v>45677</v>
      </c>
      <c r="C62" s="49" t="inlineStr">
        <is>
          <t>January</t>
        </is>
      </c>
      <c r="D62" s="49" t="inlineStr">
        <is>
          <t>Meenakshi Kumar</t>
        </is>
      </c>
      <c r="E62" s="51" t="n">
        <v>7092382985</v>
      </c>
      <c r="F62" s="49" t="inlineStr">
        <is>
          <t>Chennai</t>
        </is>
      </c>
      <c r="G62" s="49" t="inlineStr">
        <is>
          <t>DBA</t>
        </is>
      </c>
      <c r="H62" s="49" t="inlineStr">
        <is>
          <t>Telephonic Screening</t>
        </is>
      </c>
      <c r="I62" s="49" t="inlineStr">
        <is>
          <t>Not intrested</t>
        </is>
      </c>
      <c r="J62" s="49" t="n"/>
      <c r="K62" s="49" t="n"/>
      <c r="L62" s="49" t="n"/>
      <c r="M62" s="49" t="n"/>
    </row>
    <row r="63">
      <c r="A63" s="49" t="inlineStr">
        <is>
          <t>Sarath</t>
        </is>
      </c>
      <c r="B63" s="48" t="n">
        <v>45677</v>
      </c>
      <c r="C63" s="49" t="inlineStr">
        <is>
          <t>January</t>
        </is>
      </c>
      <c r="D63" s="49" t="inlineStr">
        <is>
          <t>Ramya Maheswari</t>
        </is>
      </c>
      <c r="E63" s="51" t="n">
        <v>8939703368</v>
      </c>
      <c r="F63" s="49" t="inlineStr">
        <is>
          <t>Chennai</t>
        </is>
      </c>
      <c r="G63" s="49" t="inlineStr">
        <is>
          <t>DBA</t>
        </is>
      </c>
      <c r="H63" s="49" t="inlineStr">
        <is>
          <t>Telephonic Screening</t>
        </is>
      </c>
      <c r="I63" s="49" t="inlineStr">
        <is>
          <t>Reject</t>
        </is>
      </c>
      <c r="J63" s="49" t="n"/>
      <c r="K63" s="49" t="n"/>
      <c r="L63" s="49" t="n"/>
      <c r="M63" s="49" t="n"/>
    </row>
    <row r="64">
      <c r="A64" s="49" t="inlineStr">
        <is>
          <t>Sarath</t>
        </is>
      </c>
      <c r="B64" s="48" t="n">
        <v>45677</v>
      </c>
      <c r="C64" s="49" t="inlineStr">
        <is>
          <t>January</t>
        </is>
      </c>
      <c r="D64" s="69" t="inlineStr">
        <is>
          <t>Kokila P</t>
        </is>
      </c>
      <c r="E64" s="77" t="n">
        <v>8072128911</v>
      </c>
      <c r="F64" s="49" t="inlineStr">
        <is>
          <t>Chennai</t>
        </is>
      </c>
      <c r="G64" s="49" t="inlineStr">
        <is>
          <t>DBA</t>
        </is>
      </c>
      <c r="H64" s="49" t="inlineStr">
        <is>
          <t>Telephonic Screening</t>
        </is>
      </c>
      <c r="I64" s="49" t="inlineStr">
        <is>
          <t>Not intrested</t>
        </is>
      </c>
      <c r="J64" s="49" t="n"/>
      <c r="K64" s="49" t="n"/>
      <c r="L64" s="49" t="n"/>
      <c r="M64" s="49" t="n"/>
    </row>
    <row r="65">
      <c r="A65" s="49" t="inlineStr">
        <is>
          <t>Sarath</t>
        </is>
      </c>
      <c r="B65" s="48" t="n">
        <v>45686</v>
      </c>
      <c r="C65" s="49" t="inlineStr">
        <is>
          <t>January</t>
        </is>
      </c>
      <c r="D65" s="69" t="inlineStr">
        <is>
          <t>Amsath Ali</t>
        </is>
      </c>
      <c r="E65" s="51" t="n">
        <v>9886045732</v>
      </c>
      <c r="F65" s="49" t="inlineStr">
        <is>
          <t>Chennai</t>
        </is>
      </c>
      <c r="G65" s="49" t="inlineStr">
        <is>
          <t>DBA</t>
        </is>
      </c>
      <c r="H65" s="49" t="inlineStr">
        <is>
          <t>ZN Submission</t>
        </is>
      </c>
      <c r="I65" s="49" t="n"/>
      <c r="J65" s="49" t="inlineStr">
        <is>
          <t>20 LPA</t>
        </is>
      </c>
      <c r="K65" s="49" t="inlineStr">
        <is>
          <t>23 LPA</t>
        </is>
      </c>
      <c r="L65" s="49" t="inlineStr">
        <is>
          <t>Immediate</t>
        </is>
      </c>
      <c r="M65" s="49" t="n"/>
    </row>
    <row r="66">
      <c r="A66" s="49" t="inlineStr">
        <is>
          <t>Sarath</t>
        </is>
      </c>
      <c r="B66" s="48" t="n">
        <v>45686</v>
      </c>
      <c r="C66" s="49" t="inlineStr">
        <is>
          <t>January</t>
        </is>
      </c>
      <c r="D66" s="69" t="inlineStr">
        <is>
          <t>Saurav Kumar</t>
        </is>
      </c>
      <c r="E66" s="49" t="n">
        <v>9078799175</v>
      </c>
      <c r="F66" s="49" t="inlineStr">
        <is>
          <t>Bangalore</t>
        </is>
      </c>
      <c r="G66" s="49" t="inlineStr">
        <is>
          <t>DBA</t>
        </is>
      </c>
      <c r="H66" s="49" t="inlineStr">
        <is>
          <t>Telephonic Screening</t>
        </is>
      </c>
      <c r="I66" s="49" t="n"/>
      <c r="J66" s="49" t="inlineStr">
        <is>
          <t>4.8 LPA</t>
        </is>
      </c>
      <c r="K66" s="49" t="inlineStr">
        <is>
          <t>8 LPA</t>
        </is>
      </c>
      <c r="L66" s="49" t="inlineStr">
        <is>
          <t>30 Days</t>
        </is>
      </c>
      <c r="M66" s="49" t="n"/>
    </row>
    <row r="67">
      <c r="A67" s="49" t="inlineStr">
        <is>
          <t>Sarath</t>
        </is>
      </c>
      <c r="B67" s="48" t="n">
        <v>45686</v>
      </c>
      <c r="C67" s="49" t="inlineStr">
        <is>
          <t>January</t>
        </is>
      </c>
      <c r="D67" s="69" t="inlineStr">
        <is>
          <t>Sasi Kumar</t>
        </is>
      </c>
      <c r="E67" s="55" t="n">
        <v>6303786560</v>
      </c>
      <c r="F67" s="49" t="inlineStr">
        <is>
          <t>Chennai</t>
        </is>
      </c>
      <c r="G67" s="49" t="inlineStr">
        <is>
          <t>DBA</t>
        </is>
      </c>
      <c r="H67" s="49" t="inlineStr">
        <is>
          <t>Telephonic Screening</t>
        </is>
      </c>
      <c r="I67" s="49" t="inlineStr">
        <is>
          <t>Put on hold(due to budget/NP)</t>
        </is>
      </c>
      <c r="J67" s="49" t="inlineStr">
        <is>
          <t>14.70 LPA</t>
        </is>
      </c>
      <c r="K67" s="49" t="inlineStr">
        <is>
          <t>18 LPA</t>
        </is>
      </c>
      <c r="L67" s="49" t="inlineStr">
        <is>
          <t>90 Days</t>
        </is>
      </c>
      <c r="M67" s="49" t="n"/>
    </row>
    <row r="68">
      <c r="A68" s="49" t="inlineStr">
        <is>
          <t>Sarath</t>
        </is>
      </c>
      <c r="B68" s="48" t="n">
        <v>45687</v>
      </c>
      <c r="C68" s="49" t="inlineStr">
        <is>
          <t>January</t>
        </is>
      </c>
      <c r="D68" s="69" t="inlineStr">
        <is>
          <t>Varshini M</t>
        </is>
      </c>
      <c r="E68" s="51" t="n">
        <v>9585302629</v>
      </c>
      <c r="F68" s="49" t="inlineStr">
        <is>
          <t>Chennai</t>
        </is>
      </c>
      <c r="G68" s="49" t="inlineStr">
        <is>
          <t>Full Stack Developer</t>
        </is>
      </c>
      <c r="H68" s="49" t="inlineStr">
        <is>
          <t>Telephonic Screening</t>
        </is>
      </c>
      <c r="I68" s="49" t="inlineStr">
        <is>
          <t>Bugdet constrain</t>
        </is>
      </c>
      <c r="J68" s="49" t="inlineStr">
        <is>
          <t>13 LPA</t>
        </is>
      </c>
      <c r="K68" s="49" t="inlineStr">
        <is>
          <t>19 LPA</t>
        </is>
      </c>
      <c r="L68" s="49" t="inlineStr">
        <is>
          <t>60 Days</t>
        </is>
      </c>
      <c r="M68" s="49" t="n"/>
    </row>
    <row r="69">
      <c r="A69" s="49" t="inlineStr">
        <is>
          <t>Sarath</t>
        </is>
      </c>
      <c r="B69" s="48" t="n">
        <v>45688</v>
      </c>
      <c r="C69" s="49" t="inlineStr">
        <is>
          <t>January</t>
        </is>
      </c>
      <c r="D69" s="69" t="inlineStr">
        <is>
          <t>Priyadarshini Murugan</t>
        </is>
      </c>
      <c r="E69" s="49" t="n">
        <v>9788952997</v>
      </c>
      <c r="F69" s="49" t="inlineStr">
        <is>
          <t>Chennai</t>
        </is>
      </c>
      <c r="G69" s="49" t="inlineStr">
        <is>
          <t>Full Stack Developer</t>
        </is>
      </c>
      <c r="H69" s="49" t="inlineStr">
        <is>
          <t>Telephonic Screening</t>
        </is>
      </c>
      <c r="I69" s="49" t="inlineStr">
        <is>
          <t>Reject-looking for remote only</t>
        </is>
      </c>
      <c r="J69" s="49" t="n"/>
      <c r="K69" s="49" t="n"/>
      <c r="L69" s="49" t="n"/>
      <c r="M69" s="49" t="n"/>
    </row>
    <row r="70">
      <c r="A70" s="49" t="inlineStr">
        <is>
          <t>Sarath</t>
        </is>
      </c>
      <c r="B70" s="48" t="n">
        <v>45699</v>
      </c>
      <c r="C70" s="49" t="inlineStr">
        <is>
          <t>February</t>
        </is>
      </c>
      <c r="D70" s="19" t="inlineStr">
        <is>
          <t>Prakash S</t>
        </is>
      </c>
      <c r="E70" s="78" t="n">
        <v>9944551807</v>
      </c>
      <c r="F70" s="49" t="inlineStr">
        <is>
          <t>Chennai</t>
        </is>
      </c>
      <c r="G70" s="49" t="inlineStr">
        <is>
          <t>Full Stack Developer</t>
        </is>
      </c>
      <c r="H70" s="49" t="inlineStr">
        <is>
          <t>ZN Submission</t>
        </is>
      </c>
      <c r="I70" s="49" t="inlineStr">
        <is>
          <t>Review</t>
        </is>
      </c>
      <c r="J70" s="19" t="inlineStr">
        <is>
          <t>12 LPA</t>
        </is>
      </c>
      <c r="K70" s="19" t="inlineStr">
        <is>
          <t>18-20 LPA</t>
        </is>
      </c>
      <c r="L70" s="19" t="inlineStr">
        <is>
          <t>20 Days</t>
        </is>
      </c>
      <c r="M70" s="49" t="n"/>
    </row>
    <row r="71">
      <c r="A71" s="49" t="inlineStr">
        <is>
          <t>Sarath</t>
        </is>
      </c>
      <c r="B71" s="48" t="n">
        <v>45699</v>
      </c>
      <c r="C71" s="49" t="inlineStr">
        <is>
          <t>February</t>
        </is>
      </c>
      <c r="D71" s="19" t="inlineStr">
        <is>
          <t>Prabakar Raja</t>
        </is>
      </c>
      <c r="E71" s="78" t="n">
        <v>9500664216</v>
      </c>
      <c r="F71" s="49" t="inlineStr">
        <is>
          <t>Chennai</t>
        </is>
      </c>
      <c r="G71" s="49" t="inlineStr">
        <is>
          <t>Full Stack Developer</t>
        </is>
      </c>
      <c r="H71" s="49" t="inlineStr">
        <is>
          <t>ZN Submission</t>
        </is>
      </c>
      <c r="I71" s="49" t="inlineStr">
        <is>
          <t>Review</t>
        </is>
      </c>
      <c r="J71" s="19" t="inlineStr">
        <is>
          <t>12 LPA</t>
        </is>
      </c>
      <c r="K71" s="19" t="inlineStr">
        <is>
          <t>18 LPA</t>
        </is>
      </c>
      <c r="L71" s="19" t="inlineStr">
        <is>
          <t>60 Days(Negotioable to 45days)</t>
        </is>
      </c>
      <c r="M71" s="49" t="n"/>
    </row>
    <row r="72">
      <c r="A72" s="49" t="inlineStr">
        <is>
          <t>Sarath</t>
        </is>
      </c>
      <c r="B72" s="48" t="n">
        <v>45699</v>
      </c>
      <c r="C72" s="49" t="inlineStr">
        <is>
          <t>February</t>
        </is>
      </c>
      <c r="D72" s="19" t="inlineStr">
        <is>
          <t>Muthu Karuppasamy</t>
        </is>
      </c>
      <c r="E72" s="78" t="n">
        <v>9080024928</v>
      </c>
      <c r="F72" s="49" t="inlineStr">
        <is>
          <t>Chennai</t>
        </is>
      </c>
      <c r="G72" s="49" t="inlineStr">
        <is>
          <t>Full Stack Developer</t>
        </is>
      </c>
      <c r="H72" s="49" t="inlineStr">
        <is>
          <t>ZN Submission</t>
        </is>
      </c>
      <c r="I72" s="49" t="inlineStr">
        <is>
          <t>Review</t>
        </is>
      </c>
      <c r="J72" s="19" t="inlineStr">
        <is>
          <t>9.8 LPA</t>
        </is>
      </c>
      <c r="K72" s="19" t="inlineStr">
        <is>
          <t>15 LPA</t>
        </is>
      </c>
      <c r="L72" s="19" t="inlineStr">
        <is>
          <t>1 Month(March15th last working)</t>
        </is>
      </c>
      <c r="M72" s="49" t="n"/>
    </row>
    <row r="73">
      <c r="A73" s="49" t="inlineStr">
        <is>
          <t>Sarath</t>
        </is>
      </c>
      <c r="B73" s="48" t="n">
        <v>45699</v>
      </c>
      <c r="C73" s="49" t="inlineStr">
        <is>
          <t>February</t>
        </is>
      </c>
      <c r="D73" s="19" t="inlineStr">
        <is>
          <t>Dhanavandhan K</t>
        </is>
      </c>
      <c r="E73" s="78" t="n">
        <v>6374053802</v>
      </c>
      <c r="F73" s="49" t="inlineStr">
        <is>
          <t>Chennai</t>
        </is>
      </c>
      <c r="G73" s="49" t="inlineStr">
        <is>
          <t>Full Stack Developer</t>
        </is>
      </c>
      <c r="H73" s="49" t="inlineStr">
        <is>
          <t>Candidate Withdrawn</t>
        </is>
      </c>
      <c r="I73" s="49" t="inlineStr">
        <is>
          <t>Review</t>
        </is>
      </c>
      <c r="J73" s="19" t="inlineStr">
        <is>
          <t>5.5 LPA</t>
        </is>
      </c>
      <c r="K73" s="19" t="inlineStr">
        <is>
          <t>As per the company standard</t>
        </is>
      </c>
      <c r="L73" s="19" t="inlineStr">
        <is>
          <t>Immediate</t>
        </is>
      </c>
      <c r="M73" s="49" t="n"/>
    </row>
    <row r="74">
      <c r="A74" s="49" t="inlineStr">
        <is>
          <t>Sarath</t>
        </is>
      </c>
      <c r="B74" s="48" t="n">
        <v>45713</v>
      </c>
      <c r="C74" s="49" t="inlineStr">
        <is>
          <t>February</t>
        </is>
      </c>
      <c r="D74" s="49" t="inlineStr">
        <is>
          <t>Lavanya</t>
        </is>
      </c>
      <c r="E74" s="51" t="n">
        <v>9962628126</v>
      </c>
      <c r="F74" s="49" t="inlineStr">
        <is>
          <t>Chennai</t>
        </is>
      </c>
      <c r="G74" s="49" t="inlineStr">
        <is>
          <t>Full Stack Developer</t>
        </is>
      </c>
      <c r="H74" s="49" t="inlineStr">
        <is>
          <t>Telephonic Screening</t>
        </is>
      </c>
      <c r="I74" s="49" t="n"/>
      <c r="J74" s="49" t="n"/>
      <c r="K74" s="49" t="n"/>
      <c r="L74" s="49" t="n"/>
      <c r="M74" s="49" t="n"/>
    </row>
    <row r="75">
      <c r="A75" s="49" t="inlineStr">
        <is>
          <t>Sarath</t>
        </is>
      </c>
      <c r="B75" s="48" t="n">
        <v>45713</v>
      </c>
      <c r="C75" s="49" t="inlineStr">
        <is>
          <t>February</t>
        </is>
      </c>
      <c r="D75" s="49" t="inlineStr">
        <is>
          <t>Kanimozli</t>
        </is>
      </c>
      <c r="E75" s="51" t="n">
        <v>9148582928</v>
      </c>
      <c r="F75" s="49" t="inlineStr">
        <is>
          <t>Chennai</t>
        </is>
      </c>
      <c r="G75" s="49" t="inlineStr">
        <is>
          <t>Full Stack Developer</t>
        </is>
      </c>
      <c r="H75" s="49" t="inlineStr">
        <is>
          <t>Telephonic Screening</t>
        </is>
      </c>
      <c r="I75" s="49" t="inlineStr">
        <is>
          <t>High expectation</t>
        </is>
      </c>
      <c r="J75" s="49" t="inlineStr">
        <is>
          <t>14 LPA</t>
        </is>
      </c>
      <c r="K75" s="49" t="inlineStr">
        <is>
          <t>26 LPA</t>
        </is>
      </c>
      <c r="L75" s="49" t="inlineStr">
        <is>
          <t>Alreay holding 2offers</t>
        </is>
      </c>
      <c r="M75" s="49" t="n"/>
    </row>
    <row r="76">
      <c r="A76" s="49" t="inlineStr">
        <is>
          <t>Sarath</t>
        </is>
      </c>
      <c r="B76" s="48" t="n">
        <v>45713</v>
      </c>
      <c r="C76" s="49" t="inlineStr">
        <is>
          <t>February</t>
        </is>
      </c>
      <c r="D76" s="49" t="inlineStr">
        <is>
          <t>Sudhakar</t>
        </is>
      </c>
      <c r="E76" s="79" t="n">
        <v>9840319606</v>
      </c>
      <c r="F76" s="49" t="inlineStr">
        <is>
          <t>Chennai</t>
        </is>
      </c>
      <c r="G76" s="49" t="inlineStr">
        <is>
          <t>Full Stack Developer</t>
        </is>
      </c>
      <c r="H76" s="49" t="inlineStr">
        <is>
          <t>Telephonic Screening</t>
        </is>
      </c>
      <c r="I76" s="49" t="n"/>
      <c r="J76" s="49" t="inlineStr">
        <is>
          <t>16 LPA</t>
        </is>
      </c>
      <c r="K76" s="49" t="inlineStr">
        <is>
          <t>22 LPA</t>
        </is>
      </c>
      <c r="L76" s="49" t="inlineStr">
        <is>
          <t>90 Days(60 NE)</t>
        </is>
      </c>
      <c r="M76" s="49" t="n"/>
    </row>
    <row r="77">
      <c r="A77" s="49" t="inlineStr">
        <is>
          <t>Sarath</t>
        </is>
      </c>
      <c r="B77" s="48" t="n">
        <v>45713</v>
      </c>
      <c r="C77" s="49" t="inlineStr">
        <is>
          <t>February</t>
        </is>
      </c>
      <c r="D77" s="49" t="inlineStr">
        <is>
          <t>Nagalaskmi</t>
        </is>
      </c>
      <c r="E77" s="51" t="n">
        <v>9566984949</v>
      </c>
      <c r="F77" s="49" t="inlineStr">
        <is>
          <t>Chennai</t>
        </is>
      </c>
      <c r="G77" s="49" t="inlineStr">
        <is>
          <t>Full Stack Developer</t>
        </is>
      </c>
      <c r="H77" s="49" t="inlineStr">
        <is>
          <t>Telephonic Screening</t>
        </is>
      </c>
      <c r="I77" s="49" t="n"/>
      <c r="J77" s="49" t="n"/>
      <c r="K77" s="49" t="n"/>
      <c r="L77" s="49" t="n"/>
      <c r="M77" s="49" t="n"/>
    </row>
    <row r="78">
      <c r="A78" s="49" t="inlineStr">
        <is>
          <t>Sarath</t>
        </is>
      </c>
      <c r="B78" s="48" t="n">
        <v>45713</v>
      </c>
      <c r="C78" s="49" t="inlineStr">
        <is>
          <t>February</t>
        </is>
      </c>
      <c r="D78" s="49" t="inlineStr">
        <is>
          <t>Harikrishnan R</t>
        </is>
      </c>
      <c r="E78" s="51" t="n">
        <v>9061002008</v>
      </c>
      <c r="F78" s="49" t="inlineStr">
        <is>
          <t>Chennai</t>
        </is>
      </c>
      <c r="G78" s="49" t="inlineStr">
        <is>
          <t>Full Stack Developer</t>
        </is>
      </c>
      <c r="H78" s="49" t="inlineStr">
        <is>
          <t>Telephonic Screening</t>
        </is>
      </c>
      <c r="I78" s="49" t="n"/>
      <c r="J78" s="49" t="n"/>
      <c r="K78" s="49" t="n"/>
      <c r="L78" s="49" t="n"/>
      <c r="M78" s="49" t="n"/>
    </row>
    <row r="79">
      <c r="A79" s="49" t="inlineStr">
        <is>
          <t>Sarath</t>
        </is>
      </c>
      <c r="B79" s="48" t="n">
        <v>45713</v>
      </c>
      <c r="C79" s="49" t="inlineStr">
        <is>
          <t>February</t>
        </is>
      </c>
      <c r="D79" s="49" t="inlineStr">
        <is>
          <t>Thirugnasambandhar</t>
        </is>
      </c>
      <c r="E79" s="51" t="n">
        <v>9994356559</v>
      </c>
      <c r="F79" s="49" t="inlineStr">
        <is>
          <t>Chennai</t>
        </is>
      </c>
      <c r="G79" s="49" t="inlineStr">
        <is>
          <t>Full Stack Developer</t>
        </is>
      </c>
      <c r="H79" s="49" t="inlineStr">
        <is>
          <t>Telephonic Screening</t>
        </is>
      </c>
      <c r="I79" s="49" t="n"/>
      <c r="J79" s="49" t="inlineStr">
        <is>
          <t>19 LPA</t>
        </is>
      </c>
      <c r="K79" s="49" t="inlineStr">
        <is>
          <t>22 LPA</t>
        </is>
      </c>
      <c r="L79" s="49" t="inlineStr">
        <is>
          <t>Immediate</t>
        </is>
      </c>
      <c r="M79" s="49" t="n"/>
    </row>
  </sheetData>
  <dataValidations count="1">
    <dataValidation sqref="H2:H79" showDropDown="0" showInputMessage="0" showErrorMessage="1" allowBlank="1" type="list">
      <formula1>"Telephonic Screening,ZN Submission,ZN Interview,ZN Salary Discussion,ZN Offer,ZN Hire,Candidate Withdrawn"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4E7EC"/>
    <outlinePr summaryBelow="0" summaryRight="0"/>
    <pageSetUpPr/>
  </sheetPr>
  <dimension ref="A1:A1"/>
  <sheetViews>
    <sheetView showGridLines="0" workbookViewId="0">
      <selection activeCell="A1" sqref="A1"/>
    </sheetView>
  </sheetViews>
  <sheetFormatPr baseColWidth="8" defaultColWidth="14.43" defaultRowHeight="15" customHeight="1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3CAD6"/>
    <outlinePr summaryBelow="1" summaryRight="1"/>
    <pageSetUpPr/>
  </sheetPr>
  <dimension ref="A1:BL39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83" min="1" max="1"/>
    <col width="22" customWidth="1" style="83" min="2" max="2"/>
    <col width="12" customWidth="1" style="83" min="3" max="3"/>
    <col width="11" customWidth="1" style="83" min="4" max="4"/>
    <col width="11" customWidth="1" style="83" min="5" max="5"/>
    <col width="24" customWidth="1" style="83" min="6" max="6"/>
    <col width="20" customWidth="1" style="83" min="7" max="7"/>
    <col width="14" customWidth="1" style="83" min="8" max="8"/>
    <col width="20" customWidth="1" style="83" min="9" max="9"/>
    <col width="10" customWidth="1" style="83" min="10" max="10"/>
    <col width="30" customWidth="1" style="83" min="11" max="11"/>
    <col width="16" customWidth="1" style="83" min="12" max="12"/>
    <col width="10" customWidth="1" style="83" min="13" max="13"/>
    <col width="18" customWidth="1" style="83" min="14" max="14"/>
    <col width="10" customWidth="1" style="83" min="15" max="15"/>
    <col width="10" customWidth="1" style="83" min="16" max="16"/>
    <col width="24" customWidth="1" style="83" min="17" max="17"/>
    <col width="10" customWidth="1" style="83" min="18" max="18"/>
    <col width="10" customWidth="1" style="83" min="19" max="19"/>
    <col width="14" customWidth="1" style="83" min="20" max="20"/>
    <col width="10" customWidth="1" style="83" min="21" max="21"/>
    <col width="14" customWidth="1" style="83" min="22" max="22"/>
    <col width="10" customWidth="1" style="83" min="23" max="23"/>
    <col width="24" customWidth="1" style="83" min="24" max="24"/>
    <col width="24" customWidth="1" style="83" min="25" max="25"/>
    <col width="24" customWidth="1" style="83" min="26" max="26"/>
    <col width="14" customWidth="1" style="83" min="27" max="27"/>
    <col width="22" customWidth="1" style="83" min="28" max="28"/>
    <col width="9" customWidth="1" style="83" min="29" max="29"/>
    <col width="9" customWidth="1" style="83" min="30" max="30"/>
    <col width="9" customWidth="1" style="83" min="31" max="31"/>
    <col width="9" customWidth="1" style="83" min="32" max="32"/>
    <col width="9" customWidth="1" style="83" min="33" max="33"/>
    <col width="9" customWidth="1" style="83" min="34" max="34"/>
    <col width="9" customWidth="1" style="83" min="35" max="35"/>
    <col width="14" customWidth="1" style="83" min="36" max="36"/>
    <col width="14" customWidth="1" style="83" min="37" max="37"/>
    <col width="14" customWidth="1" style="83" min="38" max="38"/>
    <col width="10" customWidth="1" style="83" min="39" max="39"/>
  </cols>
  <sheetData>
    <row r="1">
      <c r="A1" s="209" t="inlineStr">
        <is>
          <t>Dashboard Calculations</t>
        </is>
      </c>
    </row>
    <row r="2">
      <c r="A2" s="210" t="inlineStr">
        <is>
          <t>Working sheet — do not type here. Every cell is a formula reading 'Master Data-2026' and 'Submission template'. Rows 6-125 mirror source rows 2-121, so up to 120 candidates are supported with no edits.</t>
        </is>
      </c>
    </row>
    <row r="4">
      <c r="A4" s="211" t="inlineStr">
        <is>
          <t>1 · NORMALISED CANDIDATE GRID</t>
        </is>
      </c>
    </row>
    <row r="5" ht="24" customHeight="1" s="83">
      <c r="A5" s="212" t="inlineStr">
        <is>
          <t>#</t>
        </is>
      </c>
      <c r="B5" s="212" t="inlineStr">
        <is>
          <t>Candidate</t>
        </is>
      </c>
      <c r="C5" s="212" t="inlineStr">
        <is>
          <t>Recruiter</t>
        </is>
      </c>
      <c r="D5" s="212" t="inlineStr">
        <is>
          <t>Date</t>
        </is>
      </c>
      <c r="E5" s="212" t="inlineStr">
        <is>
          <t>Month</t>
        </is>
      </c>
      <c r="F5" s="212" t="inlineStr">
        <is>
          <t>Requisition</t>
        </is>
      </c>
      <c r="G5" s="212" t="inlineStr">
        <is>
          <t>Location (raw)</t>
        </is>
      </c>
      <c r="H5" s="212" t="inlineStr">
        <is>
          <t>City</t>
        </is>
      </c>
      <c r="I5" s="212" t="inlineStr">
        <is>
          <t>Stage</t>
        </is>
      </c>
      <c r="J5" s="212" t="inlineStr">
        <is>
          <t>Stage order</t>
        </is>
      </c>
      <c r="K5" s="212" t="inlineStr">
        <is>
          <t>Sub-status</t>
        </is>
      </c>
      <c r="L5" s="212" t="inlineStr">
        <is>
          <t>CCTC (raw)</t>
        </is>
      </c>
      <c r="M5" s="212" t="inlineStr">
        <is>
          <t>CCTC</t>
        </is>
      </c>
      <c r="N5" s="212" t="inlineStr">
        <is>
          <t>ECTC (raw)</t>
        </is>
      </c>
      <c r="O5" s="212" t="inlineStr">
        <is>
          <t>ECTC</t>
        </is>
      </c>
      <c r="P5" s="212" t="inlineStr">
        <is>
          <t>Hike %</t>
        </is>
      </c>
      <c r="Q5" s="212" t="inlineStr">
        <is>
          <t>Notice (raw)</t>
        </is>
      </c>
      <c r="R5" s="212" t="inlineStr">
        <is>
          <t>Notice #</t>
        </is>
      </c>
      <c r="S5" s="212" t="inlineStr">
        <is>
          <t>Notice days</t>
        </is>
      </c>
      <c r="T5" s="212" t="inlineStr">
        <is>
          <t>Notice bucket</t>
        </is>
      </c>
      <c r="U5" s="212" t="inlineStr">
        <is>
          <t>Sub. match</t>
        </is>
      </c>
      <c r="V5" s="212" t="inlineStr">
        <is>
          <t>Total exp (raw)</t>
        </is>
      </c>
      <c r="W5" s="212" t="inlineStr">
        <is>
          <t>Total exp</t>
        </is>
      </c>
      <c r="X5" s="212" t="inlineStr">
        <is>
          <t>Relevant exp</t>
        </is>
      </c>
      <c r="Y5" s="212" t="inlineStr">
        <is>
          <t>Company</t>
        </is>
      </c>
      <c r="Z5" s="212" t="inlineStr">
        <is>
          <t>Designation</t>
        </is>
      </c>
      <c r="AA5" s="212" t="inlineStr">
        <is>
          <t>Preferred loc</t>
        </is>
      </c>
      <c r="AB5" s="212" t="inlineStr">
        <is>
          <t>Reason to move</t>
        </is>
      </c>
      <c r="AC5" s="212" t="inlineStr">
        <is>
          <t>Enriched</t>
        </is>
      </c>
      <c r="AD5" s="212" t="inlineStr">
        <is>
          <t>Loc match</t>
        </is>
      </c>
      <c r="AE5" s="212" t="inlineStr">
        <is>
          <t>Include</t>
        </is>
      </c>
      <c r="AF5" s="212" t="inlineStr">
        <is>
          <t>Cand seq</t>
        </is>
      </c>
      <c r="AG5" s="212" t="inlineStr">
        <is>
          <t>Recr seq</t>
        </is>
      </c>
      <c r="AH5" s="212" t="inlineStr">
        <is>
          <t>Req seq</t>
        </is>
      </c>
      <c r="AI5" s="212" t="inlineStr">
        <is>
          <t>City seq</t>
        </is>
      </c>
      <c r="AJ5" s="212" t="inlineStr">
        <is>
          <t>Key: pipeline</t>
        </is>
      </c>
      <c r="AK5" s="212" t="inlineStr">
        <is>
          <t>Key: experience</t>
        </is>
      </c>
      <c r="AL5" s="212" t="inlineStr">
        <is>
          <t>Key: hike</t>
        </is>
      </c>
      <c r="AM5" s="212" t="inlineStr">
        <is>
          <t>Scatter seq</t>
        </is>
      </c>
      <c r="AO5" s="213" t="inlineStr">
        <is>
          <t>City</t>
        </is>
      </c>
      <c r="AP5" s="213" t="inlineStr">
        <is>
          <t>n</t>
        </is>
      </c>
      <c r="AQ5" s="213" t="inlineStr">
        <is>
          <t>key</t>
        </is>
      </c>
      <c r="AS5" s="213" t="inlineStr">
        <is>
          <t>Requisition</t>
        </is>
      </c>
      <c r="AT5" s="213" t="inlineStr">
        <is>
          <t>n</t>
        </is>
      </c>
      <c r="AU5" s="213" t="inlineStr">
        <is>
          <t>key</t>
        </is>
      </c>
      <c r="AW5" s="213" t="inlineStr">
        <is>
          <t>Recruiter</t>
        </is>
      </c>
      <c r="AX5" s="213" t="inlineStr">
        <is>
          <t>n</t>
        </is>
      </c>
      <c r="AY5" s="213" t="inlineStr">
        <is>
          <t>key</t>
        </is>
      </c>
      <c r="BD5" s="213" t="inlineStr">
        <is>
          <t>Experience</t>
        </is>
      </c>
      <c r="BE5" s="213" t="inlineStr">
        <is>
          <t>Expected CTC</t>
        </is>
      </c>
      <c r="BF5" s="213" t="inlineStr">
        <is>
          <t>Candidate</t>
        </is>
      </c>
      <c r="BH5" s="213" t="inlineStr">
        <is>
          <t>Recruiter</t>
        </is>
      </c>
      <c r="BI5" s="213" t="inlineStr">
        <is>
          <t>City</t>
        </is>
      </c>
      <c r="BJ5" s="213" t="inlineStr">
        <is>
          <t>Stage</t>
        </is>
      </c>
      <c r="BK5" s="213" t="inlineStr">
        <is>
          <t>Requisition</t>
        </is>
      </c>
      <c r="BL5" s="213" t="inlineStr">
        <is>
          <t>Candidate</t>
        </is>
      </c>
    </row>
    <row r="6">
      <c r="A6" s="214" t="n">
        <v>1</v>
      </c>
      <c r="B6" s="214" t="str">
        <f>IF(TRIM('Master Data-2026'!D2)="","",TRIM('Master Data-2026'!D2))</f>
        <v>Sibiraj Munirathinam</v>
      </c>
      <c r="C6" s="214" t="str">
        <f>IF($B6="","",TRIM('Master Data-2026'!A2))</f>
        <v>Sarath</v>
      </c>
      <c r="D6" s="215">
        <f>IF($B6="","",IF('Master Data-2026'!B2="","",'Master Data-2026'!B2))</f>
        <v>46247</v>
      </c>
      <c r="E6" s="214" t="str">
        <f>IF($B6="","",TRIM('Master Data-2026'!C2))</f>
        <v>August</v>
      </c>
      <c r="F6" s="214" t="str">
        <f>IF($B6="","",TRIM('Master Data-2026'!G2))</f>
        <v>Full Stack Developer</v>
      </c>
      <c r="G6" s="214" t="str">
        <f>IF($B6="","",TRIM('Master Data-2026'!F2))</f>
        <v>Chennai</v>
      </c>
      <c r="H6" s="214" t="str">
        <f>IF($B6="","",IF($G6="","Not recorded",IF($AN6=0,"Other",INDEX(LocCity,$AN6))))</f>
        <v>Chennai</v>
      </c>
      <c r="I6" s="214" t="str">
        <f>IF($B6="","",TRIM('Master Data-2026'!H2))</f>
        <v>ZN Submission</v>
      </c>
      <c r="J6" s="214">
        <f>IF($B6="",0,IFERROR(INDEX(StageOrderRef,MATCH($I6,StageNameRef,0)),0))</f>
        <v>2</v>
      </c>
      <c r="K6" s="214" t="str">
        <f>IF($B6="","",TRIM('Master Data-2026'!I2))</f>
        <v>Client Review</v>
      </c>
      <c r="L6" s="214" t="str">
        <f>IF($B6="","",TRIM('Master Data-2026'!J2))</f>
        <v>9 LPA</v>
      </c>
      <c r="M6" s="216">
        <f>IF($L6="",0,IF(ISNUMBER(SEARCH("%",$L6)),0,IFERROR(VALUE(LEFT($L6,IF(NOT(OR(AND(MID($L6,1,1)&gt;="0",MID($L6,1,1)&lt;="9"),MID($L6,1,1)=".")),0,IF(NOT(OR(AND(MID($L6,2,1)&gt;="0",MID($L6,2,1)&lt;="9"),MID($L6,2,1)=".")),1,IF(NOT(OR(AND(MID($L6,3,1)&gt;="0",MID($L6,3,1)&lt;="9"),MID($L6,3,1)=".")),2,IF(NOT(OR(AND(MID($L6,4,1)&gt;="0",MID($L6,4,1)&lt;="9"),MID($L6,4,1)=".")),3,IF(NOT(OR(AND(MID($L6,5,1)&gt;="0",MID($L6,5,1)&lt;="9"),MID($L6,5,1)=".")),4,IF(NOT(OR(AND(MID($L6,6,1)&gt;="0",MID($L6,6,1)&lt;="9"),MID($L6,6,1)=".")),5,6)))))))),0)))</f>
        <v>9</v>
      </c>
      <c r="N6" s="214" t="str">
        <f>IF($B6="","",TRIM('Master Data-2026'!K2))</f>
        <v>12 LPA</v>
      </c>
      <c r="O6" s="216">
        <f>IF($N6="",0,IF(ISNUMBER(SEARCH("%",$N6)),0,IFERROR(VALUE(LEFT($N6,IF(NOT(OR(AND(MID($N6,1,1)&gt;="0",MID($N6,1,1)&lt;="9"),MID($N6,1,1)=".")),0,IF(NOT(OR(AND(MID($N6,2,1)&gt;="0",MID($N6,2,1)&lt;="9"),MID($N6,2,1)=".")),1,IF(NOT(OR(AND(MID($N6,3,1)&gt;="0",MID($N6,3,1)&lt;="9"),MID($N6,3,1)=".")),2,IF(NOT(OR(AND(MID($N6,4,1)&gt;="0",MID($N6,4,1)&lt;="9"),MID($N6,4,1)=".")),3,IF(NOT(OR(AND(MID($N6,5,1)&gt;="0",MID($N6,5,1)&lt;="9"),MID($N6,5,1)=".")),4,IF(NOT(OR(AND(MID($N6,6,1)&gt;="0",MID($N6,6,1)&lt;="9"),MID($N6,6,1)=".")),5,6)))))))),0)))</f>
        <v>12</v>
      </c>
      <c r="P6" s="217">
        <f>IF(AND($M6&gt;0,$O6&gt;0),$O6/$M6-1,0)</f>
        <v>0.33333333333333326</v>
      </c>
      <c r="Q6" s="214" t="str">
        <f>IF($B6="","",TRIM('Master Data-2026'!L2))</f>
        <v>Immediate</v>
      </c>
      <c r="R6" s="214">
        <f>IF($Q6="",0,IF(ISNUMBER(SEARCH("%",$Q6)),0,IFERROR(VALUE(LEFT($Q6,IF(NOT(OR(AND(MID($Q6,1,1)&gt;="0",MID($Q6,1,1)&lt;="9"),MID($Q6,1,1)=".")),0,IF(NOT(OR(AND(MID($Q6,2,1)&gt;="0",MID($Q6,2,1)&lt;="9"),MID($Q6,2,1)=".")),1,IF(NOT(OR(AND(MID($Q6,3,1)&gt;="0",MID($Q6,3,1)&lt;="9"),MID($Q6,3,1)=".")),2,IF(NOT(OR(AND(MID($Q6,4,1)&gt;="0",MID($Q6,4,1)&lt;="9"),MID($Q6,4,1)=".")),3,IF(NOT(OR(AND(MID($Q6,5,1)&gt;="0",MID($Q6,5,1)&lt;="9"),MID($Q6,5,1)=".")),4,IF(NOT(OR(AND(MID($Q6,6,1)&gt;="0",MID($Q6,6,1)&lt;="9"),MID($Q6,6,1)=".")),5,6)))))))),0)))</f>
        <v>0</v>
      </c>
      <c r="S6" s="218">
        <f>IF($Q6="",-1,IF(ISNUMBER(SEARCH("immediate",$Q6)),0,IF(ISNUMBER(SEARCH("month",$Q6)),IF($R6=0,-1,$R6*30),IF(ISNUMBER(SEARCH("day",$Q6)),IF($R6=0,-1,$R6),-1))))</f>
        <v>0</v>
      </c>
      <c r="T6" s="214" t="str">
        <f>IF($B6="","",IF($S6&lt;0,"Not recorded",IF($S6=0,"Immediate",IF($S6&lt;=30,"1-30 days",IF($S6&lt;=60,"31-60 days","60+ days")))))</f>
        <v>Immediate</v>
      </c>
      <c r="U6" s="214">
        <f>IF($B6="","",IFERROR(MATCH($B6,'Submission template'!$D$17:$D$300,0),""))</f>
        <v>6</v>
      </c>
      <c r="V6" s="214" t="str">
        <f>IF($U6="","",IFERROR(TRIM(INDEX('Submission template'!$I$17:$I$300,$U6)),""))</f>
        <v>4 Years</v>
      </c>
      <c r="W6" s="219">
        <f>IF($V6="",0,IF(ISNUMBER(SEARCH("%",$V6)),0,IFERROR(VALUE(LEFT($V6,IF(NOT(OR(AND(MID($V6,1,1)&gt;="0",MID($V6,1,1)&lt;="9"),MID($V6,1,1)=".")),0,IF(NOT(OR(AND(MID($V6,2,1)&gt;="0",MID($V6,2,1)&lt;="9"),MID($V6,2,1)=".")),1,IF(NOT(OR(AND(MID($V6,3,1)&gt;="0",MID($V6,3,1)&lt;="9"),MID($V6,3,1)=".")),2,IF(NOT(OR(AND(MID($V6,4,1)&gt;="0",MID($V6,4,1)&lt;="9"),MID($V6,4,1)=".")),3,IF(NOT(OR(AND(MID($V6,5,1)&gt;="0",MID($V6,5,1)&lt;="9"),MID($V6,5,1)=".")),4,IF(NOT(OR(AND(MID($V6,6,1)&gt;="0",MID($V6,6,1)&lt;="9"),MID($V6,6,1)=".")),5,6)))))))),0)))</f>
        <v>4</v>
      </c>
      <c r="X6" s="214" t="str">
        <f>IF($U6="","",IFERROR(TRIM(INDEX('Submission template'!$J$17:$J$300,$U6)),""))</f>
        <v>React 3Y+ Node 3Y</v>
      </c>
      <c r="Y6" s="214" t="str">
        <f>IF($U6="","",IFERROR(TRIM(INDEX('Submission template'!$K$17:$K$300,$U6)),""))</f>
        <v>Camu</v>
      </c>
      <c r="Z6" s="214" t="str">
        <f>IF($U6="","",IFERROR(TRIM(INDEX('Submission template'!$M$17:$M$300,$U6)),""))</f>
        <v>SSE</v>
      </c>
      <c r="AA6" s="214" t="str">
        <f>IF($U6="","",IFERROR(TRIM(INDEX('Submission template'!$O$17:$O$300,$U6)),""))</f>
        <v>Chennai</v>
      </c>
      <c r="AB6" s="214" t="str">
        <f>IF($U6="","",IFERROR(TRIM(INDEX('Submission template'!$S$17:$S$300,$U6)),""))</f>
        <v>Career Growth</v>
      </c>
      <c r="AC6" s="214">
        <f>IF($B6="",0,IF($U6="",0,1))</f>
        <v>1</v>
      </c>
      <c r="AD6" s="214">
        <f>IF($B6="",0,IF(OR($H6=TargetLocation,AND($AA6&lt;&gt;"",ISNUMBER(SEARCH(TargetLocation,$AA6)))),1,0))</f>
        <v>1</v>
      </c>
      <c r="AE6" s="214">
        <f>IF($B6="",0,IF(AND(OR(SelRecruiter="All",$C6=SelRecruiter),OR(SelCity="All",$H6=SelCity),OR(SelStage="All",$I6=SelStage),OR(SelRequisition="All",$F6=SelRequisition)),1,0))</f>
        <v>1</v>
      </c>
      <c r="AF6" s="214">
        <f>IF($B6="","",COUNT($AF$5:AF5)+1)</f>
        <v>1</v>
      </c>
      <c r="AG6" s="214">
        <f>IF($C6="","",IF(COUNTIF($C$6:$C6,$C6)=1,COUNT($AG$5:AG5)+1,""))</f>
        <v>1</v>
      </c>
      <c r="AH6" s="214">
        <f>IF($F6="","",IF(COUNTIF($F$6:$F6,$F6)=1,COUNT($AH$5:AH5)+1,""))</f>
        <v>1</v>
      </c>
      <c r="AI6" s="214">
        <f>IF($H6="","",IF(COUNTIF($H$6:$H6,$H6)=1,COUNT($AI$5:AI5)+1,""))</f>
        <v>1</v>
      </c>
      <c r="AJ6" s="214">
        <f>IF(OR($B6="",$J6=0),"",$J6*100000000+IF(ISNUMBER($D6),$D6,0)*1000+(170-$A6))</f>
        <v>246247169</v>
      </c>
      <c r="AK6" s="214">
        <f>IF(OR($B6="",$W6&lt;=0),"",ROUND($W6*10,0)*100000+(170-$A6))</f>
        <v>4000169</v>
      </c>
      <c r="AL6" s="214">
        <f>IF(OR($B6="",$P6&lt;=0),"",ROUND($P6*10000,0)*1000+(170-$A6))</f>
        <v>3333169</v>
      </c>
      <c r="AM6" s="214">
        <f>IF(AND($W6&gt;0,$O6&gt;0),COUNT($AM$5:AM5)+1,"")</f>
        <v>1</v>
      </c>
      <c r="AN6">
        <f>IF($B6="",0,IF($G6="",0,SUMPRODUCT(MAX(ISNUMBER(SEARCH(LocPattern,$G6))*LocIdx))))</f>
        <v>16</v>
      </c>
      <c r="AO6" t="str">
        <f>IFERROR(INDEX($H$6:$H$125,MATCH(1,$AI$6:$AI$125,0)),"")</f>
        <v>Chennai</v>
      </c>
      <c r="AP6">
        <f>IF($AO6="",0,SUMPRODUCT($AE$6:$AE$125*($H$6:$H$125=$AO6)))</f>
        <v>32</v>
      </c>
      <c r="AQ6">
        <f>IF($AO6="","",$AP6*1000+(21-1))</f>
        <v>32020</v>
      </c>
      <c r="AS6" t="str">
        <f>IFERROR(INDEX($F$6:$F$125,MATCH(1,$AH$6:$AH$125,0)),"")</f>
        <v>Full Stack Developer</v>
      </c>
      <c r="AT6">
        <f>IF($AS6="",0,SUMPRODUCT($AE$6:$AE$125*($F$6:$F$125=$AS6)))</f>
        <v>43</v>
      </c>
      <c r="AU6">
        <f>IF($AS6="","",$AT6*1000+(21-1))</f>
        <v>43020</v>
      </c>
      <c r="AW6" t="str">
        <f>IFERROR(INDEX($C$6:$C$125,MATCH(1,$AG$6:$AG$125,0)),"")</f>
        <v>Sarath</v>
      </c>
      <c r="AX6">
        <f>IF($AW6="",0,SUMPRODUCT($AE$6:$AE$125*($C$6:$C$125=$AW6)))</f>
        <v>13</v>
      </c>
      <c r="AY6">
        <f>IF($AW6="","",$AX6*1000+(21-1))</f>
        <v>13020</v>
      </c>
      <c r="BD6">
        <f>IFERROR(INDEX($W$6:$W$125,MATCH(1,$AM$6:$AM$125,0)),"")</f>
        <v>4</v>
      </c>
      <c r="BE6">
        <f>IFERROR(INDEX($O$6:$O$125,MATCH(1,$AM$6:$AM$125,0)),"")</f>
        <v>12</v>
      </c>
      <c r="BF6" t="str">
        <f>IFERROR(INDEX($B$6:$B$125,MATCH(1,$AM$6:$AM$125,0)),"")</f>
        <v>Sibiraj Munirathinam</v>
      </c>
      <c r="BH6" t="inlineStr">
        <is>
          <t>All</t>
        </is>
      </c>
      <c r="BI6" t="inlineStr">
        <is>
          <t>All</t>
        </is>
      </c>
      <c r="BJ6" t="inlineStr">
        <is>
          <t>All</t>
        </is>
      </c>
      <c r="BK6" t="inlineStr">
        <is>
          <t>All</t>
        </is>
      </c>
      <c r="BL6" t="str">
        <f>IFERROR(INDEX($B$6:$B$125,MATCH(1,$AF$6:$AF$125,0)),"")</f>
        <v>Sibiraj Munirathinam</v>
      </c>
    </row>
    <row r="7">
      <c r="A7" s="220" t="n">
        <v>2</v>
      </c>
      <c r="B7" s="220" t="str">
        <f>IF(TRIM('Master Data-2026'!D3)="","",TRIM('Master Data-2026'!D3))</f>
        <v>Karthik Kumar</v>
      </c>
      <c r="C7" s="220" t="str">
        <f>IF($B7="","",TRIM('Master Data-2026'!A3))</f>
        <v>Sarath</v>
      </c>
      <c r="D7" s="221">
        <f>IF($B7="","",IF('Master Data-2026'!B3="","",'Master Data-2026'!B3))</f>
        <v>46247</v>
      </c>
      <c r="E7" s="220" t="str">
        <f>IF($B7="","",TRIM('Master Data-2026'!C3))</f>
        <v>August</v>
      </c>
      <c r="F7" s="220" t="str">
        <f>IF($B7="","",TRIM('Master Data-2026'!G3))</f>
        <v>Full Stack Developer</v>
      </c>
      <c r="G7" s="220" t="str">
        <f>IF($B7="","",TRIM('Master Data-2026'!F3))</f>
        <v>Chennai</v>
      </c>
      <c r="H7" s="220" t="str">
        <f>IF($B7="","",IF($G7="","Not recorded",IF($AN7=0,"Other",INDEX(LocCity,$AN7))))</f>
        <v>Chennai</v>
      </c>
      <c r="I7" s="220" t="str">
        <f>IF($B7="","",TRIM('Master Data-2026'!H3))</f>
        <v>Telephonic Screening</v>
      </c>
      <c r="J7" s="220">
        <f>IF($B7="",0,IFERROR(INDEX(StageOrderRef,MATCH($I7,StageNameRef,0)),0))</f>
        <v>1</v>
      </c>
      <c r="K7" s="220" t="str">
        <f>IF($B7="","",TRIM('Master Data-2026'!I3))</f>
        <v>Hold</v>
      </c>
      <c r="L7" s="220" t="str">
        <f>IF($B7="","",TRIM('Master Data-2026'!J3))</f>
        <v>6.69 LPA</v>
      </c>
      <c r="M7" s="222">
        <f>IF($L7="",0,IF(ISNUMBER(SEARCH("%",$L7)),0,IFERROR(VALUE(LEFT($L7,IF(NOT(OR(AND(MID($L7,1,1)&gt;="0",MID($L7,1,1)&lt;="9"),MID($L7,1,1)=".")),0,IF(NOT(OR(AND(MID($L7,2,1)&gt;="0",MID($L7,2,1)&lt;="9"),MID($L7,2,1)=".")),1,IF(NOT(OR(AND(MID($L7,3,1)&gt;="0",MID($L7,3,1)&lt;="9"),MID($L7,3,1)=".")),2,IF(NOT(OR(AND(MID($L7,4,1)&gt;="0",MID($L7,4,1)&lt;="9"),MID($L7,4,1)=".")),3,IF(NOT(OR(AND(MID($L7,5,1)&gt;="0",MID($L7,5,1)&lt;="9"),MID($L7,5,1)=".")),4,IF(NOT(OR(AND(MID($L7,6,1)&gt;="0",MID($L7,6,1)&lt;="9"),MID($L7,6,1)=".")),5,6)))))))),0)))</f>
        <v>6.69</v>
      </c>
      <c r="N7" s="220" t="str">
        <f>IF($B7="","",TRIM('Master Data-2026'!K3))</f>
        <v>12 LPA</v>
      </c>
      <c r="O7" s="222">
        <f>IF($N7="",0,IF(ISNUMBER(SEARCH("%",$N7)),0,IFERROR(VALUE(LEFT($N7,IF(NOT(OR(AND(MID($N7,1,1)&gt;="0",MID($N7,1,1)&lt;="9"),MID($N7,1,1)=".")),0,IF(NOT(OR(AND(MID($N7,2,1)&gt;="0",MID($N7,2,1)&lt;="9"),MID($N7,2,1)=".")),1,IF(NOT(OR(AND(MID($N7,3,1)&gt;="0",MID($N7,3,1)&lt;="9"),MID($N7,3,1)=".")),2,IF(NOT(OR(AND(MID($N7,4,1)&gt;="0",MID($N7,4,1)&lt;="9"),MID($N7,4,1)=".")),3,IF(NOT(OR(AND(MID($N7,5,1)&gt;="0",MID($N7,5,1)&lt;="9"),MID($N7,5,1)=".")),4,IF(NOT(OR(AND(MID($N7,6,1)&gt;="0",MID($N7,6,1)&lt;="9"),MID($N7,6,1)=".")),5,6)))))))),0)))</f>
        <v>12</v>
      </c>
      <c r="P7" s="223">
        <f>IF(AND($M7&gt;0,$O7&gt;0),$O7/$M7-1,0)</f>
        <v>0.7937219730941703</v>
      </c>
      <c r="Q7" s="220" t="str">
        <f>IF($B7="","",TRIM('Master Data-2026'!L3))</f>
        <v>1 Week(LWD 19th Aug)</v>
      </c>
      <c r="R7" s="220">
        <f>IF($Q7="",0,IF(ISNUMBER(SEARCH("%",$Q7)),0,IFERROR(VALUE(LEFT($Q7,IF(NOT(OR(AND(MID($Q7,1,1)&gt;="0",MID($Q7,1,1)&lt;="9"),MID($Q7,1,1)=".")),0,IF(NOT(OR(AND(MID($Q7,2,1)&gt;="0",MID($Q7,2,1)&lt;="9"),MID($Q7,2,1)=".")),1,IF(NOT(OR(AND(MID($Q7,3,1)&gt;="0",MID($Q7,3,1)&lt;="9"),MID($Q7,3,1)=".")),2,IF(NOT(OR(AND(MID($Q7,4,1)&gt;="0",MID($Q7,4,1)&lt;="9"),MID($Q7,4,1)=".")),3,IF(NOT(OR(AND(MID($Q7,5,1)&gt;="0",MID($Q7,5,1)&lt;="9"),MID($Q7,5,1)=".")),4,IF(NOT(OR(AND(MID($Q7,6,1)&gt;="0",MID($Q7,6,1)&lt;="9"),MID($Q7,6,1)=".")),5,6)))))))),0)))</f>
        <v>1</v>
      </c>
      <c r="S7" s="224">
        <f>IF($Q7="",-1,IF(ISNUMBER(SEARCH("immediate",$Q7)),0,IF(ISNUMBER(SEARCH("month",$Q7)),IF($R7=0,-1,$R7*30),IF(ISNUMBER(SEARCH("day",$Q7)),IF($R7=0,-1,$R7),-1))))</f>
        <v>-1</v>
      </c>
      <c r="T7" s="220" t="str">
        <f>IF($B7="","",IF($S7&lt;0,"Not recorded",IF($S7=0,"Immediate",IF($S7&lt;=30,"1-30 days",IF($S7&lt;=60,"31-60 days","60+ days")))))</f>
        <v>Not recorded</v>
      </c>
      <c r="U7" s="220">
        <f>IF($B7="","",IFERROR(MATCH($B7,'Submission template'!$D$17:$D$300,0),""))</f>
      </c>
      <c r="V7" s="220">
        <f>IF($U7="","",IFERROR(TRIM(INDEX('Submission template'!$I$17:$I$300,$U7)),""))</f>
      </c>
      <c r="W7" s="225">
        <f>IF($V7="",0,IF(ISNUMBER(SEARCH("%",$V7)),0,IFERROR(VALUE(LEFT($V7,IF(NOT(OR(AND(MID($V7,1,1)&gt;="0",MID($V7,1,1)&lt;="9"),MID($V7,1,1)=".")),0,IF(NOT(OR(AND(MID($V7,2,1)&gt;="0",MID($V7,2,1)&lt;="9"),MID($V7,2,1)=".")),1,IF(NOT(OR(AND(MID($V7,3,1)&gt;="0",MID($V7,3,1)&lt;="9"),MID($V7,3,1)=".")),2,IF(NOT(OR(AND(MID($V7,4,1)&gt;="0",MID($V7,4,1)&lt;="9"),MID($V7,4,1)=".")),3,IF(NOT(OR(AND(MID($V7,5,1)&gt;="0",MID($V7,5,1)&lt;="9"),MID($V7,5,1)=".")),4,IF(NOT(OR(AND(MID($V7,6,1)&gt;="0",MID($V7,6,1)&lt;="9"),MID($V7,6,1)=".")),5,6)))))))),0)))</f>
        <v>0</v>
      </c>
      <c r="X7" s="220">
        <f>IF($U7="","",IFERROR(TRIM(INDEX('Submission template'!$J$17:$J$300,$U7)),""))</f>
      </c>
      <c r="Y7" s="220">
        <f>IF($U7="","",IFERROR(TRIM(INDEX('Submission template'!$K$17:$K$300,$U7)),""))</f>
      </c>
      <c r="Z7" s="220">
        <f>IF($U7="","",IFERROR(TRIM(INDEX('Submission template'!$M$17:$M$300,$U7)),""))</f>
      </c>
      <c r="AA7" s="220">
        <f>IF($U7="","",IFERROR(TRIM(INDEX('Submission template'!$O$17:$O$300,$U7)),""))</f>
      </c>
      <c r="AB7" s="220">
        <f>IF($U7="","",IFERROR(TRIM(INDEX('Submission template'!$S$17:$S$300,$U7)),""))</f>
      </c>
      <c r="AC7" s="220">
        <f>IF($B7="",0,IF($U7="",0,1))</f>
        <v>0</v>
      </c>
      <c r="AD7" s="220">
        <f>IF($B7="",0,IF(OR($H7=TargetLocation,AND($AA7&lt;&gt;"",ISNUMBER(SEARCH(TargetLocation,$AA7)))),1,0))</f>
        <v>1</v>
      </c>
      <c r="AE7" s="220">
        <f>IF($B7="",0,IF(AND(OR(SelRecruiter="All",$C7=SelRecruiter),OR(SelCity="All",$H7=SelCity),OR(SelStage="All",$I7=SelStage),OR(SelRequisition="All",$F7=SelRequisition)),1,0))</f>
        <v>1</v>
      </c>
      <c r="AF7" s="220">
        <f>IF($B7="","",COUNT($AF$5:AF6)+1)</f>
        <v>2</v>
      </c>
      <c r="AG7" s="220">
        <f>IF($C7="","",IF(COUNTIF($C$6:$C7,$C7)=1,COUNT($AG$5:AG6)+1,""))</f>
      </c>
      <c r="AH7" s="220">
        <f>IF($F7="","",IF(COUNTIF($F$6:$F7,$F7)=1,COUNT($AH$5:AH6)+1,""))</f>
      </c>
      <c r="AI7" s="220">
        <f>IF($H7="","",IF(COUNTIF($H$6:$H7,$H7)=1,COUNT($AI$5:AI6)+1,""))</f>
      </c>
      <c r="AJ7" s="220">
        <f>IF(OR($B7="",$J7=0),"",$J7*100000000+IF(ISNUMBER($D7),$D7,0)*1000+(170-$A7))</f>
        <v>146247168</v>
      </c>
      <c r="AK7" s="220">
        <f>IF(OR($B7="",$W7&lt;=0),"",ROUND($W7*10,0)*100000+(170-$A7))</f>
      </c>
      <c r="AL7" s="220">
        <f>IF(OR($B7="",$P7&lt;=0),"",ROUND($P7*10000,0)*1000+(170-$A7))</f>
        <v>7937168</v>
      </c>
      <c r="AM7" s="220">
        <f>IF(AND($W7&gt;0,$O7&gt;0),COUNT($AM$5:AM6)+1,"")</f>
      </c>
      <c r="AN7">
        <f>IF($B7="",0,IF($G7="",0,SUMPRODUCT(MAX(ISNUMBER(SEARCH(LocPattern,$G7))*LocIdx))))</f>
        <v>16</v>
      </c>
      <c r="AO7" t="str">
        <f>IFERROR(INDEX($H$6:$H$125,MATCH(2,$AI$6:$AI$125,0)),"")</f>
        <v>Bangalore</v>
      </c>
      <c r="AP7">
        <f>IF($AO7="",0,SUMPRODUCT($AE$6:$AE$125*($H$6:$H$125=$AO7)))</f>
        <v>5</v>
      </c>
      <c r="AQ7">
        <f>IF($AO7="","",$AP7*1000+(21-2))</f>
        <v>5019</v>
      </c>
      <c r="AS7" t="str">
        <f>IFERROR(INDEX($F$6:$F$125,MATCH(2,$AH$6:$AH$125,0)),"")</f>
        <v>Full Stack Lead</v>
      </c>
      <c r="AT7">
        <f>IF($AS7="",0,SUMPRODUCT($AE$6:$AE$125*($F$6:$F$125=$AS7)))</f>
        <v>5</v>
      </c>
      <c r="AU7">
        <f>IF($AS7="","",$AT7*1000+(21-2))</f>
        <v>5019</v>
      </c>
      <c r="AW7" t="str">
        <f>IFERROR(INDEX($C$6:$C$125,MATCH(2,$AG$6:$AG$125,0)),"")</f>
        <v>Rujuta</v>
      </c>
      <c r="AX7">
        <f>IF($AW7="",0,SUMPRODUCT($AE$6:$AE$125*($C$6:$C$125=$AW7)))</f>
        <v>4</v>
      </c>
      <c r="AY7">
        <f>IF($AW7="","",$AX7*1000+(21-2))</f>
        <v>4019</v>
      </c>
      <c r="BD7">
        <f>IFERROR(INDEX($W$6:$W$125,MATCH(2,$AM$6:$AM$125,0)),"")</f>
        <v>3.8</v>
      </c>
      <c r="BE7">
        <f>IFERROR(INDEX($O$6:$O$125,MATCH(2,$AM$6:$AM$125,0)),"")</f>
        <v>12</v>
      </c>
      <c r="BF7" t="str">
        <f>IFERROR(INDEX($B$6:$B$125,MATCH(2,$AM$6:$AM$125,0)),"")</f>
        <v>Mubbanthal Surya</v>
      </c>
      <c r="BH7" t="str">
        <f>IF($AW6="","",$AW6)</f>
        <v>Sarath</v>
      </c>
      <c r="BI7" t="str">
        <f>IF($AO6="","",$AO6)</f>
        <v>Chennai</v>
      </c>
      <c r="BJ7" t="str">
        <f>Reference!$B$7</f>
        <v>Telephonic Screening</v>
      </c>
      <c r="BK7" t="str">
        <f>IF($AS6="","",$AS6)</f>
        <v>Full Stack Developer</v>
      </c>
      <c r="BL7" t="str">
        <f>IFERROR(INDEX($B$6:$B$125,MATCH(2,$AF$6:$AF$125,0)),"")</f>
        <v>Karthik Kumar</v>
      </c>
    </row>
    <row r="8">
      <c r="A8" s="214" t="n">
        <v>3</v>
      </c>
      <c r="B8" s="214" t="str">
        <f>IF(TRIM('Master Data-2026'!D4)="","",TRIM('Master Data-2026'!D4))</f>
        <v>Rogesh</v>
      </c>
      <c r="C8" s="214" t="str">
        <f>IF($B8="","",TRIM('Master Data-2026'!A4))</f>
        <v>Sarath</v>
      </c>
      <c r="D8" s="215">
        <f>IF($B8="","",IF('Master Data-2026'!B4="","",'Master Data-2026'!B4))</f>
        <v>46247</v>
      </c>
      <c r="E8" s="214" t="str">
        <f>IF($B8="","",TRIM('Master Data-2026'!C4))</f>
        <v>August</v>
      </c>
      <c r="F8" s="214" t="str">
        <f>IF($B8="","",TRIM('Master Data-2026'!G4))</f>
        <v>Full Stack Developer</v>
      </c>
      <c r="G8" s="214" t="str">
        <f>IF($B8="","",TRIM('Master Data-2026'!F4))</f>
        <v>Chennai</v>
      </c>
      <c r="H8" s="214" t="str">
        <f>IF($B8="","",IF($G8="","Not recorded",IF($AN8=0,"Other",INDEX(LocCity,$AN8))))</f>
        <v>Chennai</v>
      </c>
      <c r="I8" s="214" t="str">
        <f>IF($B8="","",TRIM('Master Data-2026'!H4))</f>
        <v>Telephonic Screening</v>
      </c>
      <c r="J8" s="214">
        <f>IF($B8="",0,IFERROR(INDEX(StageOrderRef,MATCH($I8,StageNameRef,0)),0))</f>
        <v>1</v>
      </c>
      <c r="K8" s="214" t="str">
        <f>IF($B8="","",TRIM('Master Data-2026'!I4))</f>
        <v>Hold</v>
      </c>
      <c r="L8" s="214" t="str">
        <f>IF($B8="","",TRIM('Master Data-2026'!J4))</f>
        <v>4 LPA</v>
      </c>
      <c r="M8" s="216">
        <f>IF($L8="",0,IF(ISNUMBER(SEARCH("%",$L8)),0,IFERROR(VALUE(LEFT($L8,IF(NOT(OR(AND(MID($L8,1,1)&gt;="0",MID($L8,1,1)&lt;="9"),MID($L8,1,1)=".")),0,IF(NOT(OR(AND(MID($L8,2,1)&gt;="0",MID($L8,2,1)&lt;="9"),MID($L8,2,1)=".")),1,IF(NOT(OR(AND(MID($L8,3,1)&gt;="0",MID($L8,3,1)&lt;="9"),MID($L8,3,1)=".")),2,IF(NOT(OR(AND(MID($L8,4,1)&gt;="0",MID($L8,4,1)&lt;="9"),MID($L8,4,1)=".")),3,IF(NOT(OR(AND(MID($L8,5,1)&gt;="0",MID($L8,5,1)&lt;="9"),MID($L8,5,1)=".")),4,IF(NOT(OR(AND(MID($L8,6,1)&gt;="0",MID($L8,6,1)&lt;="9"),MID($L8,6,1)=".")),5,6)))))))),0)))</f>
        <v>4</v>
      </c>
      <c r="N8" s="214" t="str">
        <f>IF($B8="","",TRIM('Master Data-2026'!K4))</f>
        <v>8 LPA</v>
      </c>
      <c r="O8" s="216">
        <f>IF($N8="",0,IF(ISNUMBER(SEARCH("%",$N8)),0,IFERROR(VALUE(LEFT($N8,IF(NOT(OR(AND(MID($N8,1,1)&gt;="0",MID($N8,1,1)&lt;="9"),MID($N8,1,1)=".")),0,IF(NOT(OR(AND(MID($N8,2,1)&gt;="0",MID($N8,2,1)&lt;="9"),MID($N8,2,1)=".")),1,IF(NOT(OR(AND(MID($N8,3,1)&gt;="0",MID($N8,3,1)&lt;="9"),MID($N8,3,1)=".")),2,IF(NOT(OR(AND(MID($N8,4,1)&gt;="0",MID($N8,4,1)&lt;="9"),MID($N8,4,1)=".")),3,IF(NOT(OR(AND(MID($N8,5,1)&gt;="0",MID($N8,5,1)&lt;="9"),MID($N8,5,1)=".")),4,IF(NOT(OR(AND(MID($N8,6,1)&gt;="0",MID($N8,6,1)&lt;="9"),MID($N8,6,1)=".")),5,6)))))))),0)))</f>
        <v>8</v>
      </c>
      <c r="P8" s="217">
        <f>IF(AND($M8&gt;0,$O8&gt;0),$O8/$M8-1,0)</f>
        <v>1</v>
      </c>
      <c r="Q8" s="214" t="str">
        <f>IF($B8="","",TRIM('Master Data-2026'!L4))</f>
        <v>20 Days(LWD 4th Sep)</v>
      </c>
      <c r="R8" s="214">
        <f>IF($Q8="",0,IF(ISNUMBER(SEARCH("%",$Q8)),0,IFERROR(VALUE(LEFT($Q8,IF(NOT(OR(AND(MID($Q8,1,1)&gt;="0",MID($Q8,1,1)&lt;="9"),MID($Q8,1,1)=".")),0,IF(NOT(OR(AND(MID($Q8,2,1)&gt;="0",MID($Q8,2,1)&lt;="9"),MID($Q8,2,1)=".")),1,IF(NOT(OR(AND(MID($Q8,3,1)&gt;="0",MID($Q8,3,1)&lt;="9"),MID($Q8,3,1)=".")),2,IF(NOT(OR(AND(MID($Q8,4,1)&gt;="0",MID($Q8,4,1)&lt;="9"),MID($Q8,4,1)=".")),3,IF(NOT(OR(AND(MID($Q8,5,1)&gt;="0",MID($Q8,5,1)&lt;="9"),MID($Q8,5,1)=".")),4,IF(NOT(OR(AND(MID($Q8,6,1)&gt;="0",MID($Q8,6,1)&lt;="9"),MID($Q8,6,1)=".")),5,6)))))))),0)))</f>
        <v>20</v>
      </c>
      <c r="S8" s="218">
        <f>IF($Q8="",-1,IF(ISNUMBER(SEARCH("immediate",$Q8)),0,IF(ISNUMBER(SEARCH("month",$Q8)),IF($R8=0,-1,$R8*30),IF(ISNUMBER(SEARCH("day",$Q8)),IF($R8=0,-1,$R8),-1))))</f>
        <v>20</v>
      </c>
      <c r="T8" s="214" t="str">
        <f>IF($B8="","",IF($S8&lt;0,"Not recorded",IF($S8=0,"Immediate",IF($S8&lt;=30,"1-30 days",IF($S8&lt;=60,"31-60 days","60+ days")))))</f>
        <v>1-30 days</v>
      </c>
      <c r="U8" s="214">
        <f>IF($B8="","",IFERROR(MATCH($B8,'Submission template'!$D$17:$D$300,0),""))</f>
      </c>
      <c r="V8" s="214">
        <f>IF($U8="","",IFERROR(TRIM(INDEX('Submission template'!$I$17:$I$300,$U8)),""))</f>
      </c>
      <c r="W8" s="219">
        <f>IF($V8="",0,IF(ISNUMBER(SEARCH("%",$V8)),0,IFERROR(VALUE(LEFT($V8,IF(NOT(OR(AND(MID($V8,1,1)&gt;="0",MID($V8,1,1)&lt;="9"),MID($V8,1,1)=".")),0,IF(NOT(OR(AND(MID($V8,2,1)&gt;="0",MID($V8,2,1)&lt;="9"),MID($V8,2,1)=".")),1,IF(NOT(OR(AND(MID($V8,3,1)&gt;="0",MID($V8,3,1)&lt;="9"),MID($V8,3,1)=".")),2,IF(NOT(OR(AND(MID($V8,4,1)&gt;="0",MID($V8,4,1)&lt;="9"),MID($V8,4,1)=".")),3,IF(NOT(OR(AND(MID($V8,5,1)&gt;="0",MID($V8,5,1)&lt;="9"),MID($V8,5,1)=".")),4,IF(NOT(OR(AND(MID($V8,6,1)&gt;="0",MID($V8,6,1)&lt;="9"),MID($V8,6,1)=".")),5,6)))))))),0)))</f>
        <v>0</v>
      </c>
      <c r="X8" s="214">
        <f>IF($U8="","",IFERROR(TRIM(INDEX('Submission template'!$J$17:$J$300,$U8)),""))</f>
      </c>
      <c r="Y8" s="214">
        <f>IF($U8="","",IFERROR(TRIM(INDEX('Submission template'!$K$17:$K$300,$U8)),""))</f>
      </c>
      <c r="Z8" s="214">
        <f>IF($U8="","",IFERROR(TRIM(INDEX('Submission template'!$M$17:$M$300,$U8)),""))</f>
      </c>
      <c r="AA8" s="214">
        <f>IF($U8="","",IFERROR(TRIM(INDEX('Submission template'!$O$17:$O$300,$U8)),""))</f>
      </c>
      <c r="AB8" s="214">
        <f>IF($U8="","",IFERROR(TRIM(INDEX('Submission template'!$S$17:$S$300,$U8)),""))</f>
      </c>
      <c r="AC8" s="214">
        <f>IF($B8="",0,IF($U8="",0,1))</f>
        <v>0</v>
      </c>
      <c r="AD8" s="214">
        <f>IF($B8="",0,IF(OR($H8=TargetLocation,AND($AA8&lt;&gt;"",ISNUMBER(SEARCH(TargetLocation,$AA8)))),1,0))</f>
        <v>1</v>
      </c>
      <c r="AE8" s="214">
        <f>IF($B8="",0,IF(AND(OR(SelRecruiter="All",$C8=SelRecruiter),OR(SelCity="All",$H8=SelCity),OR(SelStage="All",$I8=SelStage),OR(SelRequisition="All",$F8=SelRequisition)),1,0))</f>
        <v>1</v>
      </c>
      <c r="AF8" s="214">
        <f>IF($B8="","",COUNT($AF$5:AF7)+1)</f>
        <v>3</v>
      </c>
      <c r="AG8" s="214">
        <f>IF($C8="","",IF(COUNTIF($C$6:$C8,$C8)=1,COUNT($AG$5:AG7)+1,""))</f>
      </c>
      <c r="AH8" s="214">
        <f>IF($F8="","",IF(COUNTIF($F$6:$F8,$F8)=1,COUNT($AH$5:AH7)+1,""))</f>
      </c>
      <c r="AI8" s="214">
        <f>IF($H8="","",IF(COUNTIF($H$6:$H8,$H8)=1,COUNT($AI$5:AI7)+1,""))</f>
      </c>
      <c r="AJ8" s="214">
        <f>IF(OR($B8="",$J8=0),"",$J8*100000000+IF(ISNUMBER($D8),$D8,0)*1000+(170-$A8))</f>
        <v>146247167</v>
      </c>
      <c r="AK8" s="214">
        <f>IF(OR($B8="",$W8&lt;=0),"",ROUND($W8*10,0)*100000+(170-$A8))</f>
      </c>
      <c r="AL8" s="214">
        <f>IF(OR($B8="",$P8&lt;=0),"",ROUND($P8*10000,0)*1000+(170-$A8))</f>
        <v>10000167</v>
      </c>
      <c r="AM8" s="214">
        <f>IF(AND($W8&gt;0,$O8&gt;0),COUNT($AM$5:AM7)+1,"")</f>
      </c>
      <c r="AN8">
        <f>IF($B8="",0,IF($G8="",0,SUMPRODUCT(MAX(ISNUMBER(SEARCH(LocPattern,$G8))*LocIdx))))</f>
        <v>16</v>
      </c>
      <c r="AO8" t="str">
        <f>IFERROR(INDEX($H$6:$H$125,MATCH(3,$AI$6:$AI$125,0)),"")</f>
        <v>Not recorded</v>
      </c>
      <c r="AP8">
        <f>IF($AO8="",0,SUMPRODUCT($AE$6:$AE$125*($H$6:$H$125=$AO8)))</f>
        <v>6</v>
      </c>
      <c r="AQ8">
        <f>IF($AO8="","",$AP8*1000+(21-3))</f>
        <v>6018</v>
      </c>
      <c r="AS8" t="str">
        <f>IFERROR(INDEX($F$6:$F$125,MATCH(3,$AH$6:$AH$125,0)),"")</f>
        <v>Voyage Optimization Specialist</v>
      </c>
      <c r="AT8">
        <f>IF($AS8="",0,SUMPRODUCT($AE$6:$AE$125*($F$6:$F$125=$AS8)))</f>
        <v>1</v>
      </c>
      <c r="AU8">
        <f>IF($AS8="","",$AT8*1000+(21-3))</f>
        <v>1018</v>
      </c>
      <c r="AW8" t="str">
        <f>IFERROR(INDEX($C$6:$C$125,MATCH(3,$AG$6:$AG$125,0)),"")</f>
        <v>Vandana</v>
      </c>
      <c r="AX8">
        <f>IF($AW8="",0,SUMPRODUCT($AE$6:$AE$125*($C$6:$C$125=$AW8)))</f>
        <v>10</v>
      </c>
      <c r="AY8">
        <f>IF($AW8="","",$AX8*1000+(21-3))</f>
        <v>10018</v>
      </c>
      <c r="BD8">
        <f>IFERROR(INDEX($W$6:$W$125,MATCH(3,$AM$6:$AM$125,0)),"")</f>
        <v>8</v>
      </c>
      <c r="BE8">
        <f>IFERROR(INDEX($O$6:$O$125,MATCH(3,$AM$6:$AM$125,0)),"")</f>
        <v>30</v>
      </c>
      <c r="BF8" t="str">
        <f>IFERROR(INDEX($B$6:$B$125,MATCH(3,$AM$6:$AM$125,0)),"")</f>
        <v>Govardhan</v>
      </c>
      <c r="BH8" t="str">
        <f>IF($AW7="","",$AW7)</f>
        <v>Rujuta</v>
      </c>
      <c r="BI8" t="str">
        <f>IF($AO7="","",$AO7)</f>
        <v>Bangalore</v>
      </c>
      <c r="BJ8" t="str">
        <f>Reference!$B$8</f>
        <v>ZN Submission</v>
      </c>
      <c r="BK8" t="str">
        <f>IF($AS7="","",$AS7)</f>
        <v>Full Stack Lead</v>
      </c>
      <c r="BL8" t="str">
        <f>IFERROR(INDEX($B$6:$B$125,MATCH(3,$AF$6:$AF$125,0)),"")</f>
        <v>Rogesh</v>
      </c>
    </row>
    <row r="9">
      <c r="A9" s="220" t="n">
        <v>4</v>
      </c>
      <c r="B9" s="220" t="str">
        <f>IF(TRIM('Master Data-2026'!D5)="","",TRIM('Master Data-2026'!D5))</f>
        <v>Malaikkannan</v>
      </c>
      <c r="C9" s="220" t="str">
        <f>IF($B9="","",TRIM('Master Data-2026'!A5))</f>
        <v>Sarath</v>
      </c>
      <c r="D9" s="221">
        <f>IF($B9="","",IF('Master Data-2026'!B5="","",'Master Data-2026'!B5))</f>
        <v>46247</v>
      </c>
      <c r="E9" s="220" t="str">
        <f>IF($B9="","",TRIM('Master Data-2026'!C5))</f>
        <v>August</v>
      </c>
      <c r="F9" s="220" t="str">
        <f>IF($B9="","",TRIM('Master Data-2026'!G5))</f>
        <v>Full Stack Developer</v>
      </c>
      <c r="G9" s="220" t="str">
        <f>IF($B9="","",TRIM('Master Data-2026'!F5))</f>
        <v>Chennai</v>
      </c>
      <c r="H9" s="220" t="str">
        <f>IF($B9="","",IF($G9="","Not recorded",IF($AN9=0,"Other",INDEX(LocCity,$AN9))))</f>
        <v>Chennai</v>
      </c>
      <c r="I9" s="220" t="str">
        <f>IF($B9="","",TRIM('Master Data-2026'!H5))</f>
        <v>Telephonic Screening</v>
      </c>
      <c r="J9" s="220">
        <f>IF($B9="",0,IFERROR(INDEX(StageOrderRef,MATCH($I9,StageNameRef,0)),0))</f>
        <v>1</v>
      </c>
      <c r="K9" s="220" t="str">
        <f>IF($B9="","",TRIM('Master Data-2026'!I5))</f>
        <v>Already Zeronorth processed</v>
      </c>
      <c r="L9" s="220">
        <f>IF($B9="","",TRIM('Master Data-2026'!J5))</f>
      </c>
      <c r="M9" s="222">
        <f>IF($L9="",0,IF(ISNUMBER(SEARCH("%",$L9)),0,IFERROR(VALUE(LEFT($L9,IF(NOT(OR(AND(MID($L9,1,1)&gt;="0",MID($L9,1,1)&lt;="9"),MID($L9,1,1)=".")),0,IF(NOT(OR(AND(MID($L9,2,1)&gt;="0",MID($L9,2,1)&lt;="9"),MID($L9,2,1)=".")),1,IF(NOT(OR(AND(MID($L9,3,1)&gt;="0",MID($L9,3,1)&lt;="9"),MID($L9,3,1)=".")),2,IF(NOT(OR(AND(MID($L9,4,1)&gt;="0",MID($L9,4,1)&lt;="9"),MID($L9,4,1)=".")),3,IF(NOT(OR(AND(MID($L9,5,1)&gt;="0",MID($L9,5,1)&lt;="9"),MID($L9,5,1)=".")),4,IF(NOT(OR(AND(MID($L9,6,1)&gt;="0",MID($L9,6,1)&lt;="9"),MID($L9,6,1)=".")),5,6)))))))),0)))</f>
        <v>0</v>
      </c>
      <c r="N9" s="220">
        <f>IF($B9="","",TRIM('Master Data-2026'!K5))</f>
      </c>
      <c r="O9" s="222">
        <f>IF($N9="",0,IF(ISNUMBER(SEARCH("%",$N9)),0,IFERROR(VALUE(LEFT($N9,IF(NOT(OR(AND(MID($N9,1,1)&gt;="0",MID($N9,1,1)&lt;="9"),MID($N9,1,1)=".")),0,IF(NOT(OR(AND(MID($N9,2,1)&gt;="0",MID($N9,2,1)&lt;="9"),MID($N9,2,1)=".")),1,IF(NOT(OR(AND(MID($N9,3,1)&gt;="0",MID($N9,3,1)&lt;="9"),MID($N9,3,1)=".")),2,IF(NOT(OR(AND(MID($N9,4,1)&gt;="0",MID($N9,4,1)&lt;="9"),MID($N9,4,1)=".")),3,IF(NOT(OR(AND(MID($N9,5,1)&gt;="0",MID($N9,5,1)&lt;="9"),MID($N9,5,1)=".")),4,IF(NOT(OR(AND(MID($N9,6,1)&gt;="0",MID($N9,6,1)&lt;="9"),MID($N9,6,1)=".")),5,6)))))))),0)))</f>
        <v>0</v>
      </c>
      <c r="P9" s="223">
        <f>IF(AND($M9&gt;0,$O9&gt;0),$O9/$M9-1,0)</f>
        <v>0</v>
      </c>
      <c r="Q9" s="220">
        <f>IF($B9="","",TRIM('Master Data-2026'!L5))</f>
      </c>
      <c r="R9" s="220">
        <f>IF($Q9="",0,IF(ISNUMBER(SEARCH("%",$Q9)),0,IFERROR(VALUE(LEFT($Q9,IF(NOT(OR(AND(MID($Q9,1,1)&gt;="0",MID($Q9,1,1)&lt;="9"),MID($Q9,1,1)=".")),0,IF(NOT(OR(AND(MID($Q9,2,1)&gt;="0",MID($Q9,2,1)&lt;="9"),MID($Q9,2,1)=".")),1,IF(NOT(OR(AND(MID($Q9,3,1)&gt;="0",MID($Q9,3,1)&lt;="9"),MID($Q9,3,1)=".")),2,IF(NOT(OR(AND(MID($Q9,4,1)&gt;="0",MID($Q9,4,1)&lt;="9"),MID($Q9,4,1)=".")),3,IF(NOT(OR(AND(MID($Q9,5,1)&gt;="0",MID($Q9,5,1)&lt;="9"),MID($Q9,5,1)=".")),4,IF(NOT(OR(AND(MID($Q9,6,1)&gt;="0",MID($Q9,6,1)&lt;="9"),MID($Q9,6,1)=".")),5,6)))))))),0)))</f>
        <v>0</v>
      </c>
      <c r="S9" s="224">
        <f>IF($Q9="",-1,IF(ISNUMBER(SEARCH("immediate",$Q9)),0,IF(ISNUMBER(SEARCH("month",$Q9)),IF($R9=0,-1,$R9*30),IF(ISNUMBER(SEARCH("day",$Q9)),IF($R9=0,-1,$R9),-1))))</f>
        <v>-1</v>
      </c>
      <c r="T9" s="220" t="str">
        <f>IF($B9="","",IF($S9&lt;0,"Not recorded",IF($S9=0,"Immediate",IF($S9&lt;=30,"1-30 days",IF($S9&lt;=60,"31-60 days","60+ days")))))</f>
        <v>Not recorded</v>
      </c>
      <c r="U9" s="220">
        <f>IF($B9="","",IFERROR(MATCH($B9,'Submission template'!$D$17:$D$300,0),""))</f>
      </c>
      <c r="V9" s="220">
        <f>IF($U9="","",IFERROR(TRIM(INDEX('Submission template'!$I$17:$I$300,$U9)),""))</f>
      </c>
      <c r="W9" s="225">
        <f>IF($V9="",0,IF(ISNUMBER(SEARCH("%",$V9)),0,IFERROR(VALUE(LEFT($V9,IF(NOT(OR(AND(MID($V9,1,1)&gt;="0",MID($V9,1,1)&lt;="9"),MID($V9,1,1)=".")),0,IF(NOT(OR(AND(MID($V9,2,1)&gt;="0",MID($V9,2,1)&lt;="9"),MID($V9,2,1)=".")),1,IF(NOT(OR(AND(MID($V9,3,1)&gt;="0",MID($V9,3,1)&lt;="9"),MID($V9,3,1)=".")),2,IF(NOT(OR(AND(MID($V9,4,1)&gt;="0",MID($V9,4,1)&lt;="9"),MID($V9,4,1)=".")),3,IF(NOT(OR(AND(MID($V9,5,1)&gt;="0",MID($V9,5,1)&lt;="9"),MID($V9,5,1)=".")),4,IF(NOT(OR(AND(MID($V9,6,1)&gt;="0",MID($V9,6,1)&lt;="9"),MID($V9,6,1)=".")),5,6)))))))),0)))</f>
        <v>0</v>
      </c>
      <c r="X9" s="220">
        <f>IF($U9="","",IFERROR(TRIM(INDEX('Submission template'!$J$17:$J$300,$U9)),""))</f>
      </c>
      <c r="Y9" s="220">
        <f>IF($U9="","",IFERROR(TRIM(INDEX('Submission template'!$K$17:$K$300,$U9)),""))</f>
      </c>
      <c r="Z9" s="220">
        <f>IF($U9="","",IFERROR(TRIM(INDEX('Submission template'!$M$17:$M$300,$U9)),""))</f>
      </c>
      <c r="AA9" s="220">
        <f>IF($U9="","",IFERROR(TRIM(INDEX('Submission template'!$O$17:$O$300,$U9)),""))</f>
      </c>
      <c r="AB9" s="220">
        <f>IF($U9="","",IFERROR(TRIM(INDEX('Submission template'!$S$17:$S$300,$U9)),""))</f>
      </c>
      <c r="AC9" s="220">
        <f>IF($B9="",0,IF($U9="",0,1))</f>
        <v>0</v>
      </c>
      <c r="AD9" s="220">
        <f>IF($B9="",0,IF(OR($H9=TargetLocation,AND($AA9&lt;&gt;"",ISNUMBER(SEARCH(TargetLocation,$AA9)))),1,0))</f>
        <v>1</v>
      </c>
      <c r="AE9" s="220">
        <f>IF($B9="",0,IF(AND(OR(SelRecruiter="All",$C9=SelRecruiter),OR(SelCity="All",$H9=SelCity),OR(SelStage="All",$I9=SelStage),OR(SelRequisition="All",$F9=SelRequisition)),1,0))</f>
        <v>1</v>
      </c>
      <c r="AF9" s="220">
        <f>IF($B9="","",COUNT($AF$5:AF8)+1)</f>
        <v>4</v>
      </c>
      <c r="AG9" s="220">
        <f>IF($C9="","",IF(COUNTIF($C$6:$C9,$C9)=1,COUNT($AG$5:AG8)+1,""))</f>
      </c>
      <c r="AH9" s="220">
        <f>IF($F9="","",IF(COUNTIF($F$6:$F9,$F9)=1,COUNT($AH$5:AH8)+1,""))</f>
      </c>
      <c r="AI9" s="220">
        <f>IF($H9="","",IF(COUNTIF($H$6:$H9,$H9)=1,COUNT($AI$5:AI8)+1,""))</f>
      </c>
      <c r="AJ9" s="220">
        <f>IF(OR($B9="",$J9=0),"",$J9*100000000+IF(ISNUMBER($D9),$D9,0)*1000+(170-$A9))</f>
        <v>146247166</v>
      </c>
      <c r="AK9" s="220">
        <f>IF(OR($B9="",$W9&lt;=0),"",ROUND($W9*10,0)*100000+(170-$A9))</f>
      </c>
      <c r="AL9" s="220">
        <f>IF(OR($B9="",$P9&lt;=0),"",ROUND($P9*10000,0)*1000+(170-$A9))</f>
      </c>
      <c r="AM9" s="220">
        <f>IF(AND($W9&gt;0,$O9&gt;0),COUNT($AM$5:AM8)+1,"")</f>
      </c>
      <c r="AN9">
        <f>IF($B9="",0,IF($G9="",0,SUMPRODUCT(MAX(ISNUMBER(SEARCH(LocPattern,$G9))*LocIdx))))</f>
        <v>16</v>
      </c>
      <c r="AO9" t="str">
        <f>IFERROR(INDEX($H$6:$H$125,MATCH(4,$AI$6:$AI$125,0)),"")</f>
        <v>Tirupati</v>
      </c>
      <c r="AP9">
        <f>IF($AO9="",0,SUMPRODUCT($AE$6:$AE$125*($H$6:$H$125=$AO9)))</f>
        <v>1</v>
      </c>
      <c r="AQ9">
        <f>IF($AO9="","",$AP9*1000+(21-4))</f>
        <v>1017</v>
      </c>
      <c r="AS9">
        <f>IFERROR(INDEX($F$6:$F$125,MATCH(4,$AH$6:$AH$125,0)),"")</f>
      </c>
      <c r="AT9">
        <f>IF($AS9="",0,SUMPRODUCT($AE$6:$AE$125*($F$6:$F$125=$AS9)))</f>
        <v>0</v>
      </c>
      <c r="AU9">
        <f>IF($AS9="","",$AT9*1000+(21-4))</f>
      </c>
      <c r="AW9" t="str">
        <f>IFERROR(INDEX($C$6:$C$125,MATCH(4,$AG$6:$AG$125,0)),"")</f>
        <v>Ananthy</v>
      </c>
      <c r="AX9">
        <f>IF($AW9="",0,SUMPRODUCT($AE$6:$AE$125*($C$6:$C$125=$AW9)))</f>
        <v>17</v>
      </c>
      <c r="AY9">
        <f>IF($AW9="","",$AX9*1000+(21-4))</f>
        <v>17017</v>
      </c>
      <c r="BD9">
        <f>IFERROR(INDEX($W$6:$W$125,MATCH(4,$AM$6:$AM$125,0)),"")</f>
        <v>4.9</v>
      </c>
      <c r="BE9">
        <f>IFERROR(INDEX($O$6:$O$125,MATCH(4,$AM$6:$AM$125,0)),"")</f>
        <v>20</v>
      </c>
      <c r="BF9" t="str">
        <f>IFERROR(INDEX($B$6:$B$125,MATCH(4,$AM$6:$AM$125,0)),"")</f>
        <v>Saravana Ganesh S</v>
      </c>
      <c r="BH9" t="str">
        <f>IF($AW8="","",$AW8)</f>
        <v>Vandana</v>
      </c>
      <c r="BI9" t="str">
        <f>IF($AO8="","",$AO8)</f>
        <v>Not recorded</v>
      </c>
      <c r="BJ9" t="str">
        <f>Reference!$B$9</f>
        <v>ZN Interview</v>
      </c>
      <c r="BK9" t="str">
        <f>IF($AS8="","",$AS8)</f>
        <v>Voyage Optimization Specialist</v>
      </c>
      <c r="BL9" t="str">
        <f>IFERROR(INDEX($B$6:$B$125,MATCH(4,$AF$6:$AF$125,0)),"")</f>
        <v>Malaikkannan</v>
      </c>
    </row>
    <row r="10">
      <c r="A10" s="214" t="n">
        <v>5</v>
      </c>
      <c r="B10" s="214" t="str">
        <f>IF(TRIM('Master Data-2026'!D6)="","",TRIM('Master Data-2026'!D6))</f>
        <v>Mubbanthal Surya</v>
      </c>
      <c r="C10" s="214" t="str">
        <f>IF($B10="","",TRIM('Master Data-2026'!A6))</f>
        <v>Sarath</v>
      </c>
      <c r="D10" s="215">
        <f>IF($B10="","",IF('Master Data-2026'!B6="","",'Master Data-2026'!B6))</f>
        <v>46247</v>
      </c>
      <c r="E10" s="214" t="str">
        <f>IF($B10="","",TRIM('Master Data-2026'!C6))</f>
        <v>August</v>
      </c>
      <c r="F10" s="214" t="str">
        <f>IF($B10="","",TRIM('Master Data-2026'!G6))</f>
        <v>Full Stack Developer</v>
      </c>
      <c r="G10" s="214" t="str">
        <f>IF($B10="","",TRIM('Master Data-2026'!F6))</f>
        <v>Chennai</v>
      </c>
      <c r="H10" s="214" t="str">
        <f>IF($B10="","",IF($G10="","Not recorded",IF($AN10=0,"Other",INDEX(LocCity,$AN10))))</f>
        <v>Chennai</v>
      </c>
      <c r="I10" s="214" t="str">
        <f>IF($B10="","",TRIM('Master Data-2026'!H6))</f>
        <v>ZN Submission</v>
      </c>
      <c r="J10" s="214">
        <f>IF($B10="",0,IFERROR(INDEX(StageOrderRef,MATCH($I10,StageNameRef,0)),0))</f>
        <v>2</v>
      </c>
      <c r="K10" s="214" t="str">
        <f>IF($B10="","",TRIM('Master Data-2026'!I6))</f>
        <v>Client Review</v>
      </c>
      <c r="L10" s="214" t="str">
        <f>IF($B10="","",TRIM('Master Data-2026'!J6))</f>
        <v>6.92 LPA</v>
      </c>
      <c r="M10" s="216">
        <f>IF($L10="",0,IF(ISNUMBER(SEARCH("%",$L10)),0,IFERROR(VALUE(LEFT($L10,IF(NOT(OR(AND(MID($L10,1,1)&gt;="0",MID($L10,1,1)&lt;="9"),MID($L10,1,1)=".")),0,IF(NOT(OR(AND(MID($L10,2,1)&gt;="0",MID($L10,2,1)&lt;="9"),MID($L10,2,1)=".")),1,IF(NOT(OR(AND(MID($L10,3,1)&gt;="0",MID($L10,3,1)&lt;="9"),MID($L10,3,1)=".")),2,IF(NOT(OR(AND(MID($L10,4,1)&gt;="0",MID($L10,4,1)&lt;="9"),MID($L10,4,1)=".")),3,IF(NOT(OR(AND(MID($L10,5,1)&gt;="0",MID($L10,5,1)&lt;="9"),MID($L10,5,1)=".")),4,IF(NOT(OR(AND(MID($L10,6,1)&gt;="0",MID($L10,6,1)&lt;="9"),MID($L10,6,1)=".")),5,6)))))))),0)))</f>
        <v>6.92</v>
      </c>
      <c r="N10" s="214" t="str">
        <f>IF($B10="","",TRIM('Master Data-2026'!K6))</f>
        <v>12 LPA</v>
      </c>
      <c r="O10" s="216">
        <f>IF($N10="",0,IF(ISNUMBER(SEARCH("%",$N10)),0,IFERROR(VALUE(LEFT($N10,IF(NOT(OR(AND(MID($N10,1,1)&gt;="0",MID($N10,1,1)&lt;="9"),MID($N10,1,1)=".")),0,IF(NOT(OR(AND(MID($N10,2,1)&gt;="0",MID($N10,2,1)&lt;="9"),MID($N10,2,1)=".")),1,IF(NOT(OR(AND(MID($N10,3,1)&gt;="0",MID($N10,3,1)&lt;="9"),MID($N10,3,1)=".")),2,IF(NOT(OR(AND(MID($N10,4,1)&gt;="0",MID($N10,4,1)&lt;="9"),MID($N10,4,1)=".")),3,IF(NOT(OR(AND(MID($N10,5,1)&gt;="0",MID($N10,5,1)&lt;="9"),MID($N10,5,1)=".")),4,IF(NOT(OR(AND(MID($N10,6,1)&gt;="0",MID($N10,6,1)&lt;="9"),MID($N10,6,1)=".")),5,6)))))))),0)))</f>
        <v>12</v>
      </c>
      <c r="P10" s="217">
        <f>IF(AND($M10&gt;0,$O10&gt;0),$O10/$M10-1,0)</f>
        <v>0.7341040462427746</v>
      </c>
      <c r="Q10" s="214" t="str">
        <f>IF($B10="","",TRIM('Master Data-2026'!L6))</f>
        <v>1 Month(Negotiable)</v>
      </c>
      <c r="R10" s="214">
        <f>IF($Q10="",0,IF(ISNUMBER(SEARCH("%",$Q10)),0,IFERROR(VALUE(LEFT($Q10,IF(NOT(OR(AND(MID($Q10,1,1)&gt;="0",MID($Q10,1,1)&lt;="9"),MID($Q10,1,1)=".")),0,IF(NOT(OR(AND(MID($Q10,2,1)&gt;="0",MID($Q10,2,1)&lt;="9"),MID($Q10,2,1)=".")),1,IF(NOT(OR(AND(MID($Q10,3,1)&gt;="0",MID($Q10,3,1)&lt;="9"),MID($Q10,3,1)=".")),2,IF(NOT(OR(AND(MID($Q10,4,1)&gt;="0",MID($Q10,4,1)&lt;="9"),MID($Q10,4,1)=".")),3,IF(NOT(OR(AND(MID($Q10,5,1)&gt;="0",MID($Q10,5,1)&lt;="9"),MID($Q10,5,1)=".")),4,IF(NOT(OR(AND(MID($Q10,6,1)&gt;="0",MID($Q10,6,1)&lt;="9"),MID($Q10,6,1)=".")),5,6)))))))),0)))</f>
        <v>1</v>
      </c>
      <c r="S10" s="218">
        <f>IF($Q10="",-1,IF(ISNUMBER(SEARCH("immediate",$Q10)),0,IF(ISNUMBER(SEARCH("month",$Q10)),IF($R10=0,-1,$R10*30),IF(ISNUMBER(SEARCH("day",$Q10)),IF($R10=0,-1,$R10),-1))))</f>
        <v>30</v>
      </c>
      <c r="T10" s="214" t="str">
        <f>IF($B10="","",IF($S10&lt;0,"Not recorded",IF($S10=0,"Immediate",IF($S10&lt;=30,"1-30 days",IF($S10&lt;=60,"31-60 days","60+ days")))))</f>
        <v>1-30 days</v>
      </c>
      <c r="U10" s="214">
        <f>IF($B10="","",IFERROR(MATCH($B10,'Submission template'!$D$17:$D$300,0),""))</f>
        <v>7</v>
      </c>
      <c r="V10" s="214" t="str">
        <f>IF($U10="","",IFERROR(TRIM(INDEX('Submission template'!$I$17:$I$300,$U10)),""))</f>
        <v>3.8 Years</v>
      </c>
      <c r="W10" s="219">
        <f>IF($V10="",0,IF(ISNUMBER(SEARCH("%",$V10)),0,IFERROR(VALUE(LEFT($V10,IF(NOT(OR(AND(MID($V10,1,1)&gt;="0",MID($V10,1,1)&lt;="9"),MID($V10,1,1)=".")),0,IF(NOT(OR(AND(MID($V10,2,1)&gt;="0",MID($V10,2,1)&lt;="9"),MID($V10,2,1)=".")),1,IF(NOT(OR(AND(MID($V10,3,1)&gt;="0",MID($V10,3,1)&lt;="9"),MID($V10,3,1)=".")),2,IF(NOT(OR(AND(MID($V10,4,1)&gt;="0",MID($V10,4,1)&lt;="9"),MID($V10,4,1)=".")),3,IF(NOT(OR(AND(MID($V10,5,1)&gt;="0",MID($V10,5,1)&lt;="9"),MID($V10,5,1)=".")),4,IF(NOT(OR(AND(MID($V10,6,1)&gt;="0",MID($V10,6,1)&lt;="9"),MID($V10,6,1)=".")),5,6)))))))),0)))</f>
        <v>3.8</v>
      </c>
      <c r="X10" s="214" t="str">
        <f>IF($U10="","",IFERROR(TRIM(INDEX('Submission template'!$J$17:$J$300,$U10)),""))</f>
        <v>React 3.8Y+ Node 3.8Y</v>
      </c>
      <c r="Y10" s="214" t="str">
        <f>IF($U10="","",IFERROR(TRIM(INDEX('Submission template'!$K$17:$K$300,$U10)),""))</f>
        <v>Business Core Solutions</v>
      </c>
      <c r="Z10" s="214" t="str">
        <f>IF($U10="","",IFERROR(TRIM(INDEX('Submission template'!$M$17:$M$300,$U10)),""))</f>
        <v>FullStack Developer</v>
      </c>
      <c r="AA10" s="214" t="str">
        <f>IF($U10="","",IFERROR(TRIM(INDEX('Submission template'!$O$17:$O$300,$U10)),""))</f>
        <v>Chennai</v>
      </c>
      <c r="AB10" s="214" t="str">
        <f>IF($U10="","",IFERROR(TRIM(INDEX('Submission template'!$S$17:$S$300,$U10)),""))</f>
        <v>Career Growth</v>
      </c>
      <c r="AC10" s="214">
        <f>IF($B10="",0,IF($U10="",0,1))</f>
        <v>1</v>
      </c>
      <c r="AD10" s="214">
        <f>IF($B10="",0,IF(OR($H10=TargetLocation,AND($AA10&lt;&gt;"",ISNUMBER(SEARCH(TargetLocation,$AA10)))),1,0))</f>
        <v>1</v>
      </c>
      <c r="AE10" s="214">
        <f>IF($B10="",0,IF(AND(OR(SelRecruiter="All",$C10=SelRecruiter),OR(SelCity="All",$H10=SelCity),OR(SelStage="All",$I10=SelStage),OR(SelRequisition="All",$F10=SelRequisition)),1,0))</f>
        <v>1</v>
      </c>
      <c r="AF10" s="214">
        <f>IF($B10="","",COUNT($AF$5:AF9)+1)</f>
        <v>5</v>
      </c>
      <c r="AG10" s="214">
        <f>IF($C10="","",IF(COUNTIF($C$6:$C10,$C10)=1,COUNT($AG$5:AG9)+1,""))</f>
      </c>
      <c r="AH10" s="214">
        <f>IF($F10="","",IF(COUNTIF($F$6:$F10,$F10)=1,COUNT($AH$5:AH9)+1,""))</f>
      </c>
      <c r="AI10" s="214">
        <f>IF($H10="","",IF(COUNTIF($H$6:$H10,$H10)=1,COUNT($AI$5:AI9)+1,""))</f>
      </c>
      <c r="AJ10" s="214">
        <f>IF(OR($B10="",$J10=0),"",$J10*100000000+IF(ISNUMBER($D10),$D10,0)*1000+(170-$A10))</f>
        <v>246247165</v>
      </c>
      <c r="AK10" s="214">
        <f>IF(OR($B10="",$W10&lt;=0),"",ROUND($W10*10,0)*100000+(170-$A10))</f>
        <v>3800165</v>
      </c>
      <c r="AL10" s="214">
        <f>IF(OR($B10="",$P10&lt;=0),"",ROUND($P10*10000,0)*1000+(170-$A10))</f>
        <v>7341165</v>
      </c>
      <c r="AM10" s="214">
        <f>IF(AND($W10&gt;0,$O10&gt;0),COUNT($AM$5:AM9)+1,"")</f>
        <v>2</v>
      </c>
      <c r="AN10">
        <f>IF($B10="",0,IF($G10="",0,SUMPRODUCT(MAX(ISNUMBER(SEARCH(LocPattern,$G10))*LocIdx))))</f>
        <v>16</v>
      </c>
      <c r="AO10" t="str">
        <f>IFERROR(INDEX($H$6:$H$125,MATCH(5,$AI$6:$AI$125,0)),"")</f>
        <v>Coimbatore</v>
      </c>
      <c r="AP10">
        <f>IF($AO10="",0,SUMPRODUCT($AE$6:$AE$125*($H$6:$H$125=$AO10)))</f>
        <v>2</v>
      </c>
      <c r="AQ10">
        <f>IF($AO10="","",$AP10*1000+(21-5))</f>
        <v>2016</v>
      </c>
      <c r="AS10">
        <f>IFERROR(INDEX($F$6:$F$125,MATCH(5,$AH$6:$AH$125,0)),"")</f>
      </c>
      <c r="AT10">
        <f>IF($AS10="",0,SUMPRODUCT($AE$6:$AE$125*($F$6:$F$125=$AS10)))</f>
        <v>0</v>
      </c>
      <c r="AU10">
        <f>IF($AS10="","",$AT10*1000+(21-5))</f>
      </c>
      <c r="AW10" t="str">
        <f>IFERROR(INDEX($C$6:$C$125,MATCH(5,$AG$6:$AG$125,0)),"")</f>
        <v>Kirthi</v>
      </c>
      <c r="AX10">
        <f>IF($AW10="",0,SUMPRODUCT($AE$6:$AE$125*($C$6:$C$125=$AW10)))</f>
        <v>8</v>
      </c>
      <c r="AY10">
        <f>IF($AW10="","",$AX10*1000+(21-5))</f>
        <v>8016</v>
      </c>
      <c r="BD10">
        <f>IFERROR(INDEX($W$6:$W$125,MATCH(5,$AM$6:$AM$125,0)),"")</f>
        <v>3.1</v>
      </c>
      <c r="BE10">
        <f>IFERROR(INDEX($O$6:$O$125,MATCH(5,$AM$6:$AM$125,0)),"")</f>
        <v>22</v>
      </c>
      <c r="BF10" t="str">
        <f>IFERROR(INDEX($B$6:$B$125,MATCH(5,$AM$6:$AM$125,0)),"")</f>
        <v>Hariprakash</v>
      </c>
      <c r="BH10" t="str">
        <f>IF($AW9="","",$AW9)</f>
        <v>Ananthy</v>
      </c>
      <c r="BI10" t="str">
        <f>IF($AO9="","",$AO9)</f>
        <v>Tirupati</v>
      </c>
      <c r="BJ10" t="str">
        <f>Reference!$B$10</f>
        <v>ZN Salary Discussion</v>
      </c>
      <c r="BK10">
        <f>IF($AS9="","",$AS9)</f>
      </c>
      <c r="BL10" t="str">
        <f>IFERROR(INDEX($B$6:$B$125,MATCH(5,$AF$6:$AF$125,0)),"")</f>
        <v>Mubbanthal Surya</v>
      </c>
    </row>
    <row r="11">
      <c r="A11" s="220" t="n">
        <v>6</v>
      </c>
      <c r="B11" s="220" t="str">
        <f>IF(TRIM('Master Data-2026'!D7)="","",TRIM('Master Data-2026'!D7))</f>
        <v>Govardhan</v>
      </c>
      <c r="C11" s="220" t="str">
        <f>IF($B11="","",TRIM('Master Data-2026'!A7))</f>
        <v>Sarath</v>
      </c>
      <c r="D11" s="221">
        <f>IF($B11="","",IF('Master Data-2026'!B7="","",'Master Data-2026'!B7))</f>
        <v>46247</v>
      </c>
      <c r="E11" s="220" t="str">
        <f>IF($B11="","",TRIM('Master Data-2026'!C7))</f>
        <v>August</v>
      </c>
      <c r="F11" s="220" t="str">
        <f>IF($B11="","",TRIM('Master Data-2026'!G7))</f>
        <v>Full Stack Developer</v>
      </c>
      <c r="G11" s="220" t="str">
        <f>IF($B11="","",TRIM('Master Data-2026'!F7))</f>
        <v>Chennai</v>
      </c>
      <c r="H11" s="220" t="str">
        <f>IF($B11="","",IF($G11="","Not recorded",IF($AN11=0,"Other",INDEX(LocCity,$AN11))))</f>
        <v>Chennai</v>
      </c>
      <c r="I11" s="220" t="str">
        <f>IF($B11="","",TRIM('Master Data-2026'!H7))</f>
        <v>ZN Submission</v>
      </c>
      <c r="J11" s="220">
        <f>IF($B11="",0,IFERROR(INDEX(StageOrderRef,MATCH($I11,StageNameRef,0)),0))</f>
        <v>2</v>
      </c>
      <c r="K11" s="220" t="str">
        <f>IF($B11="","",TRIM('Master Data-2026'!I7))</f>
        <v>Client Review</v>
      </c>
      <c r="L11" s="220" t="str">
        <f>IF($B11="","",TRIM('Master Data-2026'!J7))</f>
        <v>19 LPA</v>
      </c>
      <c r="M11" s="222">
        <f>IF($L11="",0,IF(ISNUMBER(SEARCH("%",$L11)),0,IFERROR(VALUE(LEFT($L11,IF(NOT(OR(AND(MID($L11,1,1)&gt;="0",MID($L11,1,1)&lt;="9"),MID($L11,1,1)=".")),0,IF(NOT(OR(AND(MID($L11,2,1)&gt;="0",MID($L11,2,1)&lt;="9"),MID($L11,2,1)=".")),1,IF(NOT(OR(AND(MID($L11,3,1)&gt;="0",MID($L11,3,1)&lt;="9"),MID($L11,3,1)=".")),2,IF(NOT(OR(AND(MID($L11,4,1)&gt;="0",MID($L11,4,1)&lt;="9"),MID($L11,4,1)=".")),3,IF(NOT(OR(AND(MID($L11,5,1)&gt;="0",MID($L11,5,1)&lt;="9"),MID($L11,5,1)=".")),4,IF(NOT(OR(AND(MID($L11,6,1)&gt;="0",MID($L11,6,1)&lt;="9"),MID($L11,6,1)=".")),5,6)))))))),0)))</f>
        <v>19</v>
      </c>
      <c r="N11" s="220" t="str">
        <f>IF($B11="","",TRIM('Master Data-2026'!K7))</f>
        <v>30 LPA(Negotiable)</v>
      </c>
      <c r="O11" s="222">
        <f>IF($N11="",0,IF(ISNUMBER(SEARCH("%",$N11)),0,IFERROR(VALUE(LEFT($N11,IF(NOT(OR(AND(MID($N11,1,1)&gt;="0",MID($N11,1,1)&lt;="9"),MID($N11,1,1)=".")),0,IF(NOT(OR(AND(MID($N11,2,1)&gt;="0",MID($N11,2,1)&lt;="9"),MID($N11,2,1)=".")),1,IF(NOT(OR(AND(MID($N11,3,1)&gt;="0",MID($N11,3,1)&lt;="9"),MID($N11,3,1)=".")),2,IF(NOT(OR(AND(MID($N11,4,1)&gt;="0",MID($N11,4,1)&lt;="9"),MID($N11,4,1)=".")),3,IF(NOT(OR(AND(MID($N11,5,1)&gt;="0",MID($N11,5,1)&lt;="9"),MID($N11,5,1)=".")),4,IF(NOT(OR(AND(MID($N11,6,1)&gt;="0",MID($N11,6,1)&lt;="9"),MID($N11,6,1)=".")),5,6)))))))),0)))</f>
        <v>30</v>
      </c>
      <c r="P11" s="223">
        <f>IF(AND($M11&gt;0,$O11&gt;0),$O11/$M11-1,0)</f>
        <v>0.5789473684210527</v>
      </c>
      <c r="Q11" s="220" t="str">
        <f>IF($B11="","",TRIM('Master Data-2026'!L7))</f>
        <v>1 Month(LWD 15th Sep)</v>
      </c>
      <c r="R11" s="220">
        <f>IF($Q11="",0,IF(ISNUMBER(SEARCH("%",$Q11)),0,IFERROR(VALUE(LEFT($Q11,IF(NOT(OR(AND(MID($Q11,1,1)&gt;="0",MID($Q11,1,1)&lt;="9"),MID($Q11,1,1)=".")),0,IF(NOT(OR(AND(MID($Q11,2,1)&gt;="0",MID($Q11,2,1)&lt;="9"),MID($Q11,2,1)=".")),1,IF(NOT(OR(AND(MID($Q11,3,1)&gt;="0",MID($Q11,3,1)&lt;="9"),MID($Q11,3,1)=".")),2,IF(NOT(OR(AND(MID($Q11,4,1)&gt;="0",MID($Q11,4,1)&lt;="9"),MID($Q11,4,1)=".")),3,IF(NOT(OR(AND(MID($Q11,5,1)&gt;="0",MID($Q11,5,1)&lt;="9"),MID($Q11,5,1)=".")),4,IF(NOT(OR(AND(MID($Q11,6,1)&gt;="0",MID($Q11,6,1)&lt;="9"),MID($Q11,6,1)=".")),5,6)))))))),0)))</f>
        <v>1</v>
      </c>
      <c r="S11" s="224">
        <f>IF($Q11="",-1,IF(ISNUMBER(SEARCH("immediate",$Q11)),0,IF(ISNUMBER(SEARCH("month",$Q11)),IF($R11=0,-1,$R11*30),IF(ISNUMBER(SEARCH("day",$Q11)),IF($R11=0,-1,$R11),-1))))</f>
        <v>30</v>
      </c>
      <c r="T11" s="220" t="str">
        <f>IF($B11="","",IF($S11&lt;0,"Not recorded",IF($S11=0,"Immediate",IF($S11&lt;=30,"1-30 days",IF($S11&lt;=60,"31-60 days","60+ days")))))</f>
        <v>1-30 days</v>
      </c>
      <c r="U11" s="220">
        <f>IF($B11="","",IFERROR(MATCH($B11,'Submission template'!$D$17:$D$300,0),""))</f>
        <v>13</v>
      </c>
      <c r="V11" s="220" t="str">
        <f>IF($U11="","",IFERROR(TRIM(INDEX('Submission template'!$I$17:$I$300,$U11)),""))</f>
        <v>8 Years</v>
      </c>
      <c r="W11" s="225">
        <f>IF($V11="",0,IF(ISNUMBER(SEARCH("%",$V11)),0,IFERROR(VALUE(LEFT($V11,IF(NOT(OR(AND(MID($V11,1,1)&gt;="0",MID($V11,1,1)&lt;="9"),MID($V11,1,1)=".")),0,IF(NOT(OR(AND(MID($V11,2,1)&gt;="0",MID($V11,2,1)&lt;="9"),MID($V11,2,1)=".")),1,IF(NOT(OR(AND(MID($V11,3,1)&gt;="0",MID($V11,3,1)&lt;="9"),MID($V11,3,1)=".")),2,IF(NOT(OR(AND(MID($V11,4,1)&gt;="0",MID($V11,4,1)&lt;="9"),MID($V11,4,1)=".")),3,IF(NOT(OR(AND(MID($V11,5,1)&gt;="0",MID($V11,5,1)&lt;="9"),MID($V11,5,1)=".")),4,IF(NOT(OR(AND(MID($V11,6,1)&gt;="0",MID($V11,6,1)&lt;="9"),MID($V11,6,1)=".")),5,6)))))))),0)))</f>
        <v>8</v>
      </c>
      <c r="X11" s="220" t="str">
        <f>IF($U11="","",IFERROR(TRIM(INDEX('Submission template'!$J$17:$J$300,$U11)),""))</f>
        <v>React 3Y + Node 7Y</v>
      </c>
      <c r="Y11" s="220" t="str">
        <f>IF($U11="","",IFERROR(TRIM(INDEX('Submission template'!$K$17:$K$300,$U11)),""))</f>
        <v>Indium Software</v>
      </c>
      <c r="Z11" s="220" t="str">
        <f>IF($U11="","",IFERROR(TRIM(INDEX('Submission template'!$M$17:$M$300,$U11)),""))</f>
        <v>SSE</v>
      </c>
      <c r="AA11" s="220" t="str">
        <f>IF($U11="","",IFERROR(TRIM(INDEX('Submission template'!$O$17:$O$300,$U11)),""))</f>
        <v>Chennai</v>
      </c>
      <c r="AB11" s="220" t="str">
        <f>IF($U11="","",IFERROR(TRIM(INDEX('Submission template'!$S$17:$S$300,$U11)),""))</f>
        <v>Preferring Chennai</v>
      </c>
      <c r="AC11" s="220">
        <f>IF($B11="",0,IF($U11="",0,1))</f>
        <v>1</v>
      </c>
      <c r="AD11" s="220">
        <f>IF($B11="",0,IF(OR($H11=TargetLocation,AND($AA11&lt;&gt;"",ISNUMBER(SEARCH(TargetLocation,$AA11)))),1,0))</f>
        <v>1</v>
      </c>
      <c r="AE11" s="220">
        <f>IF($B11="",0,IF(AND(OR(SelRecruiter="All",$C11=SelRecruiter),OR(SelCity="All",$H11=SelCity),OR(SelStage="All",$I11=SelStage),OR(SelRequisition="All",$F11=SelRequisition)),1,0))</f>
        <v>1</v>
      </c>
      <c r="AF11" s="220">
        <f>IF($B11="","",COUNT($AF$5:AF10)+1)</f>
        <v>6</v>
      </c>
      <c r="AG11" s="220">
        <f>IF($C11="","",IF(COUNTIF($C$6:$C11,$C11)=1,COUNT($AG$5:AG10)+1,""))</f>
      </c>
      <c r="AH11" s="220">
        <f>IF($F11="","",IF(COUNTIF($F$6:$F11,$F11)=1,COUNT($AH$5:AH10)+1,""))</f>
      </c>
      <c r="AI11" s="220">
        <f>IF($H11="","",IF(COUNTIF($H$6:$H11,$H11)=1,COUNT($AI$5:AI10)+1,""))</f>
      </c>
      <c r="AJ11" s="220">
        <f>IF(OR($B11="",$J11=0),"",$J11*100000000+IF(ISNUMBER($D11),$D11,0)*1000+(170-$A11))</f>
        <v>246247164</v>
      </c>
      <c r="AK11" s="220">
        <f>IF(OR($B11="",$W11&lt;=0),"",ROUND($W11*10,0)*100000+(170-$A11))</f>
        <v>8000164</v>
      </c>
      <c r="AL11" s="220">
        <f>IF(OR($B11="",$P11&lt;=0),"",ROUND($P11*10000,0)*1000+(170-$A11))</f>
        <v>5789164</v>
      </c>
      <c r="AM11" s="220">
        <f>IF(AND($W11&gt;0,$O11&gt;0),COUNT($AM$5:AM10)+1,"")</f>
        <v>3</v>
      </c>
      <c r="AN11">
        <f>IF($B11="",0,IF($G11="",0,SUMPRODUCT(MAX(ISNUMBER(SEARCH(LocPattern,$G11))*LocIdx))))</f>
        <v>16</v>
      </c>
      <c r="AO11" t="str">
        <f>IFERROR(INDEX($H$6:$H$125,MATCH(6,$AI$6:$AI$125,0)),"")</f>
        <v>Ongole</v>
      </c>
      <c r="AP11">
        <f>IF($AO11="",0,SUMPRODUCT($AE$6:$AE$125*($H$6:$H$125=$AO11)))</f>
        <v>1</v>
      </c>
      <c r="AQ11">
        <f>IF($AO11="","",$AP11*1000+(21-6))</f>
        <v>1015</v>
      </c>
      <c r="AS11">
        <f>IFERROR(INDEX($F$6:$F$125,MATCH(6,$AH$6:$AH$125,0)),"")</f>
      </c>
      <c r="AT11">
        <f>IF($AS11="",0,SUMPRODUCT($AE$6:$AE$125*($F$6:$F$125=$AS11)))</f>
        <v>0</v>
      </c>
      <c r="AU11">
        <f>IF($AS11="","",$AT11*1000+(21-6))</f>
      </c>
      <c r="AW11">
        <f>IFERROR(INDEX($C$6:$C$125,MATCH(6,$AG$6:$AG$125,0)),"")</f>
      </c>
      <c r="AX11">
        <f>IF($AW11="",0,SUMPRODUCT($AE$6:$AE$125*($C$6:$C$125=$AW11)))</f>
        <v>0</v>
      </c>
      <c r="AY11">
        <f>IF($AW11="","",$AX11*1000+(21-6))</f>
      </c>
      <c r="BD11">
        <f>IFERROR(INDEX($W$6:$W$125,MATCH(6,$AM$6:$AM$125,0)),"")</f>
        <v>5.6</v>
      </c>
      <c r="BE11">
        <f>IFERROR(INDEX($O$6:$O$125,MATCH(6,$AM$6:$AM$125,0)),"")</f>
        <v>18</v>
      </c>
      <c r="BF11" t="str">
        <f>IFERROR(INDEX($B$6:$B$125,MATCH(6,$AM$6:$AM$125,0)),"")</f>
        <v>Jayaselva Manikannan</v>
      </c>
      <c r="BH11" t="str">
        <f>IF($AW10="","",$AW10)</f>
        <v>Kirthi</v>
      </c>
      <c r="BI11" t="str">
        <f>IF($AO10="","",$AO10)</f>
        <v>Coimbatore</v>
      </c>
      <c r="BJ11" t="str">
        <f>Reference!$B$11</f>
        <v>ZN Offer</v>
      </c>
      <c r="BK11">
        <f>IF($AS10="","",$AS10)</f>
      </c>
      <c r="BL11" t="str">
        <f>IFERROR(INDEX($B$6:$B$125,MATCH(6,$AF$6:$AF$125,0)),"")</f>
        <v>Govardhan</v>
      </c>
    </row>
    <row r="12">
      <c r="A12" s="214" t="n">
        <v>7</v>
      </c>
      <c r="B12" s="214" t="str">
        <f>IF(TRIM('Master Data-2026'!D8)="","",TRIM('Master Data-2026'!D8))</f>
        <v>Saravana Ganesh S</v>
      </c>
      <c r="C12" s="214" t="str">
        <f>IF($B12="","",TRIM('Master Data-2026'!A8))</f>
        <v>Rujuta</v>
      </c>
      <c r="D12" s="215">
        <f>IF($B12="","",IF('Master Data-2026'!B8="","",'Master Data-2026'!B8))</f>
        <v>46247</v>
      </c>
      <c r="E12" s="214" t="str">
        <f>IF($B12="","",TRIM('Master Data-2026'!C8))</f>
        <v>August</v>
      </c>
      <c r="F12" s="214" t="str">
        <f>IF($B12="","",TRIM('Master Data-2026'!G8))</f>
        <v>Full Stack Developer</v>
      </c>
      <c r="G12" s="214" t="str">
        <f>IF($B12="","",TRIM('Master Data-2026'!F8))</f>
        <v>Chennai</v>
      </c>
      <c r="H12" s="214" t="str">
        <f>IF($B12="","",IF($G12="","Not recorded",IF($AN12=0,"Other",INDEX(LocCity,$AN12))))</f>
        <v>Chennai</v>
      </c>
      <c r="I12" s="214" t="str">
        <f>IF($B12="","",TRIM('Master Data-2026'!H8))</f>
        <v>ZN Submission</v>
      </c>
      <c r="J12" s="214">
        <f>IF($B12="",0,IFERROR(INDEX(StageOrderRef,MATCH($I12,StageNameRef,0)),0))</f>
        <v>2</v>
      </c>
      <c r="K12" s="214" t="str">
        <f>IF($B12="","",TRIM('Master Data-2026'!I8))</f>
        <v>Client Review</v>
      </c>
      <c r="L12" s="214" t="str">
        <f>IF($B12="","",TRIM('Master Data-2026'!J8))</f>
        <v>15 LPA</v>
      </c>
      <c r="M12" s="216">
        <f>IF($L12="",0,IF(ISNUMBER(SEARCH("%",$L12)),0,IFERROR(VALUE(LEFT($L12,IF(NOT(OR(AND(MID($L12,1,1)&gt;="0",MID($L12,1,1)&lt;="9"),MID($L12,1,1)=".")),0,IF(NOT(OR(AND(MID($L12,2,1)&gt;="0",MID($L12,2,1)&lt;="9"),MID($L12,2,1)=".")),1,IF(NOT(OR(AND(MID($L12,3,1)&gt;="0",MID($L12,3,1)&lt;="9"),MID($L12,3,1)=".")),2,IF(NOT(OR(AND(MID($L12,4,1)&gt;="0",MID($L12,4,1)&lt;="9"),MID($L12,4,1)=".")),3,IF(NOT(OR(AND(MID($L12,5,1)&gt;="0",MID($L12,5,1)&lt;="9"),MID($L12,5,1)=".")),4,IF(NOT(OR(AND(MID($L12,6,1)&gt;="0",MID($L12,6,1)&lt;="9"),MID($L12,6,1)=".")),5,6)))))))),0)))</f>
        <v>15</v>
      </c>
      <c r="N12" s="214" t="str">
        <f>IF($B12="","",TRIM('Master Data-2026'!K8))</f>
        <v>20 LPA</v>
      </c>
      <c r="O12" s="216">
        <f>IF($N12="",0,IF(ISNUMBER(SEARCH("%",$N12)),0,IFERROR(VALUE(LEFT($N12,IF(NOT(OR(AND(MID($N12,1,1)&gt;="0",MID($N12,1,1)&lt;="9"),MID($N12,1,1)=".")),0,IF(NOT(OR(AND(MID($N12,2,1)&gt;="0",MID($N12,2,1)&lt;="9"),MID($N12,2,1)=".")),1,IF(NOT(OR(AND(MID($N12,3,1)&gt;="0",MID($N12,3,1)&lt;="9"),MID($N12,3,1)=".")),2,IF(NOT(OR(AND(MID($N12,4,1)&gt;="0",MID($N12,4,1)&lt;="9"),MID($N12,4,1)=".")),3,IF(NOT(OR(AND(MID($N12,5,1)&gt;="0",MID($N12,5,1)&lt;="9"),MID($N12,5,1)=".")),4,IF(NOT(OR(AND(MID($N12,6,1)&gt;="0",MID($N12,6,1)&lt;="9"),MID($N12,6,1)=".")),5,6)))))))),0)))</f>
        <v>20</v>
      </c>
      <c r="P12" s="217">
        <f>IF(AND($M12&gt;0,$O12&gt;0),$O12/$M12-1,0)</f>
        <v>0.33333333333333326</v>
      </c>
      <c r="Q12" s="214" t="str">
        <f>IF($B12="","",TRIM('Master Data-2026'!L8))</f>
        <v>30 days</v>
      </c>
      <c r="R12" s="214">
        <f>IF($Q12="",0,IF(ISNUMBER(SEARCH("%",$Q12)),0,IFERROR(VALUE(LEFT($Q12,IF(NOT(OR(AND(MID($Q12,1,1)&gt;="0",MID($Q12,1,1)&lt;="9"),MID($Q12,1,1)=".")),0,IF(NOT(OR(AND(MID($Q12,2,1)&gt;="0",MID($Q12,2,1)&lt;="9"),MID($Q12,2,1)=".")),1,IF(NOT(OR(AND(MID($Q12,3,1)&gt;="0",MID($Q12,3,1)&lt;="9"),MID($Q12,3,1)=".")),2,IF(NOT(OR(AND(MID($Q12,4,1)&gt;="0",MID($Q12,4,1)&lt;="9"),MID($Q12,4,1)=".")),3,IF(NOT(OR(AND(MID($Q12,5,1)&gt;="0",MID($Q12,5,1)&lt;="9"),MID($Q12,5,1)=".")),4,IF(NOT(OR(AND(MID($Q12,6,1)&gt;="0",MID($Q12,6,1)&lt;="9"),MID($Q12,6,1)=".")),5,6)))))))),0)))</f>
        <v>30</v>
      </c>
      <c r="S12" s="218">
        <f>IF($Q12="",-1,IF(ISNUMBER(SEARCH("immediate",$Q12)),0,IF(ISNUMBER(SEARCH("month",$Q12)),IF($R12=0,-1,$R12*30),IF(ISNUMBER(SEARCH("day",$Q12)),IF($R12=0,-1,$R12),-1))))</f>
        <v>30</v>
      </c>
      <c r="T12" s="214" t="str">
        <f>IF($B12="","",IF($S12&lt;0,"Not recorded",IF($S12=0,"Immediate",IF($S12&lt;=30,"1-30 days",IF($S12&lt;=60,"31-60 days","60+ days")))))</f>
        <v>1-30 days</v>
      </c>
      <c r="U12" s="214">
        <f>IF($B12="","",IFERROR(MATCH($B12,'Submission template'!$D$17:$D$300,0),""))</f>
        <v>4</v>
      </c>
      <c r="V12" s="214" t="str">
        <f>IF($U12="","",IFERROR(TRIM(INDEX('Submission template'!$I$17:$I$300,$U12)),""))</f>
        <v>4.9 years</v>
      </c>
      <c r="W12" s="219">
        <f>IF($V12="",0,IF(ISNUMBER(SEARCH("%",$V12)),0,IFERROR(VALUE(LEFT($V12,IF(NOT(OR(AND(MID($V12,1,1)&gt;="0",MID($V12,1,1)&lt;="9"),MID($V12,1,1)=".")),0,IF(NOT(OR(AND(MID($V12,2,1)&gt;="0",MID($V12,2,1)&lt;="9"),MID($V12,2,1)=".")),1,IF(NOT(OR(AND(MID($V12,3,1)&gt;="0",MID($V12,3,1)&lt;="9"),MID($V12,3,1)=".")),2,IF(NOT(OR(AND(MID($V12,4,1)&gt;="0",MID($V12,4,1)&lt;="9"),MID($V12,4,1)=".")),3,IF(NOT(OR(AND(MID($V12,5,1)&gt;="0",MID($V12,5,1)&lt;="9"),MID($V12,5,1)=".")),4,IF(NOT(OR(AND(MID($V12,6,1)&gt;="0",MID($V12,6,1)&lt;="9"),MID($V12,6,1)=".")),5,6)))))))),0)))</f>
        <v>4.9</v>
      </c>
      <c r="X12" s="214" t="str">
        <f>IF($U12="","",IFERROR(TRIM(INDEX('Submission template'!$J$17:$J$300,$U12)),""))</f>
        <v>React 3Y+Node 4.9Y</v>
      </c>
      <c r="Y12" s="214" t="str">
        <f>IF($U12="","",IFERROR(TRIM(INDEX('Submission template'!$K$17:$K$300,$U12)),""))</f>
        <v>Primus Global</v>
      </c>
      <c r="Z12" s="214" t="str">
        <f>IF($U12="","",IFERROR(TRIM(INDEX('Submission template'!$M$17:$M$300,$U12)),""))</f>
        <v>Software Development Engineer</v>
      </c>
      <c r="AA12" s="214" t="str">
        <f>IF($U12="","",IFERROR(TRIM(INDEX('Submission template'!$O$17:$O$300,$U12)),""))</f>
        <v>Chennai</v>
      </c>
      <c r="AB12" s="214" t="str">
        <f>IF($U12="","",IFERROR(TRIM(INDEX('Submission template'!$S$17:$S$300,$U12)),""))</f>
        <v>Career Growth</v>
      </c>
      <c r="AC12" s="214">
        <f>IF($B12="",0,IF($U12="",0,1))</f>
        <v>1</v>
      </c>
      <c r="AD12" s="214">
        <f>IF($B12="",0,IF(OR($H12=TargetLocation,AND($AA12&lt;&gt;"",ISNUMBER(SEARCH(TargetLocation,$AA12)))),1,0))</f>
        <v>1</v>
      </c>
      <c r="AE12" s="214">
        <f>IF($B12="",0,IF(AND(OR(SelRecruiter="All",$C12=SelRecruiter),OR(SelCity="All",$H12=SelCity),OR(SelStage="All",$I12=SelStage),OR(SelRequisition="All",$F12=SelRequisition)),1,0))</f>
        <v>1</v>
      </c>
      <c r="AF12" s="214">
        <f>IF($B12="","",COUNT($AF$5:AF11)+1)</f>
        <v>7</v>
      </c>
      <c r="AG12" s="214">
        <f>IF($C12="","",IF(COUNTIF($C$6:$C12,$C12)=1,COUNT($AG$5:AG11)+1,""))</f>
        <v>2</v>
      </c>
      <c r="AH12" s="214">
        <f>IF($F12="","",IF(COUNTIF($F$6:$F12,$F12)=1,COUNT($AH$5:AH11)+1,""))</f>
      </c>
      <c r="AI12" s="214">
        <f>IF($H12="","",IF(COUNTIF($H$6:$H12,$H12)=1,COUNT($AI$5:AI11)+1,""))</f>
      </c>
      <c r="AJ12" s="214">
        <f>IF(OR($B12="",$J12=0),"",$J12*100000000+IF(ISNUMBER($D12),$D12,0)*1000+(170-$A12))</f>
        <v>246247163</v>
      </c>
      <c r="AK12" s="214">
        <f>IF(OR($B12="",$W12&lt;=0),"",ROUND($W12*10,0)*100000+(170-$A12))</f>
        <v>4900163</v>
      </c>
      <c r="AL12" s="214">
        <f>IF(OR($B12="",$P12&lt;=0),"",ROUND($P12*10000,0)*1000+(170-$A12))</f>
        <v>3333163</v>
      </c>
      <c r="AM12" s="214">
        <f>IF(AND($W12&gt;0,$O12&gt;0),COUNT($AM$5:AM11)+1,"")</f>
        <v>4</v>
      </c>
      <c r="AN12">
        <f>IF($B12="",0,IF($G12="",0,SUMPRODUCT(MAX(ISNUMBER(SEARCH(LocPattern,$G12))*LocIdx))))</f>
        <v>16</v>
      </c>
      <c r="AO12" t="str">
        <f>IFERROR(INDEX($H$6:$H$125,MATCH(7,$AI$6:$AI$125,0)),"")</f>
        <v>Salem</v>
      </c>
      <c r="AP12">
        <f>IF($AO12="",0,SUMPRODUCT($AE$6:$AE$125*($H$6:$H$125=$AO12)))</f>
        <v>1</v>
      </c>
      <c r="AQ12">
        <f>IF($AO12="","",$AP12*1000+(21-7))</f>
        <v>1014</v>
      </c>
      <c r="AS12">
        <f>IFERROR(INDEX($F$6:$F$125,MATCH(7,$AH$6:$AH$125,0)),"")</f>
      </c>
      <c r="AT12">
        <f>IF($AS12="",0,SUMPRODUCT($AE$6:$AE$125*($F$6:$F$125=$AS12)))</f>
        <v>0</v>
      </c>
      <c r="AU12">
        <f>IF($AS12="","",$AT12*1000+(21-7))</f>
      </c>
      <c r="AW12">
        <f>IFERROR(INDEX($C$6:$C$125,MATCH(7,$AG$6:$AG$125,0)),"")</f>
      </c>
      <c r="AX12">
        <f>IF($AW12="",0,SUMPRODUCT($AE$6:$AE$125*($C$6:$C$125=$AW12)))</f>
        <v>0</v>
      </c>
      <c r="AY12">
        <f>IF($AW12="","",$AX12*1000+(21-7))</f>
      </c>
      <c r="BD12">
        <f>IFERROR(INDEX($W$6:$W$125,MATCH(7,$AM$6:$AM$125,0)),"")</f>
        <v>8.2</v>
      </c>
      <c r="BE12">
        <f>IFERROR(INDEX($O$6:$O$125,MATCH(7,$AM$6:$AM$125,0)),"")</f>
        <v>35</v>
      </c>
      <c r="BF12" t="str">
        <f>IFERROR(INDEX($B$6:$B$125,MATCH(7,$AM$6:$AM$125,0)),"")</f>
        <v>Yuva Charan Reddy Durgam</v>
      </c>
      <c r="BH12">
        <f>IF($AW11="","",$AW11)</f>
      </c>
      <c r="BI12" t="str">
        <f>IF($AO11="","",$AO11)</f>
        <v>Ongole</v>
      </c>
      <c r="BJ12" t="str">
        <f>Reference!$B$12</f>
        <v>ZN Hire</v>
      </c>
      <c r="BK12">
        <f>IF($AS11="","",$AS11)</f>
      </c>
      <c r="BL12" t="str">
        <f>IFERROR(INDEX($B$6:$B$125,MATCH(7,$AF$6:$AF$125,0)),"")</f>
        <v>Saravana Ganesh S</v>
      </c>
    </row>
    <row r="13">
      <c r="A13" s="220" t="n">
        <v>8</v>
      </c>
      <c r="B13" s="220" t="str">
        <f>IF(TRIM('Master Data-2026'!D9)="","",TRIM('Master Data-2026'!D9))</f>
        <v>S Naveen Kumar</v>
      </c>
      <c r="C13" s="220" t="str">
        <f>IF($B13="","",TRIM('Master Data-2026'!A9))</f>
        <v>Rujuta</v>
      </c>
      <c r="D13" s="221">
        <f>IF($B13="","",IF('Master Data-2026'!B9="","",'Master Data-2026'!B9))</f>
        <v>46247</v>
      </c>
      <c r="E13" s="220" t="str">
        <f>IF($B13="","",TRIM('Master Data-2026'!C9))</f>
        <v>August</v>
      </c>
      <c r="F13" s="220" t="str">
        <f>IF($B13="","",TRIM('Master Data-2026'!G9))</f>
        <v>Full Stack Developer</v>
      </c>
      <c r="G13" s="220" t="str">
        <f>IF($B13="","",TRIM('Master Data-2026'!F9))</f>
        <v>Bengaluru</v>
      </c>
      <c r="H13" s="220" t="str">
        <f>IF($B13="","",IF($G13="","Not recorded",IF($AN13=0,"Other",INDEX(LocCity,$AN13))))</f>
        <v>Bangalore</v>
      </c>
      <c r="I13" s="220" t="str">
        <f>IF($B13="","",TRIM('Master Data-2026'!H9))</f>
        <v>Telephonic Screening</v>
      </c>
      <c r="J13" s="220">
        <f>IF($B13="",0,IFERROR(INDEX(StageOrderRef,MATCH($I13,StageNameRef,0)),0))</f>
        <v>1</v>
      </c>
      <c r="K13" s="220" t="str">
        <f>IF($B13="","",TRIM('Master Data-2026'!I9))</f>
        <v>Have experience in NEST.JS not in node.js</v>
      </c>
      <c r="L13" s="220">
        <f>IF($B13="","",TRIM('Master Data-2026'!J9))</f>
      </c>
      <c r="M13" s="222">
        <f>IF($L13="",0,IF(ISNUMBER(SEARCH("%",$L13)),0,IFERROR(VALUE(LEFT($L13,IF(NOT(OR(AND(MID($L13,1,1)&gt;="0",MID($L13,1,1)&lt;="9"),MID($L13,1,1)=".")),0,IF(NOT(OR(AND(MID($L13,2,1)&gt;="0",MID($L13,2,1)&lt;="9"),MID($L13,2,1)=".")),1,IF(NOT(OR(AND(MID($L13,3,1)&gt;="0",MID($L13,3,1)&lt;="9"),MID($L13,3,1)=".")),2,IF(NOT(OR(AND(MID($L13,4,1)&gt;="0",MID($L13,4,1)&lt;="9"),MID($L13,4,1)=".")),3,IF(NOT(OR(AND(MID($L13,5,1)&gt;="0",MID($L13,5,1)&lt;="9"),MID($L13,5,1)=".")),4,IF(NOT(OR(AND(MID($L13,6,1)&gt;="0",MID($L13,6,1)&lt;="9"),MID($L13,6,1)=".")),5,6)))))))),0)))</f>
        <v>0</v>
      </c>
      <c r="N13" s="220">
        <f>IF($B13="","",TRIM('Master Data-2026'!K9))</f>
      </c>
      <c r="O13" s="222">
        <f>IF($N13="",0,IF(ISNUMBER(SEARCH("%",$N13)),0,IFERROR(VALUE(LEFT($N13,IF(NOT(OR(AND(MID($N13,1,1)&gt;="0",MID($N13,1,1)&lt;="9"),MID($N13,1,1)=".")),0,IF(NOT(OR(AND(MID($N13,2,1)&gt;="0",MID($N13,2,1)&lt;="9"),MID($N13,2,1)=".")),1,IF(NOT(OR(AND(MID($N13,3,1)&gt;="0",MID($N13,3,1)&lt;="9"),MID($N13,3,1)=".")),2,IF(NOT(OR(AND(MID($N13,4,1)&gt;="0",MID($N13,4,1)&lt;="9"),MID($N13,4,1)=".")),3,IF(NOT(OR(AND(MID($N13,5,1)&gt;="0",MID($N13,5,1)&lt;="9"),MID($N13,5,1)=".")),4,IF(NOT(OR(AND(MID($N13,6,1)&gt;="0",MID($N13,6,1)&lt;="9"),MID($N13,6,1)=".")),5,6)))))))),0)))</f>
        <v>0</v>
      </c>
      <c r="P13" s="223">
        <f>IF(AND($M13&gt;0,$O13&gt;0),$O13/$M13-1,0)</f>
        <v>0</v>
      </c>
      <c r="Q13" s="220">
        <f>IF($B13="","",TRIM('Master Data-2026'!L9))</f>
      </c>
      <c r="R13" s="220">
        <f>IF($Q13="",0,IF(ISNUMBER(SEARCH("%",$Q13)),0,IFERROR(VALUE(LEFT($Q13,IF(NOT(OR(AND(MID($Q13,1,1)&gt;="0",MID($Q13,1,1)&lt;="9"),MID($Q13,1,1)=".")),0,IF(NOT(OR(AND(MID($Q13,2,1)&gt;="0",MID($Q13,2,1)&lt;="9"),MID($Q13,2,1)=".")),1,IF(NOT(OR(AND(MID($Q13,3,1)&gt;="0",MID($Q13,3,1)&lt;="9"),MID($Q13,3,1)=".")),2,IF(NOT(OR(AND(MID($Q13,4,1)&gt;="0",MID($Q13,4,1)&lt;="9"),MID($Q13,4,1)=".")),3,IF(NOT(OR(AND(MID($Q13,5,1)&gt;="0",MID($Q13,5,1)&lt;="9"),MID($Q13,5,1)=".")),4,IF(NOT(OR(AND(MID($Q13,6,1)&gt;="0",MID($Q13,6,1)&lt;="9"),MID($Q13,6,1)=".")),5,6)))))))),0)))</f>
        <v>0</v>
      </c>
      <c r="S13" s="224">
        <f>IF($Q13="",-1,IF(ISNUMBER(SEARCH("immediate",$Q13)),0,IF(ISNUMBER(SEARCH("month",$Q13)),IF($R13=0,-1,$R13*30),IF(ISNUMBER(SEARCH("day",$Q13)),IF($R13=0,-1,$R13),-1))))</f>
        <v>-1</v>
      </c>
      <c r="T13" s="220" t="str">
        <f>IF($B13="","",IF($S13&lt;0,"Not recorded",IF($S13=0,"Immediate",IF($S13&lt;=30,"1-30 days",IF($S13&lt;=60,"31-60 days","60+ days")))))</f>
        <v>Not recorded</v>
      </c>
      <c r="U13" s="220">
        <f>IF($B13="","",IFERROR(MATCH($B13,'Submission template'!$D$17:$D$300,0),""))</f>
      </c>
      <c r="V13" s="220">
        <f>IF($U13="","",IFERROR(TRIM(INDEX('Submission template'!$I$17:$I$300,$U13)),""))</f>
      </c>
      <c r="W13" s="225">
        <f>IF($V13="",0,IF(ISNUMBER(SEARCH("%",$V13)),0,IFERROR(VALUE(LEFT($V13,IF(NOT(OR(AND(MID($V13,1,1)&gt;="0",MID($V13,1,1)&lt;="9"),MID($V13,1,1)=".")),0,IF(NOT(OR(AND(MID($V13,2,1)&gt;="0",MID($V13,2,1)&lt;="9"),MID($V13,2,1)=".")),1,IF(NOT(OR(AND(MID($V13,3,1)&gt;="0",MID($V13,3,1)&lt;="9"),MID($V13,3,1)=".")),2,IF(NOT(OR(AND(MID($V13,4,1)&gt;="0",MID($V13,4,1)&lt;="9"),MID($V13,4,1)=".")),3,IF(NOT(OR(AND(MID($V13,5,1)&gt;="0",MID($V13,5,1)&lt;="9"),MID($V13,5,1)=".")),4,IF(NOT(OR(AND(MID($V13,6,1)&gt;="0",MID($V13,6,1)&lt;="9"),MID($V13,6,1)=".")),5,6)))))))),0)))</f>
        <v>0</v>
      </c>
      <c r="X13" s="220">
        <f>IF($U13="","",IFERROR(TRIM(INDEX('Submission template'!$J$17:$J$300,$U13)),""))</f>
      </c>
      <c r="Y13" s="220">
        <f>IF($U13="","",IFERROR(TRIM(INDEX('Submission template'!$K$17:$K$300,$U13)),""))</f>
      </c>
      <c r="Z13" s="220">
        <f>IF($U13="","",IFERROR(TRIM(INDEX('Submission template'!$M$17:$M$300,$U13)),""))</f>
      </c>
      <c r="AA13" s="220">
        <f>IF($U13="","",IFERROR(TRIM(INDEX('Submission template'!$O$17:$O$300,$U13)),""))</f>
      </c>
      <c r="AB13" s="220">
        <f>IF($U13="","",IFERROR(TRIM(INDEX('Submission template'!$S$17:$S$300,$U13)),""))</f>
      </c>
      <c r="AC13" s="220">
        <f>IF($B13="",0,IF($U13="",0,1))</f>
        <v>0</v>
      </c>
      <c r="AD13" s="220">
        <f>IF($B13="",0,IF(OR($H13=TargetLocation,AND($AA13&lt;&gt;"",ISNUMBER(SEARCH(TargetLocation,$AA13)))),1,0))</f>
        <v>0</v>
      </c>
      <c r="AE13" s="220">
        <f>IF($B13="",0,IF(AND(OR(SelRecruiter="All",$C13=SelRecruiter),OR(SelCity="All",$H13=SelCity),OR(SelStage="All",$I13=SelStage),OR(SelRequisition="All",$F13=SelRequisition)),1,0))</f>
        <v>1</v>
      </c>
      <c r="AF13" s="220">
        <f>IF($B13="","",COUNT($AF$5:AF12)+1)</f>
        <v>8</v>
      </c>
      <c r="AG13" s="220">
        <f>IF($C13="","",IF(COUNTIF($C$6:$C13,$C13)=1,COUNT($AG$5:AG12)+1,""))</f>
      </c>
      <c r="AH13" s="220">
        <f>IF($F13="","",IF(COUNTIF($F$6:$F13,$F13)=1,COUNT($AH$5:AH12)+1,""))</f>
      </c>
      <c r="AI13" s="220">
        <f>IF($H13="","",IF(COUNTIF($H$6:$H13,$H13)=1,COUNT($AI$5:AI12)+1,""))</f>
        <v>2</v>
      </c>
      <c r="AJ13" s="220">
        <f>IF(OR($B13="",$J13=0),"",$J13*100000000+IF(ISNUMBER($D13),$D13,0)*1000+(170-$A13))</f>
        <v>146247162</v>
      </c>
      <c r="AK13" s="220">
        <f>IF(OR($B13="",$W13&lt;=0),"",ROUND($W13*10,0)*100000+(170-$A13))</f>
      </c>
      <c r="AL13" s="220">
        <f>IF(OR($B13="",$P13&lt;=0),"",ROUND($P13*10000,0)*1000+(170-$A13))</f>
      </c>
      <c r="AM13" s="220">
        <f>IF(AND($W13&gt;0,$O13&gt;0),COUNT($AM$5:AM12)+1,"")</f>
      </c>
      <c r="AN13">
        <f>IF($B13="",0,IF($G13="",0,SUMPRODUCT(MAX(ISNUMBER(SEARCH(LocPattern,$G13))*LocIdx))))</f>
        <v>17</v>
      </c>
      <c r="AO13" t="str">
        <f>IFERROR(INDEX($H$6:$H$125,MATCH(8,$AI$6:$AI$125,0)),"")</f>
        <v>Puducherry</v>
      </c>
      <c r="AP13">
        <f>IF($AO13="",0,SUMPRODUCT($AE$6:$AE$125*($H$6:$H$125=$AO13)))</f>
        <v>1</v>
      </c>
      <c r="AQ13">
        <f>IF($AO13="","",$AP13*1000+(21-8))</f>
        <v>1013</v>
      </c>
      <c r="AS13">
        <f>IFERROR(INDEX($F$6:$F$125,MATCH(8,$AH$6:$AH$125,0)),"")</f>
      </c>
      <c r="AT13">
        <f>IF($AS13="",0,SUMPRODUCT($AE$6:$AE$125*($F$6:$F$125=$AS13)))</f>
        <v>0</v>
      </c>
      <c r="AU13">
        <f>IF($AS13="","",$AT13*1000+(21-8))</f>
      </c>
      <c r="AW13">
        <f>IFERROR(INDEX($C$6:$C$125,MATCH(8,$AG$6:$AG$125,0)),"")</f>
      </c>
      <c r="AX13">
        <f>IF($AW13="",0,SUMPRODUCT($AE$6:$AE$125*($C$6:$C$125=$AW13)))</f>
        <v>0</v>
      </c>
      <c r="AY13">
        <f>IF($AW13="","",$AX13*1000+(21-8))</f>
      </c>
      <c r="BD13">
        <f>IFERROR(INDEX($W$6:$W$125,MATCH(8,$AM$6:$AM$125,0)),"")</f>
        <v>4.1</v>
      </c>
      <c r="BE13">
        <f>IFERROR(INDEX($O$6:$O$125,MATCH(8,$AM$6:$AM$125,0)),"")</f>
        <v>14</v>
      </c>
      <c r="BF13" t="str">
        <f>IFERROR(INDEX($B$6:$B$125,MATCH(8,$AM$6:$AM$125,0)),"")</f>
        <v>Srinivasan Balaji</v>
      </c>
      <c r="BH13">
        <f>IF($AW12="","",$AW12)</f>
      </c>
      <c r="BI13" t="str">
        <f>IF($AO12="","",$AO12)</f>
        <v>Salem</v>
      </c>
      <c r="BJ13" t="str">
        <f>Reference!$B$13</f>
        <v>Candidate Withdrawn</v>
      </c>
      <c r="BK13">
        <f>IF($AS12="","",$AS12)</f>
      </c>
      <c r="BL13" t="str">
        <f>IFERROR(INDEX($B$6:$B$125,MATCH(8,$AF$6:$AF$125,0)),"")</f>
        <v>S Naveen Kumar</v>
      </c>
    </row>
    <row r="14">
      <c r="A14" s="214" t="n">
        <v>9</v>
      </c>
      <c r="B14" s="214" t="str">
        <f>IF(TRIM('Master Data-2026'!D10)="","",TRIM('Master Data-2026'!D10))</f>
        <v>Kishore M</v>
      </c>
      <c r="C14" s="214" t="str">
        <f>IF($B14="","",TRIM('Master Data-2026'!A10))</f>
        <v>Rujuta</v>
      </c>
      <c r="D14" s="215">
        <f>IF($B14="","",IF('Master Data-2026'!B10="","",'Master Data-2026'!B10))</f>
        <v>46247</v>
      </c>
      <c r="E14" s="214" t="str">
        <f>IF($B14="","",TRIM('Master Data-2026'!C10))</f>
        <v>August</v>
      </c>
      <c r="F14" s="214" t="str">
        <f>IF($B14="","",TRIM('Master Data-2026'!G10))</f>
        <v>Full Stack Developer</v>
      </c>
      <c r="G14" s="214" t="str">
        <f>IF($B14="","",TRIM('Master Data-2026'!F10))</f>
        <v>Chennai</v>
      </c>
      <c r="H14" s="214" t="str">
        <f>IF($B14="","",IF($G14="","Not recorded",IF($AN14=0,"Other",INDEX(LocCity,$AN14))))</f>
        <v>Chennai</v>
      </c>
      <c r="I14" s="214" t="str">
        <f>IF($B14="","",TRIM('Master Data-2026'!H10))</f>
        <v>Telephonic Screening</v>
      </c>
      <c r="J14" s="214">
        <f>IF($B14="",0,IFERROR(INDEX(StageOrderRef,MATCH($I14,StageNameRef,0)),0))</f>
        <v>1</v>
      </c>
      <c r="K14" s="214" t="str">
        <f>IF($B14="","",TRIM('Master Data-2026'!I10))</f>
        <v>He will give a call in 10 min</v>
      </c>
      <c r="L14" s="214">
        <f>IF($B14="","",TRIM('Master Data-2026'!J10))</f>
      </c>
      <c r="M14" s="216">
        <f>IF($L14="",0,IF(ISNUMBER(SEARCH("%",$L14)),0,IFERROR(VALUE(LEFT($L14,IF(NOT(OR(AND(MID($L14,1,1)&gt;="0",MID($L14,1,1)&lt;="9"),MID($L14,1,1)=".")),0,IF(NOT(OR(AND(MID($L14,2,1)&gt;="0",MID($L14,2,1)&lt;="9"),MID($L14,2,1)=".")),1,IF(NOT(OR(AND(MID($L14,3,1)&gt;="0",MID($L14,3,1)&lt;="9"),MID($L14,3,1)=".")),2,IF(NOT(OR(AND(MID($L14,4,1)&gt;="0",MID($L14,4,1)&lt;="9"),MID($L14,4,1)=".")),3,IF(NOT(OR(AND(MID($L14,5,1)&gt;="0",MID($L14,5,1)&lt;="9"),MID($L14,5,1)=".")),4,IF(NOT(OR(AND(MID($L14,6,1)&gt;="0",MID($L14,6,1)&lt;="9"),MID($L14,6,1)=".")),5,6)))))))),0)))</f>
        <v>0</v>
      </c>
      <c r="N14" s="214">
        <f>IF($B14="","",TRIM('Master Data-2026'!K10))</f>
      </c>
      <c r="O14" s="216">
        <f>IF($N14="",0,IF(ISNUMBER(SEARCH("%",$N14)),0,IFERROR(VALUE(LEFT($N14,IF(NOT(OR(AND(MID($N14,1,1)&gt;="0",MID($N14,1,1)&lt;="9"),MID($N14,1,1)=".")),0,IF(NOT(OR(AND(MID($N14,2,1)&gt;="0",MID($N14,2,1)&lt;="9"),MID($N14,2,1)=".")),1,IF(NOT(OR(AND(MID($N14,3,1)&gt;="0",MID($N14,3,1)&lt;="9"),MID($N14,3,1)=".")),2,IF(NOT(OR(AND(MID($N14,4,1)&gt;="0",MID($N14,4,1)&lt;="9"),MID($N14,4,1)=".")),3,IF(NOT(OR(AND(MID($N14,5,1)&gt;="0",MID($N14,5,1)&lt;="9"),MID($N14,5,1)=".")),4,IF(NOT(OR(AND(MID($N14,6,1)&gt;="0",MID($N14,6,1)&lt;="9"),MID($N14,6,1)=".")),5,6)))))))),0)))</f>
        <v>0</v>
      </c>
      <c r="P14" s="217">
        <f>IF(AND($M14&gt;0,$O14&gt;0),$O14/$M14-1,0)</f>
        <v>0</v>
      </c>
      <c r="Q14" s="214">
        <f>IF($B14="","",TRIM('Master Data-2026'!L10))</f>
      </c>
      <c r="R14" s="214">
        <f>IF($Q14="",0,IF(ISNUMBER(SEARCH("%",$Q14)),0,IFERROR(VALUE(LEFT($Q14,IF(NOT(OR(AND(MID($Q14,1,1)&gt;="0",MID($Q14,1,1)&lt;="9"),MID($Q14,1,1)=".")),0,IF(NOT(OR(AND(MID($Q14,2,1)&gt;="0",MID($Q14,2,1)&lt;="9"),MID($Q14,2,1)=".")),1,IF(NOT(OR(AND(MID($Q14,3,1)&gt;="0",MID($Q14,3,1)&lt;="9"),MID($Q14,3,1)=".")),2,IF(NOT(OR(AND(MID($Q14,4,1)&gt;="0",MID($Q14,4,1)&lt;="9"),MID($Q14,4,1)=".")),3,IF(NOT(OR(AND(MID($Q14,5,1)&gt;="0",MID($Q14,5,1)&lt;="9"),MID($Q14,5,1)=".")),4,IF(NOT(OR(AND(MID($Q14,6,1)&gt;="0",MID($Q14,6,1)&lt;="9"),MID($Q14,6,1)=".")),5,6)))))))),0)))</f>
        <v>0</v>
      </c>
      <c r="S14" s="218">
        <f>IF($Q14="",-1,IF(ISNUMBER(SEARCH("immediate",$Q14)),0,IF(ISNUMBER(SEARCH("month",$Q14)),IF($R14=0,-1,$R14*30),IF(ISNUMBER(SEARCH("day",$Q14)),IF($R14=0,-1,$R14),-1))))</f>
        <v>-1</v>
      </c>
      <c r="T14" s="214" t="str">
        <f>IF($B14="","",IF($S14&lt;0,"Not recorded",IF($S14=0,"Immediate",IF($S14&lt;=30,"1-30 days",IF($S14&lt;=60,"31-60 days","60+ days")))))</f>
        <v>Not recorded</v>
      </c>
      <c r="U14" s="214">
        <f>IF($B14="","",IFERROR(MATCH($B14,'Submission template'!$D$17:$D$300,0),""))</f>
      </c>
      <c r="V14" s="214">
        <f>IF($U14="","",IFERROR(TRIM(INDEX('Submission template'!$I$17:$I$300,$U14)),""))</f>
      </c>
      <c r="W14" s="219">
        <f>IF($V14="",0,IF(ISNUMBER(SEARCH("%",$V14)),0,IFERROR(VALUE(LEFT($V14,IF(NOT(OR(AND(MID($V14,1,1)&gt;="0",MID($V14,1,1)&lt;="9"),MID($V14,1,1)=".")),0,IF(NOT(OR(AND(MID($V14,2,1)&gt;="0",MID($V14,2,1)&lt;="9"),MID($V14,2,1)=".")),1,IF(NOT(OR(AND(MID($V14,3,1)&gt;="0",MID($V14,3,1)&lt;="9"),MID($V14,3,1)=".")),2,IF(NOT(OR(AND(MID($V14,4,1)&gt;="0",MID($V14,4,1)&lt;="9"),MID($V14,4,1)=".")),3,IF(NOT(OR(AND(MID($V14,5,1)&gt;="0",MID($V14,5,1)&lt;="9"),MID($V14,5,1)=".")),4,IF(NOT(OR(AND(MID($V14,6,1)&gt;="0",MID($V14,6,1)&lt;="9"),MID($V14,6,1)=".")),5,6)))))))),0)))</f>
        <v>0</v>
      </c>
      <c r="X14" s="214">
        <f>IF($U14="","",IFERROR(TRIM(INDEX('Submission template'!$J$17:$J$300,$U14)),""))</f>
      </c>
      <c r="Y14" s="214">
        <f>IF($U14="","",IFERROR(TRIM(INDEX('Submission template'!$K$17:$K$300,$U14)),""))</f>
      </c>
      <c r="Z14" s="214">
        <f>IF($U14="","",IFERROR(TRIM(INDEX('Submission template'!$M$17:$M$300,$U14)),""))</f>
      </c>
      <c r="AA14" s="214">
        <f>IF($U14="","",IFERROR(TRIM(INDEX('Submission template'!$O$17:$O$300,$U14)),""))</f>
      </c>
      <c r="AB14" s="214">
        <f>IF($U14="","",IFERROR(TRIM(INDEX('Submission template'!$S$17:$S$300,$U14)),""))</f>
      </c>
      <c r="AC14" s="214">
        <f>IF($B14="",0,IF($U14="",0,1))</f>
        <v>0</v>
      </c>
      <c r="AD14" s="214">
        <f>IF($B14="",0,IF(OR($H14=TargetLocation,AND($AA14&lt;&gt;"",ISNUMBER(SEARCH(TargetLocation,$AA14)))),1,0))</f>
        <v>1</v>
      </c>
      <c r="AE14" s="214">
        <f>IF($B14="",0,IF(AND(OR(SelRecruiter="All",$C14=SelRecruiter),OR(SelCity="All",$H14=SelCity),OR(SelStage="All",$I14=SelStage),OR(SelRequisition="All",$F14=SelRequisition)),1,0))</f>
        <v>1</v>
      </c>
      <c r="AF14" s="214">
        <f>IF($B14="","",COUNT($AF$5:AF13)+1)</f>
        <v>9</v>
      </c>
      <c r="AG14" s="214">
        <f>IF($C14="","",IF(COUNTIF($C$6:$C14,$C14)=1,COUNT($AG$5:AG13)+1,""))</f>
      </c>
      <c r="AH14" s="214">
        <f>IF($F14="","",IF(COUNTIF($F$6:$F14,$F14)=1,COUNT($AH$5:AH13)+1,""))</f>
      </c>
      <c r="AI14" s="214">
        <f>IF($H14="","",IF(COUNTIF($H$6:$H14,$H14)=1,COUNT($AI$5:AI13)+1,""))</f>
      </c>
      <c r="AJ14" s="214">
        <f>IF(OR($B14="",$J14=0),"",$J14*100000000+IF(ISNUMBER($D14),$D14,0)*1000+(170-$A14))</f>
        <v>146247161</v>
      </c>
      <c r="AK14" s="214">
        <f>IF(OR($B14="",$W14&lt;=0),"",ROUND($W14*10,0)*100000+(170-$A14))</f>
      </c>
      <c r="AL14" s="214">
        <f>IF(OR($B14="",$P14&lt;=0),"",ROUND($P14*10000,0)*1000+(170-$A14))</f>
      </c>
      <c r="AM14" s="214">
        <f>IF(AND($W14&gt;0,$O14&gt;0),COUNT($AM$5:AM13)+1,"")</f>
      </c>
      <c r="AN14">
        <f>IF($B14="",0,IF($G14="",0,SUMPRODUCT(MAX(ISNUMBER(SEARCH(LocPattern,$G14))*LocIdx))))</f>
        <v>16</v>
      </c>
      <c r="AO14" t="str">
        <f>IFERROR(INDEX($H$6:$H$125,MATCH(9,$AI$6:$AI$125,0)),"")</f>
        <v>Hyderabad</v>
      </c>
      <c r="AP14">
        <f>IF($AO14="",0,SUMPRODUCT($AE$6:$AE$125*($H$6:$H$125=$AO14)))</f>
        <v>1</v>
      </c>
      <c r="AQ14">
        <f>IF($AO14="","",$AP14*1000+(21-9))</f>
        <v>1012</v>
      </c>
      <c r="AS14">
        <f>IFERROR(INDEX($F$6:$F$125,MATCH(9,$AH$6:$AH$125,0)),"")</f>
      </c>
      <c r="AT14">
        <f>IF($AS14="",0,SUMPRODUCT($AE$6:$AE$125*($F$6:$F$125=$AS14)))</f>
        <v>0</v>
      </c>
      <c r="AU14">
        <f>IF($AS14="","",$AT14*1000+(21-9))</f>
      </c>
      <c r="AW14">
        <f>IFERROR(INDEX($C$6:$C$125,MATCH(9,$AG$6:$AG$125,0)),"")</f>
      </c>
      <c r="AX14">
        <f>IF($AW14="",0,SUMPRODUCT($AE$6:$AE$125*($C$6:$C$125=$AW14)))</f>
        <v>0</v>
      </c>
      <c r="AY14">
        <f>IF($AW14="","",$AX14*1000+(21-9))</f>
      </c>
      <c r="BD14">
        <f>IFERROR(INDEX($W$6:$W$125,MATCH(9,$AM$6:$AM$125,0)),"")</f>
        <v>4.7</v>
      </c>
      <c r="BE14">
        <f>IFERROR(INDEX($O$6:$O$125,MATCH(9,$AM$6:$AM$125,0)),"")</f>
        <v>22</v>
      </c>
      <c r="BF14" t="str">
        <f>IFERROR(INDEX($B$6:$B$125,MATCH(9,$AM$6:$AM$125,0)),"")</f>
        <v>Porselvan subramanian</v>
      </c>
      <c r="BH14">
        <f>IF($AW13="","",$AW13)</f>
      </c>
      <c r="BI14" t="str">
        <f>IF($AO13="","",$AO13)</f>
        <v>Puducherry</v>
      </c>
      <c r="BK14">
        <f>IF($AS13="","",$AS13)</f>
      </c>
      <c r="BL14" t="str">
        <f>IFERROR(INDEX($B$6:$B$125,MATCH(9,$AF$6:$AF$125,0)),"")</f>
        <v>Kishore M</v>
      </c>
    </row>
    <row r="15">
      <c r="A15" s="220" t="n">
        <v>10</v>
      </c>
      <c r="B15" s="220" t="str">
        <f>IF(TRIM('Master Data-2026'!D11)="","",TRIM('Master Data-2026'!D11))</f>
        <v>Hariprakash</v>
      </c>
      <c r="C15" s="220" t="str">
        <f>IF($B15="","",TRIM('Master Data-2026'!A11))</f>
        <v>Vandana</v>
      </c>
      <c r="D15" s="221">
        <f>IF($B15="","",IF('Master Data-2026'!B11="","",'Master Data-2026'!B11))</f>
        <v>46247</v>
      </c>
      <c r="E15" s="220" t="str">
        <f>IF($B15="","",TRIM('Master Data-2026'!C11))</f>
        <v>August</v>
      </c>
      <c r="F15" s="220" t="str">
        <f>IF($B15="","",TRIM('Master Data-2026'!G11))</f>
        <v>Full Stack Developer</v>
      </c>
      <c r="G15" s="220" t="str">
        <f>IF($B15="","",TRIM('Master Data-2026'!F11))</f>
        <v>Velachery</v>
      </c>
      <c r="H15" s="220" t="str">
        <f>IF($B15="","",IF($G15="","Not recorded",IF($AN15=0,"Other",INDEX(LocCity,$AN15))))</f>
        <v>Chennai</v>
      </c>
      <c r="I15" s="220" t="str">
        <f>IF($B15="","",TRIM('Master Data-2026'!H11))</f>
        <v>ZN Submission</v>
      </c>
      <c r="J15" s="220">
        <f>IF($B15="",0,IFERROR(INDEX(StageOrderRef,MATCH($I15,StageNameRef,0)),0))</f>
        <v>2</v>
      </c>
      <c r="K15" s="220" t="str">
        <f>IF($B15="","",TRIM('Master Data-2026'!I11))</f>
        <v>Jd sent, waiting for acknowlegment.</v>
      </c>
      <c r="L15" s="220" t="str">
        <f>IF($B15="","",TRIM('Master Data-2026'!J11))</f>
        <v>13.13LPA</v>
      </c>
      <c r="M15" s="222">
        <f>IF($L15="",0,IF(ISNUMBER(SEARCH("%",$L15)),0,IFERROR(VALUE(LEFT($L15,IF(NOT(OR(AND(MID($L15,1,1)&gt;="0",MID($L15,1,1)&lt;="9"),MID($L15,1,1)=".")),0,IF(NOT(OR(AND(MID($L15,2,1)&gt;="0",MID($L15,2,1)&lt;="9"),MID($L15,2,1)=".")),1,IF(NOT(OR(AND(MID($L15,3,1)&gt;="0",MID($L15,3,1)&lt;="9"),MID($L15,3,1)=".")),2,IF(NOT(OR(AND(MID($L15,4,1)&gt;="0",MID($L15,4,1)&lt;="9"),MID($L15,4,1)=".")),3,IF(NOT(OR(AND(MID($L15,5,1)&gt;="0",MID($L15,5,1)&lt;="9"),MID($L15,5,1)=".")),4,IF(NOT(OR(AND(MID($L15,6,1)&gt;="0",MID($L15,6,1)&lt;="9"),MID($L15,6,1)=".")),5,6)))))))),0)))</f>
        <v>13.13</v>
      </c>
      <c r="N15" s="220" t="str">
        <f>IF($B15="","",TRIM('Master Data-2026'!K11))</f>
        <v>22LPA</v>
      </c>
      <c r="O15" s="222">
        <f>IF($N15="",0,IF(ISNUMBER(SEARCH("%",$N15)),0,IFERROR(VALUE(LEFT($N15,IF(NOT(OR(AND(MID($N15,1,1)&gt;="0",MID($N15,1,1)&lt;="9"),MID($N15,1,1)=".")),0,IF(NOT(OR(AND(MID($N15,2,1)&gt;="0",MID($N15,2,1)&lt;="9"),MID($N15,2,1)=".")),1,IF(NOT(OR(AND(MID($N15,3,1)&gt;="0",MID($N15,3,1)&lt;="9"),MID($N15,3,1)=".")),2,IF(NOT(OR(AND(MID($N15,4,1)&gt;="0",MID($N15,4,1)&lt;="9"),MID($N15,4,1)=".")),3,IF(NOT(OR(AND(MID($N15,5,1)&gt;="0",MID($N15,5,1)&lt;="9"),MID($N15,5,1)=".")),4,IF(NOT(OR(AND(MID($N15,6,1)&gt;="0",MID($N15,6,1)&lt;="9"),MID($N15,6,1)=".")),5,6)))))))),0)))</f>
        <v>22</v>
      </c>
      <c r="P15" s="223">
        <f>IF(AND($M15&gt;0,$O15&gt;0),$O15/$M15-1,0)</f>
        <v>0.6755521706016754</v>
      </c>
      <c r="Q15" s="220" t="str">
        <f>IF($B15="","",TRIM('Master Data-2026'!L11))</f>
        <v>60 days(30 days)</v>
      </c>
      <c r="R15" s="220">
        <f>IF($Q15="",0,IF(ISNUMBER(SEARCH("%",$Q15)),0,IFERROR(VALUE(LEFT($Q15,IF(NOT(OR(AND(MID($Q15,1,1)&gt;="0",MID($Q15,1,1)&lt;="9"),MID($Q15,1,1)=".")),0,IF(NOT(OR(AND(MID($Q15,2,1)&gt;="0",MID($Q15,2,1)&lt;="9"),MID($Q15,2,1)=".")),1,IF(NOT(OR(AND(MID($Q15,3,1)&gt;="0",MID($Q15,3,1)&lt;="9"),MID($Q15,3,1)=".")),2,IF(NOT(OR(AND(MID($Q15,4,1)&gt;="0",MID($Q15,4,1)&lt;="9"),MID($Q15,4,1)=".")),3,IF(NOT(OR(AND(MID($Q15,5,1)&gt;="0",MID($Q15,5,1)&lt;="9"),MID($Q15,5,1)=".")),4,IF(NOT(OR(AND(MID($Q15,6,1)&gt;="0",MID($Q15,6,1)&lt;="9"),MID($Q15,6,1)=".")),5,6)))))))),0)))</f>
        <v>60</v>
      </c>
      <c r="S15" s="224">
        <f>IF($Q15="",-1,IF(ISNUMBER(SEARCH("immediate",$Q15)),0,IF(ISNUMBER(SEARCH("month",$Q15)),IF($R15=0,-1,$R15*30),IF(ISNUMBER(SEARCH("day",$Q15)),IF($R15=0,-1,$R15),-1))))</f>
        <v>60</v>
      </c>
      <c r="T15" s="220" t="str">
        <f>IF($B15="","",IF($S15&lt;0,"Not recorded",IF($S15=0,"Immediate",IF($S15&lt;=30,"1-30 days",IF($S15&lt;=60,"31-60 days","60+ days")))))</f>
        <v>31-60 days</v>
      </c>
      <c r="U15" s="220">
        <f>IF($B15="","",IFERROR(MATCH($B15,'Submission template'!$D$17:$D$300,0),""))</f>
        <v>9</v>
      </c>
      <c r="V15" s="220" t="str">
        <f>IF($U15="","",IFERROR(TRIM(INDEX('Submission template'!$I$17:$I$300,$U15)),""))</f>
        <v>3.10 years</v>
      </c>
      <c r="W15" s="225">
        <f>IF($V15="",0,IF(ISNUMBER(SEARCH("%",$V15)),0,IFERROR(VALUE(LEFT($V15,IF(NOT(OR(AND(MID($V15,1,1)&gt;="0",MID($V15,1,1)&lt;="9"),MID($V15,1,1)=".")),0,IF(NOT(OR(AND(MID($V15,2,1)&gt;="0",MID($V15,2,1)&lt;="9"),MID($V15,2,1)=".")),1,IF(NOT(OR(AND(MID($V15,3,1)&gt;="0",MID($V15,3,1)&lt;="9"),MID($V15,3,1)=".")),2,IF(NOT(OR(AND(MID($V15,4,1)&gt;="0",MID($V15,4,1)&lt;="9"),MID($V15,4,1)=".")),3,IF(NOT(OR(AND(MID($V15,5,1)&gt;="0",MID($V15,5,1)&lt;="9"),MID($V15,5,1)=".")),4,IF(NOT(OR(AND(MID($V15,6,1)&gt;="0",MID($V15,6,1)&lt;="9"),MID($V15,6,1)=".")),5,6)))))))),0)))</f>
        <v>3.1</v>
      </c>
      <c r="X15" s="220" t="str">
        <f>IF($U15="","",IFERROR(TRIM(INDEX('Submission template'!$J$17:$J$300,$U15)),""))</f>
        <v>React 3.10Y+Node 1.8Y</v>
      </c>
      <c r="Y15" s="220" t="str">
        <f>IF($U15="","",IFERROR(TRIM(INDEX('Submission template'!$K$17:$K$300,$U15)),""))</f>
        <v>Contentstack</v>
      </c>
      <c r="Z15" s="220" t="str">
        <f>IF($U15="","",IFERROR(TRIM(INDEX('Submission template'!$M$17:$M$300,$U15)),""))</f>
        <v>Software Engineer</v>
      </c>
      <c r="AA15" s="220" t="str">
        <f>IF($U15="","",IFERROR(TRIM(INDEX('Submission template'!$O$17:$O$300,$U15)),""))</f>
        <v>Chennai</v>
      </c>
      <c r="AB15" s="220" t="str">
        <f>IF($U15="","",IFERROR(TRIM(INDEX('Submission template'!$S$17:$S$300,$U15)),""))</f>
        <v>Career Growth</v>
      </c>
      <c r="AC15" s="220">
        <f>IF($B15="",0,IF($U15="",0,1))</f>
        <v>1</v>
      </c>
      <c r="AD15" s="220">
        <f>IF($B15="",0,IF(OR($H15=TargetLocation,AND($AA15&lt;&gt;"",ISNUMBER(SEARCH(TargetLocation,$AA15)))),1,0))</f>
        <v>1</v>
      </c>
      <c r="AE15" s="220">
        <f>IF($B15="",0,IF(AND(OR(SelRecruiter="All",$C15=SelRecruiter),OR(SelCity="All",$H15=SelCity),OR(SelStage="All",$I15=SelStage),OR(SelRequisition="All",$F15=SelRequisition)),1,0))</f>
        <v>1</v>
      </c>
      <c r="AF15" s="220">
        <f>IF($B15="","",COUNT($AF$5:AF14)+1)</f>
        <v>10</v>
      </c>
      <c r="AG15" s="220">
        <f>IF($C15="","",IF(COUNTIF($C$6:$C15,$C15)=1,COUNT($AG$5:AG14)+1,""))</f>
        <v>3</v>
      </c>
      <c r="AH15" s="220">
        <f>IF($F15="","",IF(COUNTIF($F$6:$F15,$F15)=1,COUNT($AH$5:AH14)+1,""))</f>
      </c>
      <c r="AI15" s="220">
        <f>IF($H15="","",IF(COUNTIF($H$6:$H15,$H15)=1,COUNT($AI$5:AI14)+1,""))</f>
      </c>
      <c r="AJ15" s="220">
        <f>IF(OR($B15="",$J15=0),"",$J15*100000000+IF(ISNUMBER($D15),$D15,0)*1000+(170-$A15))</f>
        <v>246247160</v>
      </c>
      <c r="AK15" s="220">
        <f>IF(OR($B15="",$W15&lt;=0),"",ROUND($W15*10,0)*100000+(170-$A15))</f>
        <v>3100160</v>
      </c>
      <c r="AL15" s="220">
        <f>IF(OR($B15="",$P15&lt;=0),"",ROUND($P15*10000,0)*1000+(170-$A15))</f>
        <v>6756160</v>
      </c>
      <c r="AM15" s="220">
        <f>IF(AND($W15&gt;0,$O15&gt;0),COUNT($AM$5:AM14)+1,"")</f>
        <v>5</v>
      </c>
      <c r="AN15">
        <f>IF($B15="",0,IF($G15="",0,SUMPRODUCT(MAX(ISNUMBER(SEARCH(LocPattern,$G15))*LocIdx))))</f>
        <v>1</v>
      </c>
      <c r="AO15" t="str">
        <f>IFERROR(INDEX($H$6:$H$125,MATCH(10,$AI$6:$AI$125,0)),"")</f>
        <v>Madurai</v>
      </c>
      <c r="AP15">
        <f>IF($AO15="",0,SUMPRODUCT($AE$6:$AE$125*($H$6:$H$125=$AO15)))</f>
        <v>1</v>
      </c>
      <c r="AQ15">
        <f>IF($AO15="","",$AP15*1000+(21-10))</f>
        <v>1011</v>
      </c>
      <c r="AS15">
        <f>IFERROR(INDEX($F$6:$F$125,MATCH(10,$AH$6:$AH$125,0)),"")</f>
      </c>
      <c r="AT15">
        <f>IF($AS15="",0,SUMPRODUCT($AE$6:$AE$125*($F$6:$F$125=$AS15)))</f>
        <v>0</v>
      </c>
      <c r="AU15">
        <f>IF($AS15="","",$AT15*1000+(21-10))</f>
      </c>
      <c r="AW15">
        <f>IFERROR(INDEX($C$6:$C$125,MATCH(10,$AG$6:$AG$125,0)),"")</f>
      </c>
      <c r="AX15">
        <f>IF($AW15="",0,SUMPRODUCT($AE$6:$AE$125*($C$6:$C$125=$AW15)))</f>
        <v>0</v>
      </c>
      <c r="AY15">
        <f>IF($AW15="","",$AX15*1000+(21-10))</f>
      </c>
      <c r="BD15">
        <f>IFERROR(INDEX($W$6:$W$125,MATCH(10,$AM$6:$AM$125,0)),"")</f>
        <v>9</v>
      </c>
      <c r="BE15">
        <f>IFERROR(INDEX($O$6:$O$125,MATCH(10,$AM$6:$AM$125,0)),"")</f>
        <v>35</v>
      </c>
      <c r="BF15" t="str">
        <f>IFERROR(INDEX($B$6:$B$125,MATCH(10,$AM$6:$AM$125,0)),"")</f>
        <v>M.Navin Kumar</v>
      </c>
      <c r="BH15">
        <f>IF($AW14="","",$AW14)</f>
      </c>
      <c r="BI15" t="str">
        <f>IF($AO14="","",$AO14)</f>
        <v>Hyderabad</v>
      </c>
      <c r="BK15">
        <f>IF($AS14="","",$AS14)</f>
      </c>
      <c r="BL15" t="str">
        <f>IFERROR(INDEX($B$6:$B$125,MATCH(10,$AF$6:$AF$125,0)),"")</f>
        <v>Hariprakash</v>
      </c>
    </row>
    <row r="16">
      <c r="A16" s="214" t="n">
        <v>11</v>
      </c>
      <c r="B16" s="214" t="str">
        <f>IF(TRIM('Master Data-2026'!D12)="","",TRIM('Master Data-2026'!D12))</f>
        <v>Suriya</v>
      </c>
      <c r="C16" s="214" t="str">
        <f>IF($B16="","",TRIM('Master Data-2026'!A12))</f>
        <v>Ananthy</v>
      </c>
      <c r="D16" s="215">
        <f>IF($B16="","",IF('Master Data-2026'!B12="","",'Master Data-2026'!B12))</f>
        <v>46247</v>
      </c>
      <c r="E16" s="214" t="str">
        <f>IF($B16="","",TRIM('Master Data-2026'!C12))</f>
        <v>August</v>
      </c>
      <c r="F16" s="214" t="str">
        <f>IF($B16="","",TRIM('Master Data-2026'!G12))</f>
        <v>Full Stack Developer</v>
      </c>
      <c r="G16" s="214" t="str">
        <f>IF($B16="","",TRIM('Master Data-2026'!F12))</f>
        <v>Chennai</v>
      </c>
      <c r="H16" s="214" t="str">
        <f>IF($B16="","",IF($G16="","Not recorded",IF($AN16=0,"Other",INDEX(LocCity,$AN16))))</f>
        <v>Chennai</v>
      </c>
      <c r="I16" s="214" t="str">
        <f>IF($B16="","",TRIM('Master Data-2026'!H12))</f>
        <v>Telephonic Screening</v>
      </c>
      <c r="J16" s="214">
        <f>IF($B16="",0,IFERROR(INDEX(StageOrderRef,MATCH($I16,StageNameRef,0)),0))</f>
        <v>1</v>
      </c>
      <c r="K16" s="214" t="str">
        <f>IF($B16="","",TRIM('Master Data-2026'!I12))</f>
        <v>Already have an offer</v>
      </c>
      <c r="L16" s="214">
        <f>IF($B16="","",TRIM('Master Data-2026'!J12))</f>
      </c>
      <c r="M16" s="216">
        <f>IF($L16="",0,IF(ISNUMBER(SEARCH("%",$L16)),0,IFERROR(VALUE(LEFT($L16,IF(NOT(OR(AND(MID($L16,1,1)&gt;="0",MID($L16,1,1)&lt;="9"),MID($L16,1,1)=".")),0,IF(NOT(OR(AND(MID($L16,2,1)&gt;="0",MID($L16,2,1)&lt;="9"),MID($L16,2,1)=".")),1,IF(NOT(OR(AND(MID($L16,3,1)&gt;="0",MID($L16,3,1)&lt;="9"),MID($L16,3,1)=".")),2,IF(NOT(OR(AND(MID($L16,4,1)&gt;="0",MID($L16,4,1)&lt;="9"),MID($L16,4,1)=".")),3,IF(NOT(OR(AND(MID($L16,5,1)&gt;="0",MID($L16,5,1)&lt;="9"),MID($L16,5,1)=".")),4,IF(NOT(OR(AND(MID($L16,6,1)&gt;="0",MID($L16,6,1)&lt;="9"),MID($L16,6,1)=".")),5,6)))))))),0)))</f>
        <v>0</v>
      </c>
      <c r="N16" s="214">
        <f>IF($B16="","",TRIM('Master Data-2026'!K12))</f>
      </c>
      <c r="O16" s="216">
        <f>IF($N16="",0,IF(ISNUMBER(SEARCH("%",$N16)),0,IFERROR(VALUE(LEFT($N16,IF(NOT(OR(AND(MID($N16,1,1)&gt;="0",MID($N16,1,1)&lt;="9"),MID($N16,1,1)=".")),0,IF(NOT(OR(AND(MID($N16,2,1)&gt;="0",MID($N16,2,1)&lt;="9"),MID($N16,2,1)=".")),1,IF(NOT(OR(AND(MID($N16,3,1)&gt;="0",MID($N16,3,1)&lt;="9"),MID($N16,3,1)=".")),2,IF(NOT(OR(AND(MID($N16,4,1)&gt;="0",MID($N16,4,1)&lt;="9"),MID($N16,4,1)=".")),3,IF(NOT(OR(AND(MID($N16,5,1)&gt;="0",MID($N16,5,1)&lt;="9"),MID($N16,5,1)=".")),4,IF(NOT(OR(AND(MID($N16,6,1)&gt;="0",MID($N16,6,1)&lt;="9"),MID($N16,6,1)=".")),5,6)))))))),0)))</f>
        <v>0</v>
      </c>
      <c r="P16" s="217">
        <f>IF(AND($M16&gt;0,$O16&gt;0),$O16/$M16-1,0)</f>
        <v>0</v>
      </c>
      <c r="Q16" s="214">
        <f>IF($B16="","",TRIM('Master Data-2026'!L12))</f>
      </c>
      <c r="R16" s="214">
        <f>IF($Q16="",0,IF(ISNUMBER(SEARCH("%",$Q16)),0,IFERROR(VALUE(LEFT($Q16,IF(NOT(OR(AND(MID($Q16,1,1)&gt;="0",MID($Q16,1,1)&lt;="9"),MID($Q16,1,1)=".")),0,IF(NOT(OR(AND(MID($Q16,2,1)&gt;="0",MID($Q16,2,1)&lt;="9"),MID($Q16,2,1)=".")),1,IF(NOT(OR(AND(MID($Q16,3,1)&gt;="0",MID($Q16,3,1)&lt;="9"),MID($Q16,3,1)=".")),2,IF(NOT(OR(AND(MID($Q16,4,1)&gt;="0",MID($Q16,4,1)&lt;="9"),MID($Q16,4,1)=".")),3,IF(NOT(OR(AND(MID($Q16,5,1)&gt;="0",MID($Q16,5,1)&lt;="9"),MID($Q16,5,1)=".")),4,IF(NOT(OR(AND(MID($Q16,6,1)&gt;="0",MID($Q16,6,1)&lt;="9"),MID($Q16,6,1)=".")),5,6)))))))),0)))</f>
        <v>0</v>
      </c>
      <c r="S16" s="218">
        <f>IF($Q16="",-1,IF(ISNUMBER(SEARCH("immediate",$Q16)),0,IF(ISNUMBER(SEARCH("month",$Q16)),IF($R16=0,-1,$R16*30),IF(ISNUMBER(SEARCH("day",$Q16)),IF($R16=0,-1,$R16),-1))))</f>
        <v>-1</v>
      </c>
      <c r="T16" s="214" t="str">
        <f>IF($B16="","",IF($S16&lt;0,"Not recorded",IF($S16=0,"Immediate",IF($S16&lt;=30,"1-30 days",IF($S16&lt;=60,"31-60 days","60+ days")))))</f>
        <v>Not recorded</v>
      </c>
      <c r="U16" s="214">
        <f>IF($B16="","",IFERROR(MATCH($B16,'Submission template'!$D$17:$D$300,0),""))</f>
      </c>
      <c r="V16" s="214">
        <f>IF($U16="","",IFERROR(TRIM(INDEX('Submission template'!$I$17:$I$300,$U16)),""))</f>
      </c>
      <c r="W16" s="219">
        <f>IF($V16="",0,IF(ISNUMBER(SEARCH("%",$V16)),0,IFERROR(VALUE(LEFT($V16,IF(NOT(OR(AND(MID($V16,1,1)&gt;="0",MID($V16,1,1)&lt;="9"),MID($V16,1,1)=".")),0,IF(NOT(OR(AND(MID($V16,2,1)&gt;="0",MID($V16,2,1)&lt;="9"),MID($V16,2,1)=".")),1,IF(NOT(OR(AND(MID($V16,3,1)&gt;="0",MID($V16,3,1)&lt;="9"),MID($V16,3,1)=".")),2,IF(NOT(OR(AND(MID($V16,4,1)&gt;="0",MID($V16,4,1)&lt;="9"),MID($V16,4,1)=".")),3,IF(NOT(OR(AND(MID($V16,5,1)&gt;="0",MID($V16,5,1)&lt;="9"),MID($V16,5,1)=".")),4,IF(NOT(OR(AND(MID($V16,6,1)&gt;="0",MID($V16,6,1)&lt;="9"),MID($V16,6,1)=".")),5,6)))))))),0)))</f>
        <v>0</v>
      </c>
      <c r="X16" s="214">
        <f>IF($U16="","",IFERROR(TRIM(INDEX('Submission template'!$J$17:$J$300,$U16)),""))</f>
      </c>
      <c r="Y16" s="214">
        <f>IF($U16="","",IFERROR(TRIM(INDEX('Submission template'!$K$17:$K$300,$U16)),""))</f>
      </c>
      <c r="Z16" s="214">
        <f>IF($U16="","",IFERROR(TRIM(INDEX('Submission template'!$M$17:$M$300,$U16)),""))</f>
      </c>
      <c r="AA16" s="214">
        <f>IF($U16="","",IFERROR(TRIM(INDEX('Submission template'!$O$17:$O$300,$U16)),""))</f>
      </c>
      <c r="AB16" s="214">
        <f>IF($U16="","",IFERROR(TRIM(INDEX('Submission template'!$S$17:$S$300,$U16)),""))</f>
      </c>
      <c r="AC16" s="214">
        <f>IF($B16="",0,IF($U16="",0,1))</f>
        <v>0</v>
      </c>
      <c r="AD16" s="214">
        <f>IF($B16="",0,IF(OR($H16=TargetLocation,AND($AA16&lt;&gt;"",ISNUMBER(SEARCH(TargetLocation,$AA16)))),1,0))</f>
        <v>1</v>
      </c>
      <c r="AE16" s="214">
        <f>IF($B16="",0,IF(AND(OR(SelRecruiter="All",$C16=SelRecruiter),OR(SelCity="All",$H16=SelCity),OR(SelStage="All",$I16=SelStage),OR(SelRequisition="All",$F16=SelRequisition)),1,0))</f>
        <v>1</v>
      </c>
      <c r="AF16" s="214">
        <f>IF($B16="","",COUNT($AF$5:AF15)+1)</f>
        <v>11</v>
      </c>
      <c r="AG16" s="214">
        <f>IF($C16="","",IF(COUNTIF($C$6:$C16,$C16)=1,COUNT($AG$5:AG15)+1,""))</f>
        <v>4</v>
      </c>
      <c r="AH16" s="214">
        <f>IF($F16="","",IF(COUNTIF($F$6:$F16,$F16)=1,COUNT($AH$5:AH15)+1,""))</f>
      </c>
      <c r="AI16" s="214">
        <f>IF($H16="","",IF(COUNTIF($H$6:$H16,$H16)=1,COUNT($AI$5:AI15)+1,""))</f>
      </c>
      <c r="AJ16" s="214">
        <f>IF(OR($B16="",$J16=0),"",$J16*100000000+IF(ISNUMBER($D16),$D16,0)*1000+(170-$A16))</f>
        <v>146247159</v>
      </c>
      <c r="AK16" s="214">
        <f>IF(OR($B16="",$W16&lt;=0),"",ROUND($W16*10,0)*100000+(170-$A16))</f>
      </c>
      <c r="AL16" s="214">
        <f>IF(OR($B16="",$P16&lt;=0),"",ROUND($P16*10000,0)*1000+(170-$A16))</f>
      </c>
      <c r="AM16" s="214">
        <f>IF(AND($W16&gt;0,$O16&gt;0),COUNT($AM$5:AM15)+1,"")</f>
      </c>
      <c r="AN16">
        <f>IF($B16="",0,IF($G16="",0,SUMPRODUCT(MAX(ISNUMBER(SEARCH(LocPattern,$G16))*LocIdx))))</f>
        <v>16</v>
      </c>
      <c r="AO16" t="str">
        <f>IFERROR(INDEX($H$6:$H$125,MATCH(11,$AI$6:$AI$125,0)),"")</f>
        <v>Mumbai</v>
      </c>
      <c r="AP16">
        <f>IF($AO16="",0,SUMPRODUCT($AE$6:$AE$125*($H$6:$H$125=$AO16)))</f>
        <v>1</v>
      </c>
      <c r="AQ16">
        <f>IF($AO16="","",$AP16*1000+(21-11))</f>
        <v>1010</v>
      </c>
      <c r="AS16">
        <f>IFERROR(INDEX($F$6:$F$125,MATCH(11,$AH$6:$AH$125,0)),"")</f>
      </c>
      <c r="AT16">
        <f>IF($AS16="",0,SUMPRODUCT($AE$6:$AE$125*($F$6:$F$125=$AS16)))</f>
        <v>0</v>
      </c>
      <c r="AU16">
        <f>IF($AS16="","",$AT16*1000+(21-11))</f>
      </c>
      <c r="AW16">
        <f>IFERROR(INDEX($C$6:$C$125,MATCH(11,$AG$6:$AG$125,0)),"")</f>
      </c>
      <c r="AX16">
        <f>IF($AW16="",0,SUMPRODUCT($AE$6:$AE$125*($C$6:$C$125=$AW16)))</f>
        <v>0</v>
      </c>
      <c r="AY16">
        <f>IF($AW16="","",$AX16*1000+(21-11))</f>
      </c>
      <c r="BD16">
        <f>IFERROR(INDEX($W$6:$W$125,MATCH(11,$AM$6:$AM$125,0)),"")</f>
        <v>9</v>
      </c>
      <c r="BE16">
        <f>IFERROR(INDEX($O$6:$O$125,MATCH(11,$AM$6:$AM$125,0)),"")</f>
        <v>26</v>
      </c>
      <c r="BF16" t="str">
        <f>IFERROR(INDEX($B$6:$B$125,MATCH(11,$AM$6:$AM$125,0)),"")</f>
        <v>Pavan Kumar Reddy</v>
      </c>
      <c r="BH16">
        <f>IF($AW15="","",$AW15)</f>
      </c>
      <c r="BI16" t="str">
        <f>IF($AO15="","",$AO15)</f>
        <v>Madurai</v>
      </c>
      <c r="BK16">
        <f>IF($AS15="","",$AS15)</f>
      </c>
      <c r="BL16" t="str">
        <f>IFERROR(INDEX($B$6:$B$125,MATCH(11,$AF$6:$AF$125,0)),"")</f>
        <v>Suriya</v>
      </c>
    </row>
    <row r="17">
      <c r="A17" s="220" t="n">
        <v>12</v>
      </c>
      <c r="B17" s="220" t="str">
        <f>IF(TRIM('Master Data-2026'!D13)="","",TRIM('Master Data-2026'!D13))</f>
        <v>Prashanth S</v>
      </c>
      <c r="C17" s="220" t="str">
        <f>IF($B17="","",TRIM('Master Data-2026'!A13))</f>
        <v>Ananthy</v>
      </c>
      <c r="D17" s="221">
        <f>IF($B17="","",IF('Master Data-2026'!B13="","",'Master Data-2026'!B13))</f>
        <v>46247</v>
      </c>
      <c r="E17" s="220" t="str">
        <f>IF($B17="","",TRIM('Master Data-2026'!C13))</f>
        <v>August</v>
      </c>
      <c r="F17" s="220" t="str">
        <f>IF($B17="","",TRIM('Master Data-2026'!G13))</f>
        <v>Full Stack Developer</v>
      </c>
      <c r="G17" s="220">
        <f>IF($B17="","",TRIM('Master Data-2026'!F13))</f>
      </c>
      <c r="H17" s="220" t="str">
        <f>IF($B17="","",IF($G17="","Not recorded",IF($AN17=0,"Other",INDEX(LocCity,$AN17))))</f>
        <v>Not recorded</v>
      </c>
      <c r="I17" s="220" t="str">
        <f>IF($B17="","",TRIM('Master Data-2026'!H13))</f>
        <v>Telephonic Screening</v>
      </c>
      <c r="J17" s="220">
        <f>IF($B17="",0,IFERROR(INDEX(StageOrderRef,MATCH($I17,StageNameRef,0)),0))</f>
        <v>1</v>
      </c>
      <c r="K17" s="220" t="str">
        <f>IF($B17="","",TRIM('Master Data-2026'!I13))</f>
        <v>No response dropped a message</v>
      </c>
      <c r="L17" s="220">
        <f>IF($B17="","",TRIM('Master Data-2026'!J13))</f>
      </c>
      <c r="M17" s="222">
        <f>IF($L17="",0,IF(ISNUMBER(SEARCH("%",$L17)),0,IFERROR(VALUE(LEFT($L17,IF(NOT(OR(AND(MID($L17,1,1)&gt;="0",MID($L17,1,1)&lt;="9"),MID($L17,1,1)=".")),0,IF(NOT(OR(AND(MID($L17,2,1)&gt;="0",MID($L17,2,1)&lt;="9"),MID($L17,2,1)=".")),1,IF(NOT(OR(AND(MID($L17,3,1)&gt;="0",MID($L17,3,1)&lt;="9"),MID($L17,3,1)=".")),2,IF(NOT(OR(AND(MID($L17,4,1)&gt;="0",MID($L17,4,1)&lt;="9"),MID($L17,4,1)=".")),3,IF(NOT(OR(AND(MID($L17,5,1)&gt;="0",MID($L17,5,1)&lt;="9"),MID($L17,5,1)=".")),4,IF(NOT(OR(AND(MID($L17,6,1)&gt;="0",MID($L17,6,1)&lt;="9"),MID($L17,6,1)=".")),5,6)))))))),0)))</f>
        <v>0</v>
      </c>
      <c r="N17" s="220">
        <f>IF($B17="","",TRIM('Master Data-2026'!K13))</f>
      </c>
      <c r="O17" s="222">
        <f>IF($N17="",0,IF(ISNUMBER(SEARCH("%",$N17)),0,IFERROR(VALUE(LEFT($N17,IF(NOT(OR(AND(MID($N17,1,1)&gt;="0",MID($N17,1,1)&lt;="9"),MID($N17,1,1)=".")),0,IF(NOT(OR(AND(MID($N17,2,1)&gt;="0",MID($N17,2,1)&lt;="9"),MID($N17,2,1)=".")),1,IF(NOT(OR(AND(MID($N17,3,1)&gt;="0",MID($N17,3,1)&lt;="9"),MID($N17,3,1)=".")),2,IF(NOT(OR(AND(MID($N17,4,1)&gt;="0",MID($N17,4,1)&lt;="9"),MID($N17,4,1)=".")),3,IF(NOT(OR(AND(MID($N17,5,1)&gt;="0",MID($N17,5,1)&lt;="9"),MID($N17,5,1)=".")),4,IF(NOT(OR(AND(MID($N17,6,1)&gt;="0",MID($N17,6,1)&lt;="9"),MID($N17,6,1)=".")),5,6)))))))),0)))</f>
        <v>0</v>
      </c>
      <c r="P17" s="223">
        <f>IF(AND($M17&gt;0,$O17&gt;0),$O17/$M17-1,0)</f>
        <v>0</v>
      </c>
      <c r="Q17" s="220">
        <f>IF($B17="","",TRIM('Master Data-2026'!L13))</f>
      </c>
      <c r="R17" s="220">
        <f>IF($Q17="",0,IF(ISNUMBER(SEARCH("%",$Q17)),0,IFERROR(VALUE(LEFT($Q17,IF(NOT(OR(AND(MID($Q17,1,1)&gt;="0",MID($Q17,1,1)&lt;="9"),MID($Q17,1,1)=".")),0,IF(NOT(OR(AND(MID($Q17,2,1)&gt;="0",MID($Q17,2,1)&lt;="9"),MID($Q17,2,1)=".")),1,IF(NOT(OR(AND(MID($Q17,3,1)&gt;="0",MID($Q17,3,1)&lt;="9"),MID($Q17,3,1)=".")),2,IF(NOT(OR(AND(MID($Q17,4,1)&gt;="0",MID($Q17,4,1)&lt;="9"),MID($Q17,4,1)=".")),3,IF(NOT(OR(AND(MID($Q17,5,1)&gt;="0",MID($Q17,5,1)&lt;="9"),MID($Q17,5,1)=".")),4,IF(NOT(OR(AND(MID($Q17,6,1)&gt;="0",MID($Q17,6,1)&lt;="9"),MID($Q17,6,1)=".")),5,6)))))))),0)))</f>
        <v>0</v>
      </c>
      <c r="S17" s="224">
        <f>IF($Q17="",-1,IF(ISNUMBER(SEARCH("immediate",$Q17)),0,IF(ISNUMBER(SEARCH("month",$Q17)),IF($R17=0,-1,$R17*30),IF(ISNUMBER(SEARCH("day",$Q17)),IF($R17=0,-1,$R17),-1))))</f>
        <v>-1</v>
      </c>
      <c r="T17" s="220" t="str">
        <f>IF($B17="","",IF($S17&lt;0,"Not recorded",IF($S17=0,"Immediate",IF($S17&lt;=30,"1-30 days",IF($S17&lt;=60,"31-60 days","60+ days")))))</f>
        <v>Not recorded</v>
      </c>
      <c r="U17" s="220">
        <f>IF($B17="","",IFERROR(MATCH($B17,'Submission template'!$D$17:$D$300,0),""))</f>
      </c>
      <c r="V17" s="220">
        <f>IF($U17="","",IFERROR(TRIM(INDEX('Submission template'!$I$17:$I$300,$U17)),""))</f>
      </c>
      <c r="W17" s="225">
        <f>IF($V17="",0,IF(ISNUMBER(SEARCH("%",$V17)),0,IFERROR(VALUE(LEFT($V17,IF(NOT(OR(AND(MID($V17,1,1)&gt;="0",MID($V17,1,1)&lt;="9"),MID($V17,1,1)=".")),0,IF(NOT(OR(AND(MID($V17,2,1)&gt;="0",MID($V17,2,1)&lt;="9"),MID($V17,2,1)=".")),1,IF(NOT(OR(AND(MID($V17,3,1)&gt;="0",MID($V17,3,1)&lt;="9"),MID($V17,3,1)=".")),2,IF(NOT(OR(AND(MID($V17,4,1)&gt;="0",MID($V17,4,1)&lt;="9"),MID($V17,4,1)=".")),3,IF(NOT(OR(AND(MID($V17,5,1)&gt;="0",MID($V17,5,1)&lt;="9"),MID($V17,5,1)=".")),4,IF(NOT(OR(AND(MID($V17,6,1)&gt;="0",MID($V17,6,1)&lt;="9"),MID($V17,6,1)=".")),5,6)))))))),0)))</f>
        <v>0</v>
      </c>
      <c r="X17" s="220">
        <f>IF($U17="","",IFERROR(TRIM(INDEX('Submission template'!$J$17:$J$300,$U17)),""))</f>
      </c>
      <c r="Y17" s="220">
        <f>IF($U17="","",IFERROR(TRIM(INDEX('Submission template'!$K$17:$K$300,$U17)),""))</f>
      </c>
      <c r="Z17" s="220">
        <f>IF($U17="","",IFERROR(TRIM(INDEX('Submission template'!$M$17:$M$300,$U17)),""))</f>
      </c>
      <c r="AA17" s="220">
        <f>IF($U17="","",IFERROR(TRIM(INDEX('Submission template'!$O$17:$O$300,$U17)),""))</f>
      </c>
      <c r="AB17" s="220">
        <f>IF($U17="","",IFERROR(TRIM(INDEX('Submission template'!$S$17:$S$300,$U17)),""))</f>
      </c>
      <c r="AC17" s="220">
        <f>IF($B17="",0,IF($U17="",0,1))</f>
        <v>0</v>
      </c>
      <c r="AD17" s="220">
        <f>IF($B17="",0,IF(OR($H17=TargetLocation,AND($AA17&lt;&gt;"",ISNUMBER(SEARCH(TargetLocation,$AA17)))),1,0))</f>
        <v>0</v>
      </c>
      <c r="AE17" s="220">
        <f>IF($B17="",0,IF(AND(OR(SelRecruiter="All",$C17=SelRecruiter),OR(SelCity="All",$H17=SelCity),OR(SelStage="All",$I17=SelStage),OR(SelRequisition="All",$F17=SelRequisition)),1,0))</f>
        <v>1</v>
      </c>
      <c r="AF17" s="220">
        <f>IF($B17="","",COUNT($AF$5:AF16)+1)</f>
        <v>12</v>
      </c>
      <c r="AG17" s="220">
        <f>IF($C17="","",IF(COUNTIF($C$6:$C17,$C17)=1,COUNT($AG$5:AG16)+1,""))</f>
      </c>
      <c r="AH17" s="220">
        <f>IF($F17="","",IF(COUNTIF($F$6:$F17,$F17)=1,COUNT($AH$5:AH16)+1,""))</f>
      </c>
      <c r="AI17" s="220">
        <f>IF($H17="","",IF(COUNTIF($H$6:$H17,$H17)=1,COUNT($AI$5:AI16)+1,""))</f>
        <v>3</v>
      </c>
      <c r="AJ17" s="220">
        <f>IF(OR($B17="",$J17=0),"",$J17*100000000+IF(ISNUMBER($D17),$D17,0)*1000+(170-$A17))</f>
        <v>146247158</v>
      </c>
      <c r="AK17" s="220">
        <f>IF(OR($B17="",$W17&lt;=0),"",ROUND($W17*10,0)*100000+(170-$A17))</f>
      </c>
      <c r="AL17" s="220">
        <f>IF(OR($B17="",$P17&lt;=0),"",ROUND($P17*10000,0)*1000+(170-$A17))</f>
      </c>
      <c r="AM17" s="220">
        <f>IF(AND($W17&gt;0,$O17&gt;0),COUNT($AM$5:AM16)+1,"")</f>
      </c>
      <c r="AN17">
        <f>IF($B17="",0,IF($G17="",0,SUMPRODUCT(MAX(ISNUMBER(SEARCH(LocPattern,$G17))*LocIdx))))</f>
        <v>0</v>
      </c>
      <c r="AO17">
        <f>IFERROR(INDEX($H$6:$H$125,MATCH(12,$AI$6:$AI$125,0)),"")</f>
      </c>
      <c r="AP17">
        <f>IF($AO17="",0,SUMPRODUCT($AE$6:$AE$125*($H$6:$H$125=$AO17)))</f>
        <v>0</v>
      </c>
      <c r="AQ17">
        <f>IF($AO17="","",$AP17*1000+(21-12))</f>
      </c>
      <c r="AS17">
        <f>IFERROR(INDEX($F$6:$F$125,MATCH(12,$AH$6:$AH$125,0)),"")</f>
      </c>
      <c r="AT17">
        <f>IF($AS17="",0,SUMPRODUCT($AE$6:$AE$125*($F$6:$F$125=$AS17)))</f>
        <v>0</v>
      </c>
      <c r="AU17">
        <f>IF($AS17="","",$AT17*1000+(21-12))</f>
      </c>
      <c r="AW17">
        <f>IFERROR(INDEX($C$6:$C$125,MATCH(12,$AG$6:$AG$125,0)),"")</f>
      </c>
      <c r="AX17">
        <f>IF($AW17="",0,SUMPRODUCT($AE$6:$AE$125*($C$6:$C$125=$AW17)))</f>
        <v>0</v>
      </c>
      <c r="AY17">
        <f>IF($AW17="","",$AX17*1000+(21-12))</f>
      </c>
      <c r="BD17">
        <f>IFERROR(INDEX($W$6:$W$125,MATCH(12,$AM$6:$AM$125,0)),"")</f>
        <v>5.1</v>
      </c>
      <c r="BE17">
        <f>IFERROR(INDEX($O$6:$O$125,MATCH(12,$AM$6:$AM$125,0)),"")</f>
        <v>22</v>
      </c>
      <c r="BF17" t="str">
        <f>IFERROR(INDEX($B$6:$B$125,MATCH(12,$AM$6:$AM$125,0)),"")</f>
        <v>Jahnavi</v>
      </c>
      <c r="BH17">
        <f>IF($AW16="","",$AW16)</f>
      </c>
      <c r="BI17" t="str">
        <f>IF($AO16="","",$AO16)</f>
        <v>Mumbai</v>
      </c>
      <c r="BK17">
        <f>IF($AS16="","",$AS16)</f>
      </c>
      <c r="BL17" t="str">
        <f>IFERROR(INDEX($B$6:$B$125,MATCH(12,$AF$6:$AF$125,0)),"")</f>
        <v>Prashanth S</v>
      </c>
    </row>
    <row r="18">
      <c r="A18" s="214" t="n">
        <v>13</v>
      </c>
      <c r="B18" s="214" t="str">
        <f>IF(TRIM('Master Data-2026'!D14)="","",TRIM('Master Data-2026'!D14))</f>
        <v>Jayaselva Manikannan</v>
      </c>
      <c r="C18" s="214" t="str">
        <f>IF($B18="","",TRIM('Master Data-2026'!A14))</f>
        <v>Rujuta</v>
      </c>
      <c r="D18" s="215">
        <f>IF($B18="","",IF('Master Data-2026'!B14="","",'Master Data-2026'!B14))</f>
        <v>46247</v>
      </c>
      <c r="E18" s="214" t="str">
        <f>IF($B18="","",TRIM('Master Data-2026'!C14))</f>
        <v>August</v>
      </c>
      <c r="F18" s="214" t="str">
        <f>IF($B18="","",TRIM('Master Data-2026'!G14))</f>
        <v>Full Stack Developer</v>
      </c>
      <c r="G18" s="214" t="str">
        <f>IF($B18="","",TRIM('Master Data-2026'!F14))</f>
        <v>Chennai</v>
      </c>
      <c r="H18" s="214" t="str">
        <f>IF($B18="","",IF($G18="","Not recorded",IF($AN18=0,"Other",INDEX(LocCity,$AN18))))</f>
        <v>Chennai</v>
      </c>
      <c r="I18" s="214" t="str">
        <f>IF($B18="","",TRIM('Master Data-2026'!H14))</f>
        <v>ZN Submission</v>
      </c>
      <c r="J18" s="214">
        <f>IF($B18="",0,IFERROR(INDEX(StageOrderRef,MATCH($I18,StageNameRef,0)),0))</f>
        <v>2</v>
      </c>
      <c r="K18" s="214" t="str">
        <f>IF($B18="","",TRIM('Master Data-2026'!I14))</f>
        <v>Client Review</v>
      </c>
      <c r="L18" s="214" t="str">
        <f>IF($B18="","",TRIM('Master Data-2026'!J14))</f>
        <v>17 LPA</v>
      </c>
      <c r="M18" s="216">
        <f>IF($L18="",0,IF(ISNUMBER(SEARCH("%",$L18)),0,IFERROR(VALUE(LEFT($L18,IF(NOT(OR(AND(MID($L18,1,1)&gt;="0",MID($L18,1,1)&lt;="9"),MID($L18,1,1)=".")),0,IF(NOT(OR(AND(MID($L18,2,1)&gt;="0",MID($L18,2,1)&lt;="9"),MID($L18,2,1)=".")),1,IF(NOT(OR(AND(MID($L18,3,1)&gt;="0",MID($L18,3,1)&lt;="9"),MID($L18,3,1)=".")),2,IF(NOT(OR(AND(MID($L18,4,1)&gt;="0",MID($L18,4,1)&lt;="9"),MID($L18,4,1)=".")),3,IF(NOT(OR(AND(MID($L18,5,1)&gt;="0",MID($L18,5,1)&lt;="9"),MID($L18,5,1)=".")),4,IF(NOT(OR(AND(MID($L18,6,1)&gt;="0",MID($L18,6,1)&lt;="9"),MID($L18,6,1)=".")),5,6)))))))),0)))</f>
        <v>17</v>
      </c>
      <c r="N18" s="214" t="str">
        <f>IF($B18="","",TRIM('Master Data-2026'!K14))</f>
        <v>18 LPA</v>
      </c>
      <c r="O18" s="216">
        <f>IF($N18="",0,IF(ISNUMBER(SEARCH("%",$N18)),0,IFERROR(VALUE(LEFT($N18,IF(NOT(OR(AND(MID($N18,1,1)&gt;="0",MID($N18,1,1)&lt;="9"),MID($N18,1,1)=".")),0,IF(NOT(OR(AND(MID($N18,2,1)&gt;="0",MID($N18,2,1)&lt;="9"),MID($N18,2,1)=".")),1,IF(NOT(OR(AND(MID($N18,3,1)&gt;="0",MID($N18,3,1)&lt;="9"),MID($N18,3,1)=".")),2,IF(NOT(OR(AND(MID($N18,4,1)&gt;="0",MID($N18,4,1)&lt;="9"),MID($N18,4,1)=".")),3,IF(NOT(OR(AND(MID($N18,5,1)&gt;="0",MID($N18,5,1)&lt;="9"),MID($N18,5,1)=".")),4,IF(NOT(OR(AND(MID($N18,6,1)&gt;="0",MID($N18,6,1)&lt;="9"),MID($N18,6,1)=".")),5,6)))))))),0)))</f>
        <v>18</v>
      </c>
      <c r="P18" s="217">
        <f>IF(AND($M18&gt;0,$O18&gt;0),$O18/$M18-1,0)</f>
        <v>0.05882352941176472</v>
      </c>
      <c r="Q18" s="214" t="str">
        <f>IF($B18="","",TRIM('Master Data-2026'!L14))</f>
        <v>Immediate</v>
      </c>
      <c r="R18" s="214">
        <f>IF($Q18="",0,IF(ISNUMBER(SEARCH("%",$Q18)),0,IFERROR(VALUE(LEFT($Q18,IF(NOT(OR(AND(MID($Q18,1,1)&gt;="0",MID($Q18,1,1)&lt;="9"),MID($Q18,1,1)=".")),0,IF(NOT(OR(AND(MID($Q18,2,1)&gt;="0",MID($Q18,2,1)&lt;="9"),MID($Q18,2,1)=".")),1,IF(NOT(OR(AND(MID($Q18,3,1)&gt;="0",MID($Q18,3,1)&lt;="9"),MID($Q18,3,1)=".")),2,IF(NOT(OR(AND(MID($Q18,4,1)&gt;="0",MID($Q18,4,1)&lt;="9"),MID($Q18,4,1)=".")),3,IF(NOT(OR(AND(MID($Q18,5,1)&gt;="0",MID($Q18,5,1)&lt;="9"),MID($Q18,5,1)=".")),4,IF(NOT(OR(AND(MID($Q18,6,1)&gt;="0",MID($Q18,6,1)&lt;="9"),MID($Q18,6,1)=".")),5,6)))))))),0)))</f>
        <v>0</v>
      </c>
      <c r="S18" s="218">
        <f>IF($Q18="",-1,IF(ISNUMBER(SEARCH("immediate",$Q18)),0,IF(ISNUMBER(SEARCH("month",$Q18)),IF($R18=0,-1,$R18*30),IF(ISNUMBER(SEARCH("day",$Q18)),IF($R18=0,-1,$R18),-1))))</f>
        <v>0</v>
      </c>
      <c r="T18" s="214" t="str">
        <f>IF($B18="","",IF($S18&lt;0,"Not recorded",IF($S18=0,"Immediate",IF($S18&lt;=30,"1-30 days",IF($S18&lt;=60,"31-60 days","60+ days")))))</f>
        <v>Immediate</v>
      </c>
      <c r="U18" s="214">
        <f>IF($B18="","",IFERROR(MATCH($B18,'Submission template'!$D$17:$D$300,0),""))</f>
        <v>5</v>
      </c>
      <c r="V18" s="214" t="str">
        <f>IF($U18="","",IFERROR(TRIM(INDEX('Submission template'!$I$17:$I$300,$U18)),""))</f>
        <v>5.6 years</v>
      </c>
      <c r="W18" s="219">
        <f>IF($V18="",0,IF(ISNUMBER(SEARCH("%",$V18)),0,IFERROR(VALUE(LEFT($V18,IF(NOT(OR(AND(MID($V18,1,1)&gt;="0",MID($V18,1,1)&lt;="9"),MID($V18,1,1)=".")),0,IF(NOT(OR(AND(MID($V18,2,1)&gt;="0",MID($V18,2,1)&lt;="9"),MID($V18,2,1)=".")),1,IF(NOT(OR(AND(MID($V18,3,1)&gt;="0",MID($V18,3,1)&lt;="9"),MID($V18,3,1)=".")),2,IF(NOT(OR(AND(MID($V18,4,1)&gt;="0",MID($V18,4,1)&lt;="9"),MID($V18,4,1)=".")),3,IF(NOT(OR(AND(MID($V18,5,1)&gt;="0",MID($V18,5,1)&lt;="9"),MID($V18,5,1)=".")),4,IF(NOT(OR(AND(MID($V18,6,1)&gt;="0",MID($V18,6,1)&lt;="9"),MID($V18,6,1)=".")),5,6)))))))),0)))</f>
        <v>5.6</v>
      </c>
      <c r="X18" s="214" t="str">
        <f>IF($U18="","",IFERROR(TRIM(INDEX('Submission template'!$J$17:$J$300,$U18)),""))</f>
        <v>React 5.6Y+Node 4.9Y</v>
      </c>
      <c r="Y18" s="214" t="str">
        <f>IF($U18="","",IFERROR(TRIM(INDEX('Submission template'!$K$17:$K$300,$U18)),""))</f>
        <v>Akrivia HCM</v>
      </c>
      <c r="Z18" s="214" t="str">
        <f>IF($U18="","",IFERROR(TRIM(INDEX('Submission template'!$M$17:$M$300,$U18)),""))</f>
        <v>FullStack Developer</v>
      </c>
      <c r="AA18" s="214" t="str">
        <f>IF($U18="","",IFERROR(TRIM(INDEX('Submission template'!$O$17:$O$300,$U18)),""))</f>
        <v>Chennai</v>
      </c>
      <c r="AB18" s="214" t="str">
        <f>IF($U18="","",IFERROR(TRIM(INDEX('Submission template'!$S$17:$S$300,$U18)),""))</f>
        <v>Career Growth</v>
      </c>
      <c r="AC18" s="214">
        <f>IF($B18="",0,IF($U18="",0,1))</f>
        <v>1</v>
      </c>
      <c r="AD18" s="214">
        <f>IF($B18="",0,IF(OR($H18=TargetLocation,AND($AA18&lt;&gt;"",ISNUMBER(SEARCH(TargetLocation,$AA18)))),1,0))</f>
        <v>1</v>
      </c>
      <c r="AE18" s="214">
        <f>IF($B18="",0,IF(AND(OR(SelRecruiter="All",$C18=SelRecruiter),OR(SelCity="All",$H18=SelCity),OR(SelStage="All",$I18=SelStage),OR(SelRequisition="All",$F18=SelRequisition)),1,0))</f>
        <v>1</v>
      </c>
      <c r="AF18" s="214">
        <f>IF($B18="","",COUNT($AF$5:AF17)+1)</f>
        <v>13</v>
      </c>
      <c r="AG18" s="214">
        <f>IF($C18="","",IF(COUNTIF($C$6:$C18,$C18)=1,COUNT($AG$5:AG17)+1,""))</f>
      </c>
      <c r="AH18" s="214">
        <f>IF($F18="","",IF(COUNTIF($F$6:$F18,$F18)=1,COUNT($AH$5:AH17)+1,""))</f>
      </c>
      <c r="AI18" s="214">
        <f>IF($H18="","",IF(COUNTIF($H$6:$H18,$H18)=1,COUNT($AI$5:AI17)+1,""))</f>
      </c>
      <c r="AJ18" s="214">
        <f>IF(OR($B18="",$J18=0),"",$J18*100000000+IF(ISNUMBER($D18),$D18,0)*1000+(170-$A18))</f>
        <v>246247157</v>
      </c>
      <c r="AK18" s="214">
        <f>IF(OR($B18="",$W18&lt;=0),"",ROUND($W18*10,0)*100000+(170-$A18))</f>
        <v>5600157</v>
      </c>
      <c r="AL18" s="214">
        <f>IF(OR($B18="",$P18&lt;=0),"",ROUND($P18*10000,0)*1000+(170-$A18))</f>
        <v>588157</v>
      </c>
      <c r="AM18" s="214">
        <f>IF(AND($W18&gt;0,$O18&gt;0),COUNT($AM$5:AM17)+1,"")</f>
        <v>6</v>
      </c>
      <c r="AN18">
        <f>IF($B18="",0,IF($G18="",0,SUMPRODUCT(MAX(ISNUMBER(SEARCH(LocPattern,$G18))*LocIdx))))</f>
        <v>16</v>
      </c>
      <c r="AO18">
        <f>IFERROR(INDEX($H$6:$H$125,MATCH(13,$AI$6:$AI$125,0)),"")</f>
      </c>
      <c r="AP18">
        <f>IF($AO18="",0,SUMPRODUCT($AE$6:$AE$125*($H$6:$H$125=$AO18)))</f>
        <v>0</v>
      </c>
      <c r="AQ18">
        <f>IF($AO18="","",$AP18*1000+(21-13))</f>
      </c>
      <c r="AS18">
        <f>IFERROR(INDEX($F$6:$F$125,MATCH(13,$AH$6:$AH$125,0)),"")</f>
      </c>
      <c r="AT18">
        <f>IF($AS18="",0,SUMPRODUCT($AE$6:$AE$125*($F$6:$F$125=$AS18)))</f>
        <v>0</v>
      </c>
      <c r="AU18">
        <f>IF($AS18="","",$AT18*1000+(21-13))</f>
      </c>
      <c r="AW18">
        <f>IFERROR(INDEX($C$6:$C$125,MATCH(13,$AG$6:$AG$125,0)),"")</f>
      </c>
      <c r="AX18">
        <f>IF($AW18="",0,SUMPRODUCT($AE$6:$AE$125*($C$6:$C$125=$AW18)))</f>
        <v>0</v>
      </c>
      <c r="AY18">
        <f>IF($AW18="","",$AX18*1000+(21-13))</f>
      </c>
      <c r="BD18">
        <f>IFERROR(INDEX($W$6:$W$125,MATCH(13,$AM$6:$AM$125,0)),"")</f>
        <v>4.1</v>
      </c>
      <c r="BE18">
        <f>IFERROR(INDEX($O$6:$O$125,MATCH(13,$AM$6:$AM$125,0)),"")</f>
        <v>14</v>
      </c>
      <c r="BF18" t="str">
        <f>IFERROR(INDEX($B$6:$B$125,MATCH(13,$AM$6:$AM$125,0)),"")</f>
        <v>Gokulakrishnan</v>
      </c>
      <c r="BH18">
        <f>IF($AW17="","",$AW17)</f>
      </c>
      <c r="BI18">
        <f>IF($AO17="","",$AO17)</f>
      </c>
      <c r="BK18">
        <f>IF($AS17="","",$AS17)</f>
      </c>
      <c r="BL18" t="str">
        <f>IFERROR(INDEX($B$6:$B$125,MATCH(13,$AF$6:$AF$125,0)),"")</f>
        <v>Jayaselva Manikannan</v>
      </c>
    </row>
    <row r="19">
      <c r="A19" s="220" t="n">
        <v>14</v>
      </c>
      <c r="B19" s="220" t="str">
        <f>IF(TRIM('Master Data-2026'!D15)="","",TRIM('Master Data-2026'!D15))</f>
        <v>Rishi Kumar</v>
      </c>
      <c r="C19" s="220" t="str">
        <f>IF($B19="","",TRIM('Master Data-2026'!A15))</f>
        <v>Ananthy</v>
      </c>
      <c r="D19" s="221">
        <f>IF($B19="","",IF('Master Data-2026'!B15="","",'Master Data-2026'!B15))</f>
        <v>46247</v>
      </c>
      <c r="E19" s="220" t="str">
        <f>IF($B19="","",TRIM('Master Data-2026'!C15))</f>
        <v>August</v>
      </c>
      <c r="F19" s="220" t="str">
        <f>IF($B19="","",TRIM('Master Data-2026'!G15))</f>
        <v>Full Stack Developer</v>
      </c>
      <c r="G19" s="220" t="str">
        <f>IF($B19="","",TRIM('Master Data-2026'!F15))</f>
        <v>Chennai</v>
      </c>
      <c r="H19" s="220" t="str">
        <f>IF($B19="","",IF($G19="","Not recorded",IF($AN19=0,"Other",INDEX(LocCity,$AN19))))</f>
        <v>Chennai</v>
      </c>
      <c r="I19" s="220" t="str">
        <f>IF($B19="","",TRIM('Master Data-2026'!H15))</f>
        <v>Telephonic Screening</v>
      </c>
      <c r="J19" s="220">
        <f>IF($B19="",0,IFERROR(INDEX(StageOrderRef,MATCH($I19,StageNameRef,0)),0))</f>
        <v>1</v>
      </c>
      <c r="K19" s="220" t="str">
        <f>IF($B19="","",TRIM('Master Data-2026'!I15))</f>
        <v>No response dropped a message</v>
      </c>
      <c r="L19" s="220">
        <f>IF($B19="","",TRIM('Master Data-2026'!J15))</f>
      </c>
      <c r="M19" s="222">
        <f>IF($L19="",0,IF(ISNUMBER(SEARCH("%",$L19)),0,IFERROR(VALUE(LEFT($L19,IF(NOT(OR(AND(MID($L19,1,1)&gt;="0",MID($L19,1,1)&lt;="9"),MID($L19,1,1)=".")),0,IF(NOT(OR(AND(MID($L19,2,1)&gt;="0",MID($L19,2,1)&lt;="9"),MID($L19,2,1)=".")),1,IF(NOT(OR(AND(MID($L19,3,1)&gt;="0",MID($L19,3,1)&lt;="9"),MID($L19,3,1)=".")),2,IF(NOT(OR(AND(MID($L19,4,1)&gt;="0",MID($L19,4,1)&lt;="9"),MID($L19,4,1)=".")),3,IF(NOT(OR(AND(MID($L19,5,1)&gt;="0",MID($L19,5,1)&lt;="9"),MID($L19,5,1)=".")),4,IF(NOT(OR(AND(MID($L19,6,1)&gt;="0",MID($L19,6,1)&lt;="9"),MID($L19,6,1)=".")),5,6)))))))),0)))</f>
        <v>0</v>
      </c>
      <c r="N19" s="220">
        <f>IF($B19="","",TRIM('Master Data-2026'!K15))</f>
      </c>
      <c r="O19" s="222">
        <f>IF($N19="",0,IF(ISNUMBER(SEARCH("%",$N19)),0,IFERROR(VALUE(LEFT($N19,IF(NOT(OR(AND(MID($N19,1,1)&gt;="0",MID($N19,1,1)&lt;="9"),MID($N19,1,1)=".")),0,IF(NOT(OR(AND(MID($N19,2,1)&gt;="0",MID($N19,2,1)&lt;="9"),MID($N19,2,1)=".")),1,IF(NOT(OR(AND(MID($N19,3,1)&gt;="0",MID($N19,3,1)&lt;="9"),MID($N19,3,1)=".")),2,IF(NOT(OR(AND(MID($N19,4,1)&gt;="0",MID($N19,4,1)&lt;="9"),MID($N19,4,1)=".")),3,IF(NOT(OR(AND(MID($N19,5,1)&gt;="0",MID($N19,5,1)&lt;="9"),MID($N19,5,1)=".")),4,IF(NOT(OR(AND(MID($N19,6,1)&gt;="0",MID($N19,6,1)&lt;="9"),MID($N19,6,1)=".")),5,6)))))))),0)))</f>
        <v>0</v>
      </c>
      <c r="P19" s="223">
        <f>IF(AND($M19&gt;0,$O19&gt;0),$O19/$M19-1,0)</f>
        <v>0</v>
      </c>
      <c r="Q19" s="220">
        <f>IF($B19="","",TRIM('Master Data-2026'!L15))</f>
      </c>
      <c r="R19" s="220">
        <f>IF($Q19="",0,IF(ISNUMBER(SEARCH("%",$Q19)),0,IFERROR(VALUE(LEFT($Q19,IF(NOT(OR(AND(MID($Q19,1,1)&gt;="0",MID($Q19,1,1)&lt;="9"),MID($Q19,1,1)=".")),0,IF(NOT(OR(AND(MID($Q19,2,1)&gt;="0",MID($Q19,2,1)&lt;="9"),MID($Q19,2,1)=".")),1,IF(NOT(OR(AND(MID($Q19,3,1)&gt;="0",MID($Q19,3,1)&lt;="9"),MID($Q19,3,1)=".")),2,IF(NOT(OR(AND(MID($Q19,4,1)&gt;="0",MID($Q19,4,1)&lt;="9"),MID($Q19,4,1)=".")),3,IF(NOT(OR(AND(MID($Q19,5,1)&gt;="0",MID($Q19,5,1)&lt;="9"),MID($Q19,5,1)=".")),4,IF(NOT(OR(AND(MID($Q19,6,1)&gt;="0",MID($Q19,6,1)&lt;="9"),MID($Q19,6,1)=".")),5,6)))))))),0)))</f>
        <v>0</v>
      </c>
      <c r="S19" s="224">
        <f>IF($Q19="",-1,IF(ISNUMBER(SEARCH("immediate",$Q19)),0,IF(ISNUMBER(SEARCH("month",$Q19)),IF($R19=0,-1,$R19*30),IF(ISNUMBER(SEARCH("day",$Q19)),IF($R19=0,-1,$R19),-1))))</f>
        <v>-1</v>
      </c>
      <c r="T19" s="220" t="str">
        <f>IF($B19="","",IF($S19&lt;0,"Not recorded",IF($S19=0,"Immediate",IF($S19&lt;=30,"1-30 days",IF($S19&lt;=60,"31-60 days","60+ days")))))</f>
        <v>Not recorded</v>
      </c>
      <c r="U19" s="220">
        <f>IF($B19="","",IFERROR(MATCH($B19,'Submission template'!$D$17:$D$300,0),""))</f>
      </c>
      <c r="V19" s="220">
        <f>IF($U19="","",IFERROR(TRIM(INDEX('Submission template'!$I$17:$I$300,$U19)),""))</f>
      </c>
      <c r="W19" s="225">
        <f>IF($V19="",0,IF(ISNUMBER(SEARCH("%",$V19)),0,IFERROR(VALUE(LEFT($V19,IF(NOT(OR(AND(MID($V19,1,1)&gt;="0",MID($V19,1,1)&lt;="9"),MID($V19,1,1)=".")),0,IF(NOT(OR(AND(MID($V19,2,1)&gt;="0",MID($V19,2,1)&lt;="9"),MID($V19,2,1)=".")),1,IF(NOT(OR(AND(MID($V19,3,1)&gt;="0",MID($V19,3,1)&lt;="9"),MID($V19,3,1)=".")),2,IF(NOT(OR(AND(MID($V19,4,1)&gt;="0",MID($V19,4,1)&lt;="9"),MID($V19,4,1)=".")),3,IF(NOT(OR(AND(MID($V19,5,1)&gt;="0",MID($V19,5,1)&lt;="9"),MID($V19,5,1)=".")),4,IF(NOT(OR(AND(MID($V19,6,1)&gt;="0",MID($V19,6,1)&lt;="9"),MID($V19,6,1)=".")),5,6)))))))),0)))</f>
        <v>0</v>
      </c>
      <c r="X19" s="220">
        <f>IF($U19="","",IFERROR(TRIM(INDEX('Submission template'!$J$17:$J$300,$U19)),""))</f>
      </c>
      <c r="Y19" s="220">
        <f>IF($U19="","",IFERROR(TRIM(INDEX('Submission template'!$K$17:$K$300,$U19)),""))</f>
      </c>
      <c r="Z19" s="220">
        <f>IF($U19="","",IFERROR(TRIM(INDEX('Submission template'!$M$17:$M$300,$U19)),""))</f>
      </c>
      <c r="AA19" s="220">
        <f>IF($U19="","",IFERROR(TRIM(INDEX('Submission template'!$O$17:$O$300,$U19)),""))</f>
      </c>
      <c r="AB19" s="220">
        <f>IF($U19="","",IFERROR(TRIM(INDEX('Submission template'!$S$17:$S$300,$U19)),""))</f>
      </c>
      <c r="AC19" s="220">
        <f>IF($B19="",0,IF($U19="",0,1))</f>
        <v>0</v>
      </c>
      <c r="AD19" s="220">
        <f>IF($B19="",0,IF(OR($H19=TargetLocation,AND($AA19&lt;&gt;"",ISNUMBER(SEARCH(TargetLocation,$AA19)))),1,0))</f>
        <v>1</v>
      </c>
      <c r="AE19" s="220">
        <f>IF($B19="",0,IF(AND(OR(SelRecruiter="All",$C19=SelRecruiter),OR(SelCity="All",$H19=SelCity),OR(SelStage="All",$I19=SelStage),OR(SelRequisition="All",$F19=SelRequisition)),1,0))</f>
        <v>1</v>
      </c>
      <c r="AF19" s="220">
        <f>IF($B19="","",COUNT($AF$5:AF18)+1)</f>
        <v>14</v>
      </c>
      <c r="AG19" s="220">
        <f>IF($C19="","",IF(COUNTIF($C$6:$C19,$C19)=1,COUNT($AG$5:AG18)+1,""))</f>
      </c>
      <c r="AH19" s="220">
        <f>IF($F19="","",IF(COUNTIF($F$6:$F19,$F19)=1,COUNT($AH$5:AH18)+1,""))</f>
      </c>
      <c r="AI19" s="220">
        <f>IF($H19="","",IF(COUNTIF($H$6:$H19,$H19)=1,COUNT($AI$5:AI18)+1,""))</f>
      </c>
      <c r="AJ19" s="220">
        <f>IF(OR($B19="",$J19=0),"",$J19*100000000+IF(ISNUMBER($D19),$D19,0)*1000+(170-$A19))</f>
        <v>146247156</v>
      </c>
      <c r="AK19" s="220">
        <f>IF(OR($B19="",$W19&lt;=0),"",ROUND($W19*10,0)*100000+(170-$A19))</f>
      </c>
      <c r="AL19" s="220">
        <f>IF(OR($B19="",$P19&lt;=0),"",ROUND($P19*10000,0)*1000+(170-$A19))</f>
      </c>
      <c r="AM19" s="220">
        <f>IF(AND($W19&gt;0,$O19&gt;0),COUNT($AM$5:AM18)+1,"")</f>
      </c>
      <c r="AN19">
        <f>IF($B19="",0,IF($G19="",0,SUMPRODUCT(MAX(ISNUMBER(SEARCH(LocPattern,$G19))*LocIdx))))</f>
        <v>16</v>
      </c>
      <c r="AO19">
        <f>IFERROR(INDEX($H$6:$H$125,MATCH(14,$AI$6:$AI$125,0)),"")</f>
      </c>
      <c r="AP19">
        <f>IF($AO19="",0,SUMPRODUCT($AE$6:$AE$125*($H$6:$H$125=$AO19)))</f>
        <v>0</v>
      </c>
      <c r="AQ19">
        <f>IF($AO19="","",$AP19*1000+(21-14))</f>
      </c>
      <c r="AS19">
        <f>IFERROR(INDEX($F$6:$F$125,MATCH(14,$AH$6:$AH$125,0)),"")</f>
      </c>
      <c r="AT19">
        <f>IF($AS19="",0,SUMPRODUCT($AE$6:$AE$125*($F$6:$F$125=$AS19)))</f>
        <v>0</v>
      </c>
      <c r="AU19">
        <f>IF($AS19="","",$AT19*1000+(21-14))</f>
      </c>
      <c r="AW19">
        <f>IFERROR(INDEX($C$6:$C$125,MATCH(14,$AG$6:$AG$125,0)),"")</f>
      </c>
      <c r="AX19">
        <f>IF($AW19="",0,SUMPRODUCT($AE$6:$AE$125*($C$6:$C$125=$AW19)))</f>
        <v>0</v>
      </c>
      <c r="AY19">
        <f>IF($AW19="","",$AX19*1000+(21-14))</f>
      </c>
      <c r="BD19">
        <f>IFERROR(INDEX($W$6:$W$125,MATCH(14,$AM$6:$AM$125,0)),"")</f>
        <v>3</v>
      </c>
      <c r="BE19">
        <f>IFERROR(INDEX($O$6:$O$125,MATCH(14,$AM$6:$AM$125,0)),"")</f>
        <v>16</v>
      </c>
      <c r="BF19" t="str">
        <f>IFERROR(INDEX($B$6:$B$125,MATCH(14,$AM$6:$AM$125,0)),"")</f>
        <v>Sakthi Mukesh D</v>
      </c>
      <c r="BH19">
        <f>IF($AW18="","",$AW18)</f>
      </c>
      <c r="BI19">
        <f>IF($AO18="","",$AO18)</f>
      </c>
      <c r="BK19">
        <f>IF($AS18="","",$AS18)</f>
      </c>
      <c r="BL19" t="str">
        <f>IFERROR(INDEX($B$6:$B$125,MATCH(14,$AF$6:$AF$125,0)),"")</f>
        <v>Rishi Kumar</v>
      </c>
    </row>
    <row r="20">
      <c r="A20" s="214" t="n">
        <v>15</v>
      </c>
      <c r="B20" s="214" t="str">
        <f>IF(TRIM('Master Data-2026'!D16)="","",TRIM('Master Data-2026'!D16))</f>
        <v>Vinothkumar K</v>
      </c>
      <c r="C20" s="214" t="str">
        <f>IF($B20="","",TRIM('Master Data-2026'!A16))</f>
        <v>Ananthy</v>
      </c>
      <c r="D20" s="215">
        <f>IF($B20="","",IF('Master Data-2026'!B16="","",'Master Data-2026'!B16))</f>
        <v>46247</v>
      </c>
      <c r="E20" s="214" t="str">
        <f>IF($B20="","",TRIM('Master Data-2026'!C16))</f>
        <v>August</v>
      </c>
      <c r="F20" s="214" t="str">
        <f>IF($B20="","",TRIM('Master Data-2026'!G16))</f>
        <v>Full Stack Developer</v>
      </c>
      <c r="G20" s="214" t="str">
        <f>IF($B20="","",TRIM('Master Data-2026'!F16))</f>
        <v>Chennai</v>
      </c>
      <c r="H20" s="214" t="str">
        <f>IF($B20="","",IF($G20="","Not recorded",IF($AN20=0,"Other",INDEX(LocCity,$AN20))))</f>
        <v>Chennai</v>
      </c>
      <c r="I20" s="214" t="str">
        <f>IF($B20="","",TRIM('Master Data-2026'!H16))</f>
        <v>Telephonic Screening</v>
      </c>
      <c r="J20" s="214">
        <f>IF($B20="",0,IFERROR(INDEX(StageOrderRef,MATCH($I20,StageNameRef,0)),0))</f>
        <v>1</v>
      </c>
      <c r="K20" s="214" t="str">
        <f>IF($B20="","",TRIM('Master Data-2026'!I16))</f>
        <v>No response dropped a message</v>
      </c>
      <c r="L20" s="214">
        <f>IF($B20="","",TRIM('Master Data-2026'!J16))</f>
      </c>
      <c r="M20" s="216">
        <f>IF($L20="",0,IF(ISNUMBER(SEARCH("%",$L20)),0,IFERROR(VALUE(LEFT($L20,IF(NOT(OR(AND(MID($L20,1,1)&gt;="0",MID($L20,1,1)&lt;="9"),MID($L20,1,1)=".")),0,IF(NOT(OR(AND(MID($L20,2,1)&gt;="0",MID($L20,2,1)&lt;="9"),MID($L20,2,1)=".")),1,IF(NOT(OR(AND(MID($L20,3,1)&gt;="0",MID($L20,3,1)&lt;="9"),MID($L20,3,1)=".")),2,IF(NOT(OR(AND(MID($L20,4,1)&gt;="0",MID($L20,4,1)&lt;="9"),MID($L20,4,1)=".")),3,IF(NOT(OR(AND(MID($L20,5,1)&gt;="0",MID($L20,5,1)&lt;="9"),MID($L20,5,1)=".")),4,IF(NOT(OR(AND(MID($L20,6,1)&gt;="0",MID($L20,6,1)&lt;="9"),MID($L20,6,1)=".")),5,6)))))))),0)))</f>
        <v>0</v>
      </c>
      <c r="N20" s="214">
        <f>IF($B20="","",TRIM('Master Data-2026'!K16))</f>
      </c>
      <c r="O20" s="216">
        <f>IF($N20="",0,IF(ISNUMBER(SEARCH("%",$N20)),0,IFERROR(VALUE(LEFT($N20,IF(NOT(OR(AND(MID($N20,1,1)&gt;="0",MID($N20,1,1)&lt;="9"),MID($N20,1,1)=".")),0,IF(NOT(OR(AND(MID($N20,2,1)&gt;="0",MID($N20,2,1)&lt;="9"),MID($N20,2,1)=".")),1,IF(NOT(OR(AND(MID($N20,3,1)&gt;="0",MID($N20,3,1)&lt;="9"),MID($N20,3,1)=".")),2,IF(NOT(OR(AND(MID($N20,4,1)&gt;="0",MID($N20,4,1)&lt;="9"),MID($N20,4,1)=".")),3,IF(NOT(OR(AND(MID($N20,5,1)&gt;="0",MID($N20,5,1)&lt;="9"),MID($N20,5,1)=".")),4,IF(NOT(OR(AND(MID($N20,6,1)&gt;="0",MID($N20,6,1)&lt;="9"),MID($N20,6,1)=".")),5,6)))))))),0)))</f>
        <v>0</v>
      </c>
      <c r="P20" s="217">
        <f>IF(AND($M20&gt;0,$O20&gt;0),$O20/$M20-1,0)</f>
        <v>0</v>
      </c>
      <c r="Q20" s="214">
        <f>IF($B20="","",TRIM('Master Data-2026'!L16))</f>
      </c>
      <c r="R20" s="214">
        <f>IF($Q20="",0,IF(ISNUMBER(SEARCH("%",$Q20)),0,IFERROR(VALUE(LEFT($Q20,IF(NOT(OR(AND(MID($Q20,1,1)&gt;="0",MID($Q20,1,1)&lt;="9"),MID($Q20,1,1)=".")),0,IF(NOT(OR(AND(MID($Q20,2,1)&gt;="0",MID($Q20,2,1)&lt;="9"),MID($Q20,2,1)=".")),1,IF(NOT(OR(AND(MID($Q20,3,1)&gt;="0",MID($Q20,3,1)&lt;="9"),MID($Q20,3,1)=".")),2,IF(NOT(OR(AND(MID($Q20,4,1)&gt;="0",MID($Q20,4,1)&lt;="9"),MID($Q20,4,1)=".")),3,IF(NOT(OR(AND(MID($Q20,5,1)&gt;="0",MID($Q20,5,1)&lt;="9"),MID($Q20,5,1)=".")),4,IF(NOT(OR(AND(MID($Q20,6,1)&gt;="0",MID($Q20,6,1)&lt;="9"),MID($Q20,6,1)=".")),5,6)))))))),0)))</f>
        <v>0</v>
      </c>
      <c r="S20" s="218">
        <f>IF($Q20="",-1,IF(ISNUMBER(SEARCH("immediate",$Q20)),0,IF(ISNUMBER(SEARCH("month",$Q20)),IF($R20=0,-1,$R20*30),IF(ISNUMBER(SEARCH("day",$Q20)),IF($R20=0,-1,$R20),-1))))</f>
        <v>-1</v>
      </c>
      <c r="T20" s="214" t="str">
        <f>IF($B20="","",IF($S20&lt;0,"Not recorded",IF($S20=0,"Immediate",IF($S20&lt;=30,"1-30 days",IF($S20&lt;=60,"31-60 days","60+ days")))))</f>
        <v>Not recorded</v>
      </c>
      <c r="U20" s="214">
        <f>IF($B20="","",IFERROR(MATCH($B20,'Submission template'!$D$17:$D$300,0),""))</f>
      </c>
      <c r="V20" s="214">
        <f>IF($U20="","",IFERROR(TRIM(INDEX('Submission template'!$I$17:$I$300,$U20)),""))</f>
      </c>
      <c r="W20" s="219">
        <f>IF($V20="",0,IF(ISNUMBER(SEARCH("%",$V20)),0,IFERROR(VALUE(LEFT($V20,IF(NOT(OR(AND(MID($V20,1,1)&gt;="0",MID($V20,1,1)&lt;="9"),MID($V20,1,1)=".")),0,IF(NOT(OR(AND(MID($V20,2,1)&gt;="0",MID($V20,2,1)&lt;="9"),MID($V20,2,1)=".")),1,IF(NOT(OR(AND(MID($V20,3,1)&gt;="0",MID($V20,3,1)&lt;="9"),MID($V20,3,1)=".")),2,IF(NOT(OR(AND(MID($V20,4,1)&gt;="0",MID($V20,4,1)&lt;="9"),MID($V20,4,1)=".")),3,IF(NOT(OR(AND(MID($V20,5,1)&gt;="0",MID($V20,5,1)&lt;="9"),MID($V20,5,1)=".")),4,IF(NOT(OR(AND(MID($V20,6,1)&gt;="0",MID($V20,6,1)&lt;="9"),MID($V20,6,1)=".")),5,6)))))))),0)))</f>
        <v>0</v>
      </c>
      <c r="X20" s="214">
        <f>IF($U20="","",IFERROR(TRIM(INDEX('Submission template'!$J$17:$J$300,$U20)),""))</f>
      </c>
      <c r="Y20" s="214">
        <f>IF($U20="","",IFERROR(TRIM(INDEX('Submission template'!$K$17:$K$300,$U20)),""))</f>
      </c>
      <c r="Z20" s="214">
        <f>IF($U20="","",IFERROR(TRIM(INDEX('Submission template'!$M$17:$M$300,$U20)),""))</f>
      </c>
      <c r="AA20" s="214">
        <f>IF($U20="","",IFERROR(TRIM(INDEX('Submission template'!$O$17:$O$300,$U20)),""))</f>
      </c>
      <c r="AB20" s="214">
        <f>IF($U20="","",IFERROR(TRIM(INDEX('Submission template'!$S$17:$S$300,$U20)),""))</f>
      </c>
      <c r="AC20" s="214">
        <f>IF($B20="",0,IF($U20="",0,1))</f>
        <v>0</v>
      </c>
      <c r="AD20" s="214">
        <f>IF($B20="",0,IF(OR($H20=TargetLocation,AND($AA20&lt;&gt;"",ISNUMBER(SEARCH(TargetLocation,$AA20)))),1,0))</f>
        <v>1</v>
      </c>
      <c r="AE20" s="214">
        <f>IF($B20="",0,IF(AND(OR(SelRecruiter="All",$C20=SelRecruiter),OR(SelCity="All",$H20=SelCity),OR(SelStage="All",$I20=SelStage),OR(SelRequisition="All",$F20=SelRequisition)),1,0))</f>
        <v>1</v>
      </c>
      <c r="AF20" s="214">
        <f>IF($B20="","",COUNT($AF$5:AF19)+1)</f>
        <v>15</v>
      </c>
      <c r="AG20" s="214">
        <f>IF($C20="","",IF(COUNTIF($C$6:$C20,$C20)=1,COUNT($AG$5:AG19)+1,""))</f>
      </c>
      <c r="AH20" s="214">
        <f>IF($F20="","",IF(COUNTIF($F$6:$F20,$F20)=1,COUNT($AH$5:AH19)+1,""))</f>
      </c>
      <c r="AI20" s="214">
        <f>IF($H20="","",IF(COUNTIF($H$6:$H20,$H20)=1,COUNT($AI$5:AI19)+1,""))</f>
      </c>
      <c r="AJ20" s="214">
        <f>IF(OR($B20="",$J20=0),"",$J20*100000000+IF(ISNUMBER($D20),$D20,0)*1000+(170-$A20))</f>
        <v>146247155</v>
      </c>
      <c r="AK20" s="214">
        <f>IF(OR($B20="",$W20&lt;=0),"",ROUND($W20*10,0)*100000+(170-$A20))</f>
      </c>
      <c r="AL20" s="214">
        <f>IF(OR($B20="",$P20&lt;=0),"",ROUND($P20*10000,0)*1000+(170-$A20))</f>
      </c>
      <c r="AM20" s="214">
        <f>IF(AND($W20&gt;0,$O20&gt;0),COUNT($AM$5:AM19)+1,"")</f>
      </c>
      <c r="AN20">
        <f>IF($B20="",0,IF($G20="",0,SUMPRODUCT(MAX(ISNUMBER(SEARCH(LocPattern,$G20))*LocIdx))))</f>
        <v>16</v>
      </c>
      <c r="AO20">
        <f>IFERROR(INDEX($H$6:$H$125,MATCH(15,$AI$6:$AI$125,0)),"")</f>
      </c>
      <c r="AP20">
        <f>IF($AO20="",0,SUMPRODUCT($AE$6:$AE$125*($H$6:$H$125=$AO20)))</f>
        <v>0</v>
      </c>
      <c r="AQ20">
        <f>IF($AO20="","",$AP20*1000+(21-15))</f>
      </c>
      <c r="AS20">
        <f>IFERROR(INDEX($F$6:$F$125,MATCH(15,$AH$6:$AH$125,0)),"")</f>
      </c>
      <c r="AT20">
        <f>IF($AS20="",0,SUMPRODUCT($AE$6:$AE$125*($F$6:$F$125=$AS20)))</f>
        <v>0</v>
      </c>
      <c r="AU20">
        <f>IF($AS20="","",$AT20*1000+(21-15))</f>
      </c>
      <c r="AW20">
        <f>IFERROR(INDEX($C$6:$C$125,MATCH(15,$AG$6:$AG$125,0)),"")</f>
      </c>
      <c r="AX20">
        <f>IF($AW20="",0,SUMPRODUCT($AE$6:$AE$125*($C$6:$C$125=$AW20)))</f>
        <v>0</v>
      </c>
      <c r="AY20">
        <f>IF($AW20="","",$AX20*1000+(21-15))</f>
      </c>
      <c r="BD20">
        <f>IFERROR(INDEX($W$6:$W$125,MATCH(15,$AM$6:$AM$125,0)),"")</f>
        <v>3</v>
      </c>
      <c r="BE20">
        <f>IFERROR(INDEX($O$6:$O$125,MATCH(15,$AM$6:$AM$125,0)),"")</f>
        <v>15</v>
      </c>
      <c r="BF20" t="str">
        <f>IFERROR(INDEX($B$6:$B$125,MATCH(15,$AM$6:$AM$125,0)),"")</f>
        <v>Duraipandi R</v>
      </c>
      <c r="BH20">
        <f>IF($AW19="","",$AW19)</f>
      </c>
      <c r="BI20">
        <f>IF($AO19="","",$AO19)</f>
      </c>
      <c r="BK20">
        <f>IF($AS19="","",$AS19)</f>
      </c>
      <c r="BL20" t="str">
        <f>IFERROR(INDEX($B$6:$B$125,MATCH(15,$AF$6:$AF$125,0)),"")</f>
        <v>Vinothkumar K</v>
      </c>
    </row>
    <row r="21">
      <c r="A21" s="220" t="n">
        <v>16</v>
      </c>
      <c r="B21" s="220" t="str">
        <f>IF(TRIM('Master Data-2026'!D17)="","",TRIM('Master Data-2026'!D17))</f>
        <v>Yuva Charan Reddy Durgam</v>
      </c>
      <c r="C21" s="220" t="str">
        <f>IF($B21="","",TRIM('Master Data-2026'!A17))</f>
        <v>Ananthy</v>
      </c>
      <c r="D21" s="221">
        <f>IF($B21="","",IF('Master Data-2026'!B17="","",'Master Data-2026'!B17))</f>
        <v>46247</v>
      </c>
      <c r="E21" s="220" t="str">
        <f>IF($B21="","",TRIM('Master Data-2026'!C17))</f>
        <v>August</v>
      </c>
      <c r="F21" s="220" t="str">
        <f>IF($B21="","",TRIM('Master Data-2026'!G17))</f>
        <v>Full Stack Lead</v>
      </c>
      <c r="G21" s="220" t="str">
        <f>IF($B21="","",TRIM('Master Data-2026'!F17))</f>
        <v>Tirupati</v>
      </c>
      <c r="H21" s="220" t="str">
        <f>IF($B21="","",IF($G21="","Not recorded",IF($AN21=0,"Other",INDEX(LocCity,$AN21))))</f>
        <v>Tirupati</v>
      </c>
      <c r="I21" s="220" t="str">
        <f>IF($B21="","",TRIM('Master Data-2026'!H17))</f>
        <v>ZN Submission</v>
      </c>
      <c r="J21" s="220">
        <f>IF($B21="",0,IFERROR(INDEX(StageOrderRef,MATCH($I21,StageNameRef,0)),0))</f>
        <v>2</v>
      </c>
      <c r="K21" s="220" t="str">
        <f>IF($B21="","",TRIM('Master Data-2026'!I17))</f>
        <v>Client Review</v>
      </c>
      <c r="L21" s="220" t="str">
        <f>IF($B21="","",TRIM('Master Data-2026'!J17))</f>
        <v>20.5 LPA</v>
      </c>
      <c r="M21" s="222">
        <f>IF($L21="",0,IF(ISNUMBER(SEARCH("%",$L21)),0,IFERROR(VALUE(LEFT($L21,IF(NOT(OR(AND(MID($L21,1,1)&gt;="0",MID($L21,1,1)&lt;="9"),MID($L21,1,1)=".")),0,IF(NOT(OR(AND(MID($L21,2,1)&gt;="0",MID($L21,2,1)&lt;="9"),MID($L21,2,1)=".")),1,IF(NOT(OR(AND(MID($L21,3,1)&gt;="0",MID($L21,3,1)&lt;="9"),MID($L21,3,1)=".")),2,IF(NOT(OR(AND(MID($L21,4,1)&gt;="0",MID($L21,4,1)&lt;="9"),MID($L21,4,1)=".")),3,IF(NOT(OR(AND(MID($L21,5,1)&gt;="0",MID($L21,5,1)&lt;="9"),MID($L21,5,1)=".")),4,IF(NOT(OR(AND(MID($L21,6,1)&gt;="0",MID($L21,6,1)&lt;="9"),MID($L21,6,1)=".")),5,6)))))))),0)))</f>
        <v>20.5</v>
      </c>
      <c r="N21" s="220" t="str">
        <f>IF($B21="","",TRIM('Master Data-2026'!K17))</f>
        <v>35 LPA</v>
      </c>
      <c r="O21" s="222">
        <f>IF($N21="",0,IF(ISNUMBER(SEARCH("%",$N21)),0,IFERROR(VALUE(LEFT($N21,IF(NOT(OR(AND(MID($N21,1,1)&gt;="0",MID($N21,1,1)&lt;="9"),MID($N21,1,1)=".")),0,IF(NOT(OR(AND(MID($N21,2,1)&gt;="0",MID($N21,2,1)&lt;="9"),MID($N21,2,1)=".")),1,IF(NOT(OR(AND(MID($N21,3,1)&gt;="0",MID($N21,3,1)&lt;="9"),MID($N21,3,1)=".")),2,IF(NOT(OR(AND(MID($N21,4,1)&gt;="0",MID($N21,4,1)&lt;="9"),MID($N21,4,1)=".")),3,IF(NOT(OR(AND(MID($N21,5,1)&gt;="0",MID($N21,5,1)&lt;="9"),MID($N21,5,1)=".")),4,IF(NOT(OR(AND(MID($N21,6,1)&gt;="0",MID($N21,6,1)&lt;="9"),MID($N21,6,1)=".")),5,6)))))))),0)))</f>
        <v>35</v>
      </c>
      <c r="P21" s="223">
        <f>IF(AND($M21&gt;0,$O21&gt;0),$O21/$M21-1,0)</f>
        <v>0.7073170731707317</v>
      </c>
      <c r="Q21" s="220" t="str">
        <f>IF($B21="","",TRIM('Master Data-2026'!L17))</f>
        <v>LWD - 18th Sep</v>
      </c>
      <c r="R21" s="220">
        <f>IF($Q21="",0,IF(ISNUMBER(SEARCH("%",$Q21)),0,IFERROR(VALUE(LEFT($Q21,IF(NOT(OR(AND(MID($Q21,1,1)&gt;="0",MID($Q21,1,1)&lt;="9"),MID($Q21,1,1)=".")),0,IF(NOT(OR(AND(MID($Q21,2,1)&gt;="0",MID($Q21,2,1)&lt;="9"),MID($Q21,2,1)=".")),1,IF(NOT(OR(AND(MID($Q21,3,1)&gt;="0",MID($Q21,3,1)&lt;="9"),MID($Q21,3,1)=".")),2,IF(NOT(OR(AND(MID($Q21,4,1)&gt;="0",MID($Q21,4,1)&lt;="9"),MID($Q21,4,1)=".")),3,IF(NOT(OR(AND(MID($Q21,5,1)&gt;="0",MID($Q21,5,1)&lt;="9"),MID($Q21,5,1)=".")),4,IF(NOT(OR(AND(MID($Q21,6,1)&gt;="0",MID($Q21,6,1)&lt;="9"),MID($Q21,6,1)=".")),5,6)))))))),0)))</f>
        <v>0</v>
      </c>
      <c r="S21" s="224">
        <f>IF($Q21="",-1,IF(ISNUMBER(SEARCH("immediate",$Q21)),0,IF(ISNUMBER(SEARCH("month",$Q21)),IF($R21=0,-1,$R21*30),IF(ISNUMBER(SEARCH("day",$Q21)),IF($R21=0,-1,$R21),-1))))</f>
        <v>-1</v>
      </c>
      <c r="T21" s="220" t="str">
        <f>IF($B21="","",IF($S21&lt;0,"Not recorded",IF($S21=0,"Immediate",IF($S21&lt;=30,"1-30 days",IF($S21&lt;=60,"31-60 days","60+ days")))))</f>
        <v>Not recorded</v>
      </c>
      <c r="U21" s="220">
        <f>IF($B21="","",IFERROR(MATCH($B21,'Submission template'!$D$17:$D$300,0),""))</f>
        <v>1</v>
      </c>
      <c r="V21" s="220" t="str">
        <f>IF($U21="","",IFERROR(TRIM(INDEX('Submission template'!$I$17:$I$300,$U21)),""))</f>
        <v>8.2 years</v>
      </c>
      <c r="W21" s="225">
        <f>IF($V21="",0,IF(ISNUMBER(SEARCH("%",$V21)),0,IFERROR(VALUE(LEFT($V21,IF(NOT(OR(AND(MID($V21,1,1)&gt;="0",MID($V21,1,1)&lt;="9"),MID($V21,1,1)=".")),0,IF(NOT(OR(AND(MID($V21,2,1)&gt;="0",MID($V21,2,1)&lt;="9"),MID($V21,2,1)=".")),1,IF(NOT(OR(AND(MID($V21,3,1)&gt;="0",MID($V21,3,1)&lt;="9"),MID($V21,3,1)=".")),2,IF(NOT(OR(AND(MID($V21,4,1)&gt;="0",MID($V21,4,1)&lt;="9"),MID($V21,4,1)=".")),3,IF(NOT(OR(AND(MID($V21,5,1)&gt;="0",MID($V21,5,1)&lt;="9"),MID($V21,5,1)=".")),4,IF(NOT(OR(AND(MID($V21,6,1)&gt;="0",MID($V21,6,1)&lt;="9"),MID($V21,6,1)=".")),5,6)))))))),0)))</f>
        <v>8.2</v>
      </c>
      <c r="X21" s="220" t="str">
        <f>IF($U21="","",IFERROR(TRIM(INDEX('Submission template'!$J$17:$J$300,$U21)),""))</f>
        <v>React 6 y +Node 4y</v>
      </c>
      <c r="Y21" s="220" t="str">
        <f>IF($U21="","",IFERROR(TRIM(INDEX('Submission template'!$K$17:$K$300,$U21)),""))</f>
        <v>Virtusa</v>
      </c>
      <c r="Z21" s="220" t="str">
        <f>IF($U21="","",IFERROR(TRIM(INDEX('Submission template'!$M$17:$M$300,$U21)),""))</f>
        <v>Lead Software Engineer</v>
      </c>
      <c r="AA21" s="220" t="str">
        <f>IF($U21="","",IFERROR(TRIM(INDEX('Submission template'!$O$17:$O$300,$U21)),""))</f>
        <v>Chennai</v>
      </c>
      <c r="AB21" s="220" t="str">
        <f>IF($U21="","",IFERROR(TRIM(INDEX('Submission template'!$S$17:$S$300,$U21)),""))</f>
        <v>Career Growth</v>
      </c>
      <c r="AC21" s="220">
        <f>IF($B21="",0,IF($U21="",0,1))</f>
        <v>1</v>
      </c>
      <c r="AD21" s="220">
        <f>IF($B21="",0,IF(OR($H21=TargetLocation,AND($AA21&lt;&gt;"",ISNUMBER(SEARCH(TargetLocation,$AA21)))),1,0))</f>
        <v>1</v>
      </c>
      <c r="AE21" s="220">
        <f>IF($B21="",0,IF(AND(OR(SelRecruiter="All",$C21=SelRecruiter),OR(SelCity="All",$H21=SelCity),OR(SelStage="All",$I21=SelStage),OR(SelRequisition="All",$F21=SelRequisition)),1,0))</f>
        <v>1</v>
      </c>
      <c r="AF21" s="220">
        <f>IF($B21="","",COUNT($AF$5:AF20)+1)</f>
        <v>16</v>
      </c>
      <c r="AG21" s="220">
        <f>IF($C21="","",IF(COUNTIF($C$6:$C21,$C21)=1,COUNT($AG$5:AG20)+1,""))</f>
      </c>
      <c r="AH21" s="220">
        <f>IF($F21="","",IF(COUNTIF($F$6:$F21,$F21)=1,COUNT($AH$5:AH20)+1,""))</f>
        <v>2</v>
      </c>
      <c r="AI21" s="220">
        <f>IF($H21="","",IF(COUNTIF($H$6:$H21,$H21)=1,COUNT($AI$5:AI20)+1,""))</f>
        <v>4</v>
      </c>
      <c r="AJ21" s="220">
        <f>IF(OR($B21="",$J21=0),"",$J21*100000000+IF(ISNUMBER($D21),$D21,0)*1000+(170-$A21))</f>
        <v>246247154</v>
      </c>
      <c r="AK21" s="220">
        <f>IF(OR($B21="",$W21&lt;=0),"",ROUND($W21*10,0)*100000+(170-$A21))</f>
        <v>8200154</v>
      </c>
      <c r="AL21" s="220">
        <f>IF(OR($B21="",$P21&lt;=0),"",ROUND($P21*10000,0)*1000+(170-$A21))</f>
        <v>7073154</v>
      </c>
      <c r="AM21" s="220">
        <f>IF(AND($W21&gt;0,$O21&gt;0),COUNT($AM$5:AM20)+1,"")</f>
        <v>7</v>
      </c>
      <c r="AN21">
        <f>IF($B21="",0,IF($G21="",0,SUMPRODUCT(MAX(ISNUMBER(SEARCH(LocPattern,$G21))*LocIdx))))</f>
        <v>24</v>
      </c>
      <c r="AO21">
        <f>IFERROR(INDEX($H$6:$H$125,MATCH(16,$AI$6:$AI$125,0)),"")</f>
      </c>
      <c r="AP21">
        <f>IF($AO21="",0,SUMPRODUCT($AE$6:$AE$125*($H$6:$H$125=$AO21)))</f>
        <v>0</v>
      </c>
      <c r="AQ21">
        <f>IF($AO21="","",$AP21*1000+(21-16))</f>
      </c>
      <c r="AS21">
        <f>IFERROR(INDEX($F$6:$F$125,MATCH(16,$AH$6:$AH$125,0)),"")</f>
      </c>
      <c r="AT21">
        <f>IF($AS21="",0,SUMPRODUCT($AE$6:$AE$125*($F$6:$F$125=$AS21)))</f>
        <v>0</v>
      </c>
      <c r="AU21">
        <f>IF($AS21="","",$AT21*1000+(21-16))</f>
      </c>
      <c r="AW21">
        <f>IFERROR(INDEX($C$6:$C$125,MATCH(16,$AG$6:$AG$125,0)),"")</f>
      </c>
      <c r="AX21">
        <f>IF($AW21="",0,SUMPRODUCT($AE$6:$AE$125*($C$6:$C$125=$AW21)))</f>
        <v>0</v>
      </c>
      <c r="AY21">
        <f>IF($AW21="","",$AX21*1000+(21-16))</f>
      </c>
      <c r="BD21">
        <f>IFERROR(INDEX($W$6:$W$125,MATCH(16,$AM$6:$AM$125,0)),"")</f>
        <v>3</v>
      </c>
      <c r="BE21">
        <f>IFERROR(INDEX($O$6:$O$125,MATCH(16,$AM$6:$AM$125,0)),"")</f>
        <v>16</v>
      </c>
      <c r="BF21" t="str">
        <f>IFERROR(INDEX($B$6:$B$125,MATCH(16,$AM$6:$AM$125,0)),"")</f>
        <v>syed sharukh</v>
      </c>
      <c r="BH21">
        <f>IF($AW20="","",$AW20)</f>
      </c>
      <c r="BI21">
        <f>IF($AO20="","",$AO20)</f>
      </c>
      <c r="BK21">
        <f>IF($AS20="","",$AS20)</f>
      </c>
      <c r="BL21" t="str">
        <f>IFERROR(INDEX($B$6:$B$125,MATCH(16,$AF$6:$AF$125,0)),"")</f>
        <v>Yuva Charan Reddy Durgam</v>
      </c>
    </row>
    <row r="22">
      <c r="A22" s="214" t="n">
        <v>17</v>
      </c>
      <c r="B22" s="214" t="str">
        <f>IF(TRIM('Master Data-2026'!D18)="","",TRIM('Master Data-2026'!D18))</f>
        <v>Srinivasan Balaji</v>
      </c>
      <c r="C22" s="214" t="str">
        <f>IF($B22="","",TRIM('Master Data-2026'!A18))</f>
        <v>Kirthi</v>
      </c>
      <c r="D22" s="215">
        <f>IF($B22="","",IF('Master Data-2026'!B18="","",'Master Data-2026'!B18))</f>
        <v>46247</v>
      </c>
      <c r="E22" s="214" t="str">
        <f>IF($B22="","",TRIM('Master Data-2026'!C18))</f>
        <v>August</v>
      </c>
      <c r="F22" s="214" t="str">
        <f>IF($B22="","",TRIM('Master Data-2026'!G18))</f>
        <v>Full Stack Developer</v>
      </c>
      <c r="G22" s="214" t="str">
        <f>IF($B22="","",TRIM('Master Data-2026'!F18))</f>
        <v>Taramani, Chennai</v>
      </c>
      <c r="H22" s="214" t="str">
        <f>IF($B22="","",IF($G22="","Not recorded",IF($AN22=0,"Other",INDEX(LocCity,$AN22))))</f>
        <v>Chennai</v>
      </c>
      <c r="I22" s="214" t="str">
        <f>IF($B22="","",TRIM('Master Data-2026'!H18))</f>
        <v>Telephonic Screening</v>
      </c>
      <c r="J22" s="214">
        <f>IF($B22="",0,IFERROR(INDEX(StageOrderRef,MATCH($I22,StageNameRef,0)),0))</f>
        <v>1</v>
      </c>
      <c r="K22" s="214" t="str">
        <f>IF($B22="","",TRIM('Master Data-2026'!I18))</f>
        <v>Jd sent, waiting for acknowlegment.</v>
      </c>
      <c r="L22" s="214" t="str">
        <f>IF($B22="","",TRIM('Master Data-2026'!J18))</f>
        <v>11 LPA</v>
      </c>
      <c r="M22" s="216">
        <f>IF($L22="",0,IF(ISNUMBER(SEARCH("%",$L22)),0,IFERROR(VALUE(LEFT($L22,IF(NOT(OR(AND(MID($L22,1,1)&gt;="0",MID($L22,1,1)&lt;="9"),MID($L22,1,1)=".")),0,IF(NOT(OR(AND(MID($L22,2,1)&gt;="0",MID($L22,2,1)&lt;="9"),MID($L22,2,1)=".")),1,IF(NOT(OR(AND(MID($L22,3,1)&gt;="0",MID($L22,3,1)&lt;="9"),MID($L22,3,1)=".")),2,IF(NOT(OR(AND(MID($L22,4,1)&gt;="0",MID($L22,4,1)&lt;="9"),MID($L22,4,1)=".")),3,IF(NOT(OR(AND(MID($L22,5,1)&gt;="0",MID($L22,5,1)&lt;="9"),MID($L22,5,1)=".")),4,IF(NOT(OR(AND(MID($L22,6,1)&gt;="0",MID($L22,6,1)&lt;="9"),MID($L22,6,1)=".")),5,6)))))))),0)))</f>
        <v>11</v>
      </c>
      <c r="N22" s="214" t="str">
        <f>IF($B22="","",TRIM('Master Data-2026'!K18))</f>
        <v>14 LPA</v>
      </c>
      <c r="O22" s="216">
        <f>IF($N22="",0,IF(ISNUMBER(SEARCH("%",$N22)),0,IFERROR(VALUE(LEFT($N22,IF(NOT(OR(AND(MID($N22,1,1)&gt;="0",MID($N22,1,1)&lt;="9"),MID($N22,1,1)=".")),0,IF(NOT(OR(AND(MID($N22,2,1)&gt;="0",MID($N22,2,1)&lt;="9"),MID($N22,2,1)=".")),1,IF(NOT(OR(AND(MID($N22,3,1)&gt;="0",MID($N22,3,1)&lt;="9"),MID($N22,3,1)=".")),2,IF(NOT(OR(AND(MID($N22,4,1)&gt;="0",MID($N22,4,1)&lt;="9"),MID($N22,4,1)=".")),3,IF(NOT(OR(AND(MID($N22,5,1)&gt;="0",MID($N22,5,1)&lt;="9"),MID($N22,5,1)=".")),4,IF(NOT(OR(AND(MID($N22,6,1)&gt;="0",MID($N22,6,1)&lt;="9"),MID($N22,6,1)=".")),5,6)))))))),0)))</f>
        <v>14</v>
      </c>
      <c r="P22" s="217">
        <f>IF(AND($M22&gt;0,$O22&gt;0),$O22/$M22-1,0)</f>
        <v>0.2727272727272727</v>
      </c>
      <c r="Q22" s="214" t="str">
        <f>IF($B22="","",TRIM('Master Data-2026'!L18))</f>
        <v>Serving notice (LWD- 6 Sept)</v>
      </c>
      <c r="R22" s="214">
        <f>IF($Q22="",0,IF(ISNUMBER(SEARCH("%",$Q22)),0,IFERROR(VALUE(LEFT($Q22,IF(NOT(OR(AND(MID($Q22,1,1)&gt;="0",MID($Q22,1,1)&lt;="9"),MID($Q22,1,1)=".")),0,IF(NOT(OR(AND(MID($Q22,2,1)&gt;="0",MID($Q22,2,1)&lt;="9"),MID($Q22,2,1)=".")),1,IF(NOT(OR(AND(MID($Q22,3,1)&gt;="0",MID($Q22,3,1)&lt;="9"),MID($Q22,3,1)=".")),2,IF(NOT(OR(AND(MID($Q22,4,1)&gt;="0",MID($Q22,4,1)&lt;="9"),MID($Q22,4,1)=".")),3,IF(NOT(OR(AND(MID($Q22,5,1)&gt;="0",MID($Q22,5,1)&lt;="9"),MID($Q22,5,1)=".")),4,IF(NOT(OR(AND(MID($Q22,6,1)&gt;="0",MID($Q22,6,1)&lt;="9"),MID($Q22,6,1)=".")),5,6)))))))),0)))</f>
        <v>0</v>
      </c>
      <c r="S22" s="218">
        <f>IF($Q22="",-1,IF(ISNUMBER(SEARCH("immediate",$Q22)),0,IF(ISNUMBER(SEARCH("month",$Q22)),IF($R22=0,-1,$R22*30),IF(ISNUMBER(SEARCH("day",$Q22)),IF($R22=0,-1,$R22),-1))))</f>
        <v>-1</v>
      </c>
      <c r="T22" s="214" t="str">
        <f>IF($B22="","",IF($S22&lt;0,"Not recorded",IF($S22=0,"Immediate",IF($S22&lt;=30,"1-30 days",IF($S22&lt;=60,"31-60 days","60+ days")))))</f>
        <v>Not recorded</v>
      </c>
      <c r="U22" s="214">
        <f>IF($B22="","",IFERROR(MATCH($B22,'Submission template'!$D$17:$D$300,0),""))</f>
        <v>14</v>
      </c>
      <c r="V22" s="214" t="str">
        <f>IF($U22="","",IFERROR(TRIM(INDEX('Submission template'!$I$17:$I$300,$U22)),""))</f>
        <v>4.1 Years</v>
      </c>
      <c r="W22" s="219">
        <f>IF($V22="",0,IF(ISNUMBER(SEARCH("%",$V22)),0,IFERROR(VALUE(LEFT($V22,IF(NOT(OR(AND(MID($V22,1,1)&gt;="0",MID($V22,1,1)&lt;="9"),MID($V22,1,1)=".")),0,IF(NOT(OR(AND(MID($V22,2,1)&gt;="0",MID($V22,2,1)&lt;="9"),MID($V22,2,1)=".")),1,IF(NOT(OR(AND(MID($V22,3,1)&gt;="0",MID($V22,3,1)&lt;="9"),MID($V22,3,1)=".")),2,IF(NOT(OR(AND(MID($V22,4,1)&gt;="0",MID($V22,4,1)&lt;="9"),MID($V22,4,1)=".")),3,IF(NOT(OR(AND(MID($V22,5,1)&gt;="0",MID($V22,5,1)&lt;="9"),MID($V22,5,1)=".")),4,IF(NOT(OR(AND(MID($V22,6,1)&gt;="0",MID($V22,6,1)&lt;="9"),MID($V22,6,1)=".")),5,6)))))))),0)))</f>
        <v>4.1</v>
      </c>
      <c r="X22" s="214" t="str">
        <f>IF($U22="","",IFERROR(TRIM(INDEX('Submission template'!$J$17:$J$300,$U22)),""))</f>
        <v>React 4 Y + Node 4 Y</v>
      </c>
      <c r="Y22" s="214" t="str">
        <f>IF($U22="","",IFERROR(TRIM(INDEX('Submission template'!$K$17:$K$300,$U22)),""))</f>
        <v>IQVIA</v>
      </c>
      <c r="Z22" s="214" t="str">
        <f>IF($U22="","",IFERROR(TRIM(INDEX('Submission template'!$M$17:$M$300,$U22)),""))</f>
        <v>Software Development Engineer 2 (SDE-2) ·</v>
      </c>
      <c r="AA22" s="214" t="str">
        <f>IF($U22="","",IFERROR(TRIM(INDEX('Submission template'!$O$17:$O$300,$U22)),""))</f>
        <v>Chennai</v>
      </c>
      <c r="AB22" s="214" t="str">
        <f>IF($U22="","",IFERROR(TRIM(INDEX('Submission template'!$S$17:$S$300,$U22)),""))</f>
        <v>Current Project coming to an end</v>
      </c>
      <c r="AC22" s="214">
        <f>IF($B22="",0,IF($U22="",0,1))</f>
        <v>1</v>
      </c>
      <c r="AD22" s="214">
        <f>IF($B22="",0,IF(OR($H22=TargetLocation,AND($AA22&lt;&gt;"",ISNUMBER(SEARCH(TargetLocation,$AA22)))),1,0))</f>
        <v>1</v>
      </c>
      <c r="AE22" s="214">
        <f>IF($B22="",0,IF(AND(OR(SelRecruiter="All",$C22=SelRecruiter),OR(SelCity="All",$H22=SelCity),OR(SelStage="All",$I22=SelStage),OR(SelRequisition="All",$F22=SelRequisition)),1,0))</f>
        <v>1</v>
      </c>
      <c r="AF22" s="214">
        <f>IF($B22="","",COUNT($AF$5:AF21)+1)</f>
        <v>17</v>
      </c>
      <c r="AG22" s="214">
        <f>IF($C22="","",IF(COUNTIF($C$6:$C22,$C22)=1,COUNT($AG$5:AG21)+1,""))</f>
        <v>5</v>
      </c>
      <c r="AH22" s="214">
        <f>IF($F22="","",IF(COUNTIF($F$6:$F22,$F22)=1,COUNT($AH$5:AH21)+1,""))</f>
      </c>
      <c r="AI22" s="214">
        <f>IF($H22="","",IF(COUNTIF($H$6:$H22,$H22)=1,COUNT($AI$5:AI21)+1,""))</f>
      </c>
      <c r="AJ22" s="214">
        <f>IF(OR($B22="",$J22=0),"",$J22*100000000+IF(ISNUMBER($D22),$D22,0)*1000+(170-$A22))</f>
        <v>146247153</v>
      </c>
      <c r="AK22" s="214">
        <f>IF(OR($B22="",$W22&lt;=0),"",ROUND($W22*10,0)*100000+(170-$A22))</f>
        <v>4100153</v>
      </c>
      <c r="AL22" s="214">
        <f>IF(OR($B22="",$P22&lt;=0),"",ROUND($P22*10000,0)*1000+(170-$A22))</f>
        <v>2727153</v>
      </c>
      <c r="AM22" s="214">
        <f>IF(AND($W22&gt;0,$O22&gt;0),COUNT($AM$5:AM21)+1,"")</f>
        <v>8</v>
      </c>
      <c r="AN22">
        <f>IF($B22="",0,IF($G22="",0,SUMPRODUCT(MAX(ISNUMBER(SEARCH(LocPattern,$G22))*LocIdx))))</f>
        <v>16</v>
      </c>
      <c r="AO22">
        <f>IFERROR(INDEX($H$6:$H$125,MATCH(17,$AI$6:$AI$125,0)),"")</f>
      </c>
      <c r="AP22">
        <f>IF($AO22="",0,SUMPRODUCT($AE$6:$AE$125*($H$6:$H$125=$AO22)))</f>
        <v>0</v>
      </c>
      <c r="AQ22">
        <f>IF($AO22="","",$AP22*1000+(21-17))</f>
      </c>
      <c r="AS22">
        <f>IFERROR(INDEX($F$6:$F$125,MATCH(17,$AH$6:$AH$125,0)),"")</f>
      </c>
      <c r="AT22">
        <f>IF($AS22="",0,SUMPRODUCT($AE$6:$AE$125*($F$6:$F$125=$AS22)))</f>
        <v>0</v>
      </c>
      <c r="AU22">
        <f>IF($AS22="","",$AT22*1000+(21-17))</f>
      </c>
      <c r="AW22">
        <f>IFERROR(INDEX($C$6:$C$125,MATCH(17,$AG$6:$AG$125,0)),"")</f>
      </c>
      <c r="AX22">
        <f>IF($AW22="",0,SUMPRODUCT($AE$6:$AE$125*($C$6:$C$125=$AW22)))</f>
        <v>0</v>
      </c>
      <c r="AY22">
        <f>IF($AW22="","",$AX22*1000+(21-17))</f>
      </c>
      <c r="BD22">
        <f>IFERROR(INDEX($W$6:$W$125,MATCH(17,$AM$6:$AM$125,0)),"")</f>
        <v>9.6</v>
      </c>
      <c r="BE22">
        <f>IFERROR(INDEX($O$6:$O$125,MATCH(17,$AM$6:$AM$125,0)),"")</f>
        <v>32</v>
      </c>
      <c r="BF22" t="str">
        <f>IFERROR(INDEX($B$6:$B$125,MATCH(17,$AM$6:$AM$125,0)),"")</f>
        <v>Gnanamani</v>
      </c>
      <c r="BL22" t="str">
        <f>IFERROR(INDEX($B$6:$B$125,MATCH(17,$AF$6:$AF$125,0)),"")</f>
        <v>Srinivasan Balaji</v>
      </c>
    </row>
    <row r="23">
      <c r="A23" s="220" t="n">
        <v>18</v>
      </c>
      <c r="B23" s="220" t="str">
        <f>IF(TRIM('Master Data-2026'!D19)="","",TRIM('Master Data-2026'!D19))</f>
        <v>Sivasakthi Paramasivam</v>
      </c>
      <c r="C23" s="220" t="str">
        <f>IF($B23="","",TRIM('Master Data-2026'!A19))</f>
        <v>Kirthi</v>
      </c>
      <c r="D23" s="221">
        <f>IF($B23="","",IF('Master Data-2026'!B19="","",'Master Data-2026'!B19))</f>
        <v>46247</v>
      </c>
      <c r="E23" s="220" t="str">
        <f>IF($B23="","",TRIM('Master Data-2026'!C19))</f>
        <v>August</v>
      </c>
      <c r="F23" s="220" t="str">
        <f>IF($B23="","",TRIM('Master Data-2026'!G19))</f>
        <v>Full Stack Developer</v>
      </c>
      <c r="G23" s="220">
        <f>IF($B23="","",TRIM('Master Data-2026'!F19))</f>
      </c>
      <c r="H23" s="220" t="str">
        <f>IF($B23="","",IF($G23="","Not recorded",IF($AN23=0,"Other",INDEX(LocCity,$AN23))))</f>
        <v>Not recorded</v>
      </c>
      <c r="I23" s="220" t="str">
        <f>IF($B23="","",TRIM('Master Data-2026'!H19))</f>
        <v>Telephonic Screening</v>
      </c>
      <c r="J23" s="220">
        <f>IF($B23="",0,IFERROR(INDEX(StageOrderRef,MATCH($I23,StageNameRef,0)),0))</f>
        <v>1</v>
      </c>
      <c r="K23" s="220">
        <f>IF($B23="","",TRIM('Master Data-2026'!I19))</f>
      </c>
      <c r="L23" s="220">
        <f>IF($B23="","",TRIM('Master Data-2026'!J19))</f>
      </c>
      <c r="M23" s="222">
        <f>IF($L23="",0,IF(ISNUMBER(SEARCH("%",$L23)),0,IFERROR(VALUE(LEFT($L23,IF(NOT(OR(AND(MID($L23,1,1)&gt;="0",MID($L23,1,1)&lt;="9"),MID($L23,1,1)=".")),0,IF(NOT(OR(AND(MID($L23,2,1)&gt;="0",MID($L23,2,1)&lt;="9"),MID($L23,2,1)=".")),1,IF(NOT(OR(AND(MID($L23,3,1)&gt;="0",MID($L23,3,1)&lt;="9"),MID($L23,3,1)=".")),2,IF(NOT(OR(AND(MID($L23,4,1)&gt;="0",MID($L23,4,1)&lt;="9"),MID($L23,4,1)=".")),3,IF(NOT(OR(AND(MID($L23,5,1)&gt;="0",MID($L23,5,1)&lt;="9"),MID($L23,5,1)=".")),4,IF(NOT(OR(AND(MID($L23,6,1)&gt;="0",MID($L23,6,1)&lt;="9"),MID($L23,6,1)=".")),5,6)))))))),0)))</f>
        <v>0</v>
      </c>
      <c r="N23" s="220">
        <f>IF($B23="","",TRIM('Master Data-2026'!K19))</f>
      </c>
      <c r="O23" s="222">
        <f>IF($N23="",0,IF(ISNUMBER(SEARCH("%",$N23)),0,IFERROR(VALUE(LEFT($N23,IF(NOT(OR(AND(MID($N23,1,1)&gt;="0",MID($N23,1,1)&lt;="9"),MID($N23,1,1)=".")),0,IF(NOT(OR(AND(MID($N23,2,1)&gt;="0",MID($N23,2,1)&lt;="9"),MID($N23,2,1)=".")),1,IF(NOT(OR(AND(MID($N23,3,1)&gt;="0",MID($N23,3,1)&lt;="9"),MID($N23,3,1)=".")),2,IF(NOT(OR(AND(MID($N23,4,1)&gt;="0",MID($N23,4,1)&lt;="9"),MID($N23,4,1)=".")),3,IF(NOT(OR(AND(MID($N23,5,1)&gt;="0",MID($N23,5,1)&lt;="9"),MID($N23,5,1)=".")),4,IF(NOT(OR(AND(MID($N23,6,1)&gt;="0",MID($N23,6,1)&lt;="9"),MID($N23,6,1)=".")),5,6)))))))),0)))</f>
        <v>0</v>
      </c>
      <c r="P23" s="223">
        <f>IF(AND($M23&gt;0,$O23&gt;0),$O23/$M23-1,0)</f>
        <v>0</v>
      </c>
      <c r="Q23" s="220">
        <f>IF($B23="","",TRIM('Master Data-2026'!L19))</f>
      </c>
      <c r="R23" s="220">
        <f>IF($Q23="",0,IF(ISNUMBER(SEARCH("%",$Q23)),0,IFERROR(VALUE(LEFT($Q23,IF(NOT(OR(AND(MID($Q23,1,1)&gt;="0",MID($Q23,1,1)&lt;="9"),MID($Q23,1,1)=".")),0,IF(NOT(OR(AND(MID($Q23,2,1)&gt;="0",MID($Q23,2,1)&lt;="9"),MID($Q23,2,1)=".")),1,IF(NOT(OR(AND(MID($Q23,3,1)&gt;="0",MID($Q23,3,1)&lt;="9"),MID($Q23,3,1)=".")),2,IF(NOT(OR(AND(MID($Q23,4,1)&gt;="0",MID($Q23,4,1)&lt;="9"),MID($Q23,4,1)=".")),3,IF(NOT(OR(AND(MID($Q23,5,1)&gt;="0",MID($Q23,5,1)&lt;="9"),MID($Q23,5,1)=".")),4,IF(NOT(OR(AND(MID($Q23,6,1)&gt;="0",MID($Q23,6,1)&lt;="9"),MID($Q23,6,1)=".")),5,6)))))))),0)))</f>
        <v>0</v>
      </c>
      <c r="S23" s="224">
        <f>IF($Q23="",-1,IF(ISNUMBER(SEARCH("immediate",$Q23)),0,IF(ISNUMBER(SEARCH("month",$Q23)),IF($R23=0,-1,$R23*30),IF(ISNUMBER(SEARCH("day",$Q23)),IF($R23=0,-1,$R23),-1))))</f>
        <v>-1</v>
      </c>
      <c r="T23" s="220" t="str">
        <f>IF($B23="","",IF($S23&lt;0,"Not recorded",IF($S23=0,"Immediate",IF($S23&lt;=30,"1-30 days",IF($S23&lt;=60,"31-60 days","60+ days")))))</f>
        <v>Not recorded</v>
      </c>
      <c r="U23" s="220">
        <f>IF($B23="","",IFERROR(MATCH($B23,'Submission template'!$D$17:$D$300,0),""))</f>
      </c>
      <c r="V23" s="220">
        <f>IF($U23="","",IFERROR(TRIM(INDEX('Submission template'!$I$17:$I$300,$U23)),""))</f>
      </c>
      <c r="W23" s="225">
        <f>IF($V23="",0,IF(ISNUMBER(SEARCH("%",$V23)),0,IFERROR(VALUE(LEFT($V23,IF(NOT(OR(AND(MID($V23,1,1)&gt;="0",MID($V23,1,1)&lt;="9"),MID($V23,1,1)=".")),0,IF(NOT(OR(AND(MID($V23,2,1)&gt;="0",MID($V23,2,1)&lt;="9"),MID($V23,2,1)=".")),1,IF(NOT(OR(AND(MID($V23,3,1)&gt;="0",MID($V23,3,1)&lt;="9"),MID($V23,3,1)=".")),2,IF(NOT(OR(AND(MID($V23,4,1)&gt;="0",MID($V23,4,1)&lt;="9"),MID($V23,4,1)=".")),3,IF(NOT(OR(AND(MID($V23,5,1)&gt;="0",MID($V23,5,1)&lt;="9"),MID($V23,5,1)=".")),4,IF(NOT(OR(AND(MID($V23,6,1)&gt;="0",MID($V23,6,1)&lt;="9"),MID($V23,6,1)=".")),5,6)))))))),0)))</f>
        <v>0</v>
      </c>
      <c r="X23" s="220">
        <f>IF($U23="","",IFERROR(TRIM(INDEX('Submission template'!$J$17:$J$300,$U23)),""))</f>
      </c>
      <c r="Y23" s="220">
        <f>IF($U23="","",IFERROR(TRIM(INDEX('Submission template'!$K$17:$K$300,$U23)),""))</f>
      </c>
      <c r="Z23" s="220">
        <f>IF($U23="","",IFERROR(TRIM(INDEX('Submission template'!$M$17:$M$300,$U23)),""))</f>
      </c>
      <c r="AA23" s="220">
        <f>IF($U23="","",IFERROR(TRIM(INDEX('Submission template'!$O$17:$O$300,$U23)),""))</f>
      </c>
      <c r="AB23" s="220">
        <f>IF($U23="","",IFERROR(TRIM(INDEX('Submission template'!$S$17:$S$300,$U23)),""))</f>
      </c>
      <c r="AC23" s="220">
        <f>IF($B23="",0,IF($U23="",0,1))</f>
        <v>0</v>
      </c>
      <c r="AD23" s="220">
        <f>IF($B23="",0,IF(OR($H23=TargetLocation,AND($AA23&lt;&gt;"",ISNUMBER(SEARCH(TargetLocation,$AA23)))),1,0))</f>
        <v>0</v>
      </c>
      <c r="AE23" s="220">
        <f>IF($B23="",0,IF(AND(OR(SelRecruiter="All",$C23=SelRecruiter),OR(SelCity="All",$H23=SelCity),OR(SelStage="All",$I23=SelStage),OR(SelRequisition="All",$F23=SelRequisition)),1,0))</f>
        <v>1</v>
      </c>
      <c r="AF23" s="220">
        <f>IF($B23="","",COUNT($AF$5:AF22)+1)</f>
        <v>18</v>
      </c>
      <c r="AG23" s="220">
        <f>IF($C23="","",IF(COUNTIF($C$6:$C23,$C23)=1,COUNT($AG$5:AG22)+1,""))</f>
      </c>
      <c r="AH23" s="220">
        <f>IF($F23="","",IF(COUNTIF($F$6:$F23,$F23)=1,COUNT($AH$5:AH22)+1,""))</f>
      </c>
      <c r="AI23" s="220">
        <f>IF($H23="","",IF(COUNTIF($H$6:$H23,$H23)=1,COUNT($AI$5:AI22)+1,""))</f>
      </c>
      <c r="AJ23" s="220">
        <f>IF(OR($B23="",$J23=0),"",$J23*100000000+IF(ISNUMBER($D23),$D23,0)*1000+(170-$A23))</f>
        <v>146247152</v>
      </c>
      <c r="AK23" s="220">
        <f>IF(OR($B23="",$W23&lt;=0),"",ROUND($W23*10,0)*100000+(170-$A23))</f>
      </c>
      <c r="AL23" s="220">
        <f>IF(OR($B23="",$P23&lt;=0),"",ROUND($P23*10000,0)*1000+(170-$A23))</f>
      </c>
      <c r="AM23" s="220">
        <f>IF(AND($W23&gt;0,$O23&gt;0),COUNT($AM$5:AM22)+1,"")</f>
      </c>
      <c r="AN23">
        <f>IF($B23="",0,IF($G23="",0,SUMPRODUCT(MAX(ISNUMBER(SEARCH(LocPattern,$G23))*LocIdx))))</f>
        <v>0</v>
      </c>
      <c r="AO23">
        <f>IFERROR(INDEX($H$6:$H$125,MATCH(18,$AI$6:$AI$125,0)),"")</f>
      </c>
      <c r="AP23">
        <f>IF($AO23="",0,SUMPRODUCT($AE$6:$AE$125*($H$6:$H$125=$AO23)))</f>
        <v>0</v>
      </c>
      <c r="AQ23">
        <f>IF($AO23="","",$AP23*1000+(21-18))</f>
      </c>
      <c r="AS23">
        <f>IFERROR(INDEX($F$6:$F$125,MATCH(18,$AH$6:$AH$125,0)),"")</f>
      </c>
      <c r="AT23">
        <f>IF($AS23="",0,SUMPRODUCT($AE$6:$AE$125*($F$6:$F$125=$AS23)))</f>
        <v>0</v>
      </c>
      <c r="AU23">
        <f>IF($AS23="","",$AT23*1000+(21-18))</f>
      </c>
      <c r="AW23">
        <f>IFERROR(INDEX($C$6:$C$125,MATCH(18,$AG$6:$AG$125,0)),"")</f>
      </c>
      <c r="AX23">
        <f>IF($AW23="",0,SUMPRODUCT($AE$6:$AE$125*($C$6:$C$125=$AW23)))</f>
        <v>0</v>
      </c>
      <c r="AY23">
        <f>IF($AW23="","",$AX23*1000+(21-18))</f>
      </c>
      <c r="BD23">
        <f>IFERROR(INDEX($W$6:$W$125,MATCH(18,$AM$6:$AM$125,0)),"")</f>
        <v>4.11</v>
      </c>
      <c r="BE23">
        <f>IFERROR(INDEX($O$6:$O$125,MATCH(18,$AM$6:$AM$125,0)),"")</f>
        <v>24</v>
      </c>
      <c r="BF23" t="str">
        <f>IFERROR(INDEX($B$6:$B$125,MATCH(18,$AM$6:$AM$125,0)),"")</f>
        <v>Santhosh S</v>
      </c>
      <c r="BL23" t="str">
        <f>IFERROR(INDEX($B$6:$B$125,MATCH(18,$AF$6:$AF$125,0)),"")</f>
        <v>Sivasakthi Paramasivam</v>
      </c>
    </row>
    <row r="24">
      <c r="A24" s="214" t="n">
        <v>19</v>
      </c>
      <c r="B24" s="214" t="str">
        <f>IF(TRIM('Master Data-2026'!D20)="","",TRIM('Master Data-2026'!D20))</f>
        <v>Porselvan subramanian</v>
      </c>
      <c r="C24" s="214" t="str">
        <f>IF($B24="","",TRIM('Master Data-2026'!A20))</f>
        <v>Vandana</v>
      </c>
      <c r="D24" s="215">
        <f>IF($B24="","",IF('Master Data-2026'!B20="","",'Master Data-2026'!B20))</f>
        <v>46247</v>
      </c>
      <c r="E24" s="214" t="str">
        <f>IF($B24="","",TRIM('Master Data-2026'!C20))</f>
        <v>August</v>
      </c>
      <c r="F24" s="214" t="str">
        <f>IF($B24="","",TRIM('Master Data-2026'!G20))</f>
        <v>Full Stack Developer</v>
      </c>
      <c r="G24" s="214" t="str">
        <f>IF($B24="","",TRIM('Master Data-2026'!F20))</f>
        <v>Chennai</v>
      </c>
      <c r="H24" s="214" t="str">
        <f>IF($B24="","",IF($G24="","Not recorded",IF($AN24=0,"Other",INDEX(LocCity,$AN24))))</f>
        <v>Chennai</v>
      </c>
      <c r="I24" s="214" t="str">
        <f>IF($B24="","",TRIM('Master Data-2026'!H20))</f>
        <v>Telephonic Screening</v>
      </c>
      <c r="J24" s="214">
        <f>IF($B24="",0,IFERROR(INDEX(StageOrderRef,MATCH($I24,StageNameRef,0)),0))</f>
        <v>1</v>
      </c>
      <c r="K24" s="214" t="str">
        <f>IF($B24="","",TRIM('Master Data-2026'!I20))</f>
        <v>JD sent awaiting response</v>
      </c>
      <c r="L24" s="214" t="str">
        <f>IF($B24="","",TRIM('Master Data-2026'!J20))</f>
        <v>13.5 lpa</v>
      </c>
      <c r="M24" s="216">
        <f>IF($L24="",0,IF(ISNUMBER(SEARCH("%",$L24)),0,IFERROR(VALUE(LEFT($L24,IF(NOT(OR(AND(MID($L24,1,1)&gt;="0",MID($L24,1,1)&lt;="9"),MID($L24,1,1)=".")),0,IF(NOT(OR(AND(MID($L24,2,1)&gt;="0",MID($L24,2,1)&lt;="9"),MID($L24,2,1)=".")),1,IF(NOT(OR(AND(MID($L24,3,1)&gt;="0",MID($L24,3,1)&lt;="9"),MID($L24,3,1)=".")),2,IF(NOT(OR(AND(MID($L24,4,1)&gt;="0",MID($L24,4,1)&lt;="9"),MID($L24,4,1)=".")),3,IF(NOT(OR(AND(MID($L24,5,1)&gt;="0",MID($L24,5,1)&lt;="9"),MID($L24,5,1)=".")),4,IF(NOT(OR(AND(MID($L24,6,1)&gt;="0",MID($L24,6,1)&lt;="9"),MID($L24,6,1)=".")),5,6)))))))),0)))</f>
        <v>13.5</v>
      </c>
      <c r="N24" s="214" t="str">
        <f>IF($B24="","",TRIM('Master Data-2026'!K20))</f>
        <v>22 LPA</v>
      </c>
      <c r="O24" s="216">
        <f>IF($N24="",0,IF(ISNUMBER(SEARCH("%",$N24)),0,IFERROR(VALUE(LEFT($N24,IF(NOT(OR(AND(MID($N24,1,1)&gt;="0",MID($N24,1,1)&lt;="9"),MID($N24,1,1)=".")),0,IF(NOT(OR(AND(MID($N24,2,1)&gt;="0",MID($N24,2,1)&lt;="9"),MID($N24,2,1)=".")),1,IF(NOT(OR(AND(MID($N24,3,1)&gt;="0",MID($N24,3,1)&lt;="9"),MID($N24,3,1)=".")),2,IF(NOT(OR(AND(MID($N24,4,1)&gt;="0",MID($N24,4,1)&lt;="9"),MID($N24,4,1)=".")),3,IF(NOT(OR(AND(MID($N24,5,1)&gt;="0",MID($N24,5,1)&lt;="9"),MID($N24,5,1)=".")),4,IF(NOT(OR(AND(MID($N24,6,1)&gt;="0",MID($N24,6,1)&lt;="9"),MID($N24,6,1)=".")),5,6)))))))),0)))</f>
        <v>22</v>
      </c>
      <c r="P24" s="217">
        <f>IF(AND($M24&gt;0,$O24&gt;0),$O24/$M24-1,0)</f>
        <v>0.6296296296296295</v>
      </c>
      <c r="Q24" s="214" t="str">
        <f>IF($B24="","",TRIM('Master Data-2026'!L20))</f>
        <v>60 days(30 days)</v>
      </c>
      <c r="R24" s="214">
        <f>IF($Q24="",0,IF(ISNUMBER(SEARCH("%",$Q24)),0,IFERROR(VALUE(LEFT($Q24,IF(NOT(OR(AND(MID($Q24,1,1)&gt;="0",MID($Q24,1,1)&lt;="9"),MID($Q24,1,1)=".")),0,IF(NOT(OR(AND(MID($Q24,2,1)&gt;="0",MID($Q24,2,1)&lt;="9"),MID($Q24,2,1)=".")),1,IF(NOT(OR(AND(MID($Q24,3,1)&gt;="0",MID($Q24,3,1)&lt;="9"),MID($Q24,3,1)=".")),2,IF(NOT(OR(AND(MID($Q24,4,1)&gt;="0",MID($Q24,4,1)&lt;="9"),MID($Q24,4,1)=".")),3,IF(NOT(OR(AND(MID($Q24,5,1)&gt;="0",MID($Q24,5,1)&lt;="9"),MID($Q24,5,1)=".")),4,IF(NOT(OR(AND(MID($Q24,6,1)&gt;="0",MID($Q24,6,1)&lt;="9"),MID($Q24,6,1)=".")),5,6)))))))),0)))</f>
        <v>60</v>
      </c>
      <c r="S24" s="218">
        <f>IF($Q24="",-1,IF(ISNUMBER(SEARCH("immediate",$Q24)),0,IF(ISNUMBER(SEARCH("month",$Q24)),IF($R24=0,-1,$R24*30),IF(ISNUMBER(SEARCH("day",$Q24)),IF($R24=0,-1,$R24),-1))))</f>
        <v>60</v>
      </c>
      <c r="T24" s="214" t="str">
        <f>IF($B24="","",IF($S24&lt;0,"Not recorded",IF($S24=0,"Immediate",IF($S24&lt;=30,"1-30 days",IF($S24&lt;=60,"31-60 days","60+ days")))))</f>
        <v>31-60 days</v>
      </c>
      <c r="U24" s="214">
        <f>IF($B24="","",IFERROR(MATCH($B24,'Submission template'!$D$17:$D$300,0),""))</f>
        <v>15</v>
      </c>
      <c r="V24" s="214" t="str">
        <f>IF($U24="","",IFERROR(TRIM(INDEX('Submission template'!$I$17:$I$300,$U24)),""))</f>
        <v>4.7 Years</v>
      </c>
      <c r="W24" s="219">
        <f>IF($V24="",0,IF(ISNUMBER(SEARCH("%",$V24)),0,IFERROR(VALUE(LEFT($V24,IF(NOT(OR(AND(MID($V24,1,1)&gt;="0",MID($V24,1,1)&lt;="9"),MID($V24,1,1)=".")),0,IF(NOT(OR(AND(MID($V24,2,1)&gt;="0",MID($V24,2,1)&lt;="9"),MID($V24,2,1)=".")),1,IF(NOT(OR(AND(MID($V24,3,1)&gt;="0",MID($V24,3,1)&lt;="9"),MID($V24,3,1)=".")),2,IF(NOT(OR(AND(MID($V24,4,1)&gt;="0",MID($V24,4,1)&lt;="9"),MID($V24,4,1)=".")),3,IF(NOT(OR(AND(MID($V24,5,1)&gt;="0",MID($V24,5,1)&lt;="9"),MID($V24,5,1)=".")),4,IF(NOT(OR(AND(MID($V24,6,1)&gt;="0",MID($V24,6,1)&lt;="9"),MID($V24,6,1)=".")),5,6)))))))),0)))</f>
        <v>4.7</v>
      </c>
      <c r="X24" s="214" t="str">
        <f>IF($U24="","",IFERROR(TRIM(INDEX('Submission template'!$J$17:$J$300,$U24)),""))</f>
        <v>React 3.3Y+Node 4.7 Y</v>
      </c>
      <c r="Y24" s="214" t="str">
        <f>IF($U24="","",IFERROR(TRIM(INDEX('Submission template'!$K$17:$K$300,$U24)),""))</f>
        <v>Altimetrik</v>
      </c>
      <c r="Z24" s="214" t="str">
        <f>IF($U24="","",IFERROR(TRIM(INDEX('Submission template'!$M$17:$M$300,$U24)),""))</f>
        <v>Senior Software Engineer</v>
      </c>
      <c r="AA24" s="214" t="str">
        <f>IF($U24="","",IFERROR(TRIM(INDEX('Submission template'!$O$17:$O$300,$U24)),""))</f>
        <v>Chennai</v>
      </c>
      <c r="AB24" s="214" t="str">
        <f>IF($U24="","",IFERROR(TRIM(INDEX('Submission template'!$S$17:$S$300,$U24)),""))</f>
        <v>Career Growth</v>
      </c>
      <c r="AC24" s="214">
        <f>IF($B24="",0,IF($U24="",0,1))</f>
        <v>1</v>
      </c>
      <c r="AD24" s="214">
        <f>IF($B24="",0,IF(OR($H24=TargetLocation,AND($AA24&lt;&gt;"",ISNUMBER(SEARCH(TargetLocation,$AA24)))),1,0))</f>
        <v>1</v>
      </c>
      <c r="AE24" s="214">
        <f>IF($B24="",0,IF(AND(OR(SelRecruiter="All",$C24=SelRecruiter),OR(SelCity="All",$H24=SelCity),OR(SelStage="All",$I24=SelStage),OR(SelRequisition="All",$F24=SelRequisition)),1,0))</f>
        <v>1</v>
      </c>
      <c r="AF24" s="214">
        <f>IF($B24="","",COUNT($AF$5:AF23)+1)</f>
        <v>19</v>
      </c>
      <c r="AG24" s="214">
        <f>IF($C24="","",IF(COUNTIF($C$6:$C24,$C24)=1,COUNT($AG$5:AG23)+1,""))</f>
      </c>
      <c r="AH24" s="214">
        <f>IF($F24="","",IF(COUNTIF($F$6:$F24,$F24)=1,COUNT($AH$5:AH23)+1,""))</f>
      </c>
      <c r="AI24" s="214">
        <f>IF($H24="","",IF(COUNTIF($H$6:$H24,$H24)=1,COUNT($AI$5:AI23)+1,""))</f>
      </c>
      <c r="AJ24" s="214">
        <f>IF(OR($B24="",$J24=0),"",$J24*100000000+IF(ISNUMBER($D24),$D24,0)*1000+(170-$A24))</f>
        <v>146247151</v>
      </c>
      <c r="AK24" s="214">
        <f>IF(OR($B24="",$W24&lt;=0),"",ROUND($W24*10,0)*100000+(170-$A24))</f>
        <v>4700151</v>
      </c>
      <c r="AL24" s="214">
        <f>IF(OR($B24="",$P24&lt;=0),"",ROUND($P24*10000,0)*1000+(170-$A24))</f>
        <v>6296151</v>
      </c>
      <c r="AM24" s="214">
        <f>IF(AND($W24&gt;0,$O24&gt;0),COUNT($AM$5:AM23)+1,"")</f>
        <v>9</v>
      </c>
      <c r="AN24">
        <f>IF($B24="",0,IF($G24="",0,SUMPRODUCT(MAX(ISNUMBER(SEARCH(LocPattern,$G24))*LocIdx))))</f>
        <v>16</v>
      </c>
      <c r="AO24">
        <f>IFERROR(INDEX($H$6:$H$125,MATCH(19,$AI$6:$AI$125,0)),"")</f>
      </c>
      <c r="AP24">
        <f>IF($AO24="",0,SUMPRODUCT($AE$6:$AE$125*($H$6:$H$125=$AO24)))</f>
        <v>0</v>
      </c>
      <c r="AQ24">
        <f>IF($AO24="","",$AP24*1000+(21-19))</f>
      </c>
      <c r="AS24">
        <f>IFERROR(INDEX($F$6:$F$125,MATCH(19,$AH$6:$AH$125,0)),"")</f>
      </c>
      <c r="AT24">
        <f>IF($AS24="",0,SUMPRODUCT($AE$6:$AE$125*($F$6:$F$125=$AS24)))</f>
        <v>0</v>
      </c>
      <c r="AU24">
        <f>IF($AS24="","",$AT24*1000+(21-19))</f>
      </c>
      <c r="AW24">
        <f>IFERROR(INDEX($C$6:$C$125,MATCH(19,$AG$6:$AG$125,0)),"")</f>
      </c>
      <c r="AX24">
        <f>IF($AW24="",0,SUMPRODUCT($AE$6:$AE$125*($C$6:$C$125=$AW24)))</f>
        <v>0</v>
      </c>
      <c r="AY24">
        <f>IF($AW24="","",$AX24*1000+(21-19))</f>
      </c>
      <c r="BD24">
        <f>IFERROR(INDEX($W$6:$W$125,MATCH(19,$AM$6:$AM$125,0)),"")</f>
        <v>4.3</v>
      </c>
      <c r="BE24">
        <f>IFERROR(INDEX($O$6:$O$125,MATCH(19,$AM$6:$AM$125,0)),"")</f>
        <v>16</v>
      </c>
      <c r="BF24" t="str">
        <f>IFERROR(INDEX($B$6:$B$125,MATCH(19,$AM$6:$AM$125,0)),"")</f>
        <v>Rohith</v>
      </c>
      <c r="BL24" t="str">
        <f>IFERROR(INDEX($B$6:$B$125,MATCH(19,$AF$6:$AF$125,0)),"")</f>
        <v>Porselvan subramanian</v>
      </c>
    </row>
    <row r="25">
      <c r="A25" s="220" t="n">
        <v>20</v>
      </c>
      <c r="B25" s="220" t="str">
        <f>IF(TRIM('Master Data-2026'!D21)="","",TRIM('Master Data-2026'!D21))</f>
        <v>M.Navin Kumar</v>
      </c>
      <c r="C25" s="220" t="str">
        <f>IF($B25="","",TRIM('Master Data-2026'!A21))</f>
        <v>Ananthy</v>
      </c>
      <c r="D25" s="221">
        <f>IF($B25="","",IF('Master Data-2026'!B21="","",'Master Data-2026'!B21))</f>
        <v>46247</v>
      </c>
      <c r="E25" s="220" t="str">
        <f>IF($B25="","",TRIM('Master Data-2026'!C21))</f>
        <v>August</v>
      </c>
      <c r="F25" s="220" t="str">
        <f>IF($B25="","",TRIM('Master Data-2026'!G21))</f>
        <v>Full Stack Lead</v>
      </c>
      <c r="G25" s="220" t="str">
        <f>IF($B25="","",TRIM('Master Data-2026'!F21))</f>
        <v>Coimbatore</v>
      </c>
      <c r="H25" s="220" t="str">
        <f>IF($B25="","",IF($G25="","Not recorded",IF($AN25=0,"Other",INDEX(LocCity,$AN25))))</f>
        <v>Coimbatore</v>
      </c>
      <c r="I25" s="220" t="str">
        <f>IF($B25="","",TRIM('Master Data-2026'!H21))</f>
        <v>ZN Submission</v>
      </c>
      <c r="J25" s="220">
        <f>IF($B25="",0,IFERROR(INDEX(StageOrderRef,MATCH($I25,StageNameRef,0)),0))</f>
        <v>2</v>
      </c>
      <c r="K25" s="220" t="str">
        <f>IF($B25="","",TRIM('Master Data-2026'!I21))</f>
        <v>Client Review</v>
      </c>
      <c r="L25" s="220" t="str">
        <f>IF($B25="","",TRIM('Master Data-2026'!J21))</f>
        <v>32.8 LPA</v>
      </c>
      <c r="M25" s="222">
        <f>IF($L25="",0,IF(ISNUMBER(SEARCH("%",$L25)),0,IFERROR(VALUE(LEFT($L25,IF(NOT(OR(AND(MID($L25,1,1)&gt;="0",MID($L25,1,1)&lt;="9"),MID($L25,1,1)=".")),0,IF(NOT(OR(AND(MID($L25,2,1)&gt;="0",MID($L25,2,1)&lt;="9"),MID($L25,2,1)=".")),1,IF(NOT(OR(AND(MID($L25,3,1)&gt;="0",MID($L25,3,1)&lt;="9"),MID($L25,3,1)=".")),2,IF(NOT(OR(AND(MID($L25,4,1)&gt;="0",MID($L25,4,1)&lt;="9"),MID($L25,4,1)=".")),3,IF(NOT(OR(AND(MID($L25,5,1)&gt;="0",MID($L25,5,1)&lt;="9"),MID($L25,5,1)=".")),4,IF(NOT(OR(AND(MID($L25,6,1)&gt;="0",MID($L25,6,1)&lt;="9"),MID($L25,6,1)=".")),5,6)))))))),0)))</f>
        <v>32.8</v>
      </c>
      <c r="N25" s="220" t="str">
        <f>IF($B25="","",TRIM('Master Data-2026'!K21))</f>
        <v>35 LPA</v>
      </c>
      <c r="O25" s="222">
        <f>IF($N25="",0,IF(ISNUMBER(SEARCH("%",$N25)),0,IFERROR(VALUE(LEFT($N25,IF(NOT(OR(AND(MID($N25,1,1)&gt;="0",MID($N25,1,1)&lt;="9"),MID($N25,1,1)=".")),0,IF(NOT(OR(AND(MID($N25,2,1)&gt;="0",MID($N25,2,1)&lt;="9"),MID($N25,2,1)=".")),1,IF(NOT(OR(AND(MID($N25,3,1)&gt;="0",MID($N25,3,1)&lt;="9"),MID($N25,3,1)=".")),2,IF(NOT(OR(AND(MID($N25,4,1)&gt;="0",MID($N25,4,1)&lt;="9"),MID($N25,4,1)=".")),3,IF(NOT(OR(AND(MID($N25,5,1)&gt;="0",MID($N25,5,1)&lt;="9"),MID($N25,5,1)=".")),4,IF(NOT(OR(AND(MID($N25,6,1)&gt;="0",MID($N25,6,1)&lt;="9"),MID($N25,6,1)=".")),5,6)))))))),0)))</f>
        <v>35</v>
      </c>
      <c r="P25" s="223">
        <f>IF(AND($M25&gt;0,$O25&gt;0),$O25/$M25-1,0)</f>
        <v>0.06707317073170738</v>
      </c>
      <c r="Q25" s="220" t="str">
        <f>IF($B25="","",TRIM('Master Data-2026'!L21))</f>
        <v>In bench - can join in 15 days</v>
      </c>
      <c r="R25" s="220">
        <f>IF($Q25="",0,IF(ISNUMBER(SEARCH("%",$Q25)),0,IFERROR(VALUE(LEFT($Q25,IF(NOT(OR(AND(MID($Q25,1,1)&gt;="0",MID($Q25,1,1)&lt;="9"),MID($Q25,1,1)=".")),0,IF(NOT(OR(AND(MID($Q25,2,1)&gt;="0",MID($Q25,2,1)&lt;="9"),MID($Q25,2,1)=".")),1,IF(NOT(OR(AND(MID($Q25,3,1)&gt;="0",MID($Q25,3,1)&lt;="9"),MID($Q25,3,1)=".")),2,IF(NOT(OR(AND(MID($Q25,4,1)&gt;="0",MID($Q25,4,1)&lt;="9"),MID($Q25,4,1)=".")),3,IF(NOT(OR(AND(MID($Q25,5,1)&gt;="0",MID($Q25,5,1)&lt;="9"),MID($Q25,5,1)=".")),4,IF(NOT(OR(AND(MID($Q25,6,1)&gt;="0",MID($Q25,6,1)&lt;="9"),MID($Q25,6,1)=".")),5,6)))))))),0)))</f>
        <v>0</v>
      </c>
      <c r="S25" s="224">
        <f>IF($Q25="",-1,IF(ISNUMBER(SEARCH("immediate",$Q25)),0,IF(ISNUMBER(SEARCH("month",$Q25)),IF($R25=0,-1,$R25*30),IF(ISNUMBER(SEARCH("day",$Q25)),IF($R25=0,-1,$R25),-1))))</f>
        <v>-1</v>
      </c>
      <c r="T25" s="220" t="str">
        <f>IF($B25="","",IF($S25&lt;0,"Not recorded",IF($S25=0,"Immediate",IF($S25&lt;=30,"1-30 days",IF($S25&lt;=60,"31-60 days","60+ days")))))</f>
        <v>Not recorded</v>
      </c>
      <c r="U25" s="220">
        <f>IF($B25="","",IFERROR(MATCH($B25,'Submission template'!$D$17:$D$300,0),""))</f>
        <v>3</v>
      </c>
      <c r="V25" s="220" t="str">
        <f>IF($U25="","",IFERROR(TRIM(INDEX('Submission template'!$I$17:$I$300,$U25)),""))</f>
        <v>9 years</v>
      </c>
      <c r="W25" s="225">
        <f>IF($V25="",0,IF(ISNUMBER(SEARCH("%",$V25)),0,IFERROR(VALUE(LEFT($V25,IF(NOT(OR(AND(MID($V25,1,1)&gt;="0",MID($V25,1,1)&lt;="9"),MID($V25,1,1)=".")),0,IF(NOT(OR(AND(MID($V25,2,1)&gt;="0",MID($V25,2,1)&lt;="9"),MID($V25,2,1)=".")),1,IF(NOT(OR(AND(MID($V25,3,1)&gt;="0",MID($V25,3,1)&lt;="9"),MID($V25,3,1)=".")),2,IF(NOT(OR(AND(MID($V25,4,1)&gt;="0",MID($V25,4,1)&lt;="9"),MID($V25,4,1)=".")),3,IF(NOT(OR(AND(MID($V25,5,1)&gt;="0",MID($V25,5,1)&lt;="9"),MID($V25,5,1)=".")),4,IF(NOT(OR(AND(MID($V25,6,1)&gt;="0",MID($V25,6,1)&lt;="9"),MID($V25,6,1)=".")),5,6)))))))),0)))</f>
        <v>9</v>
      </c>
      <c r="X25" s="220" t="str">
        <f>IF($U25="","",IFERROR(TRIM(INDEX('Submission template'!$J$17:$J$300,$U25)),""))</f>
        <v>React 8Y + Node 3 y</v>
      </c>
      <c r="Y25" s="220" t="str">
        <f>IF($U25="","",IFERROR(TRIM(INDEX('Submission template'!$K$17:$K$300,$U25)),""))</f>
        <v>Nagarro</v>
      </c>
      <c r="Z25" s="220" t="str">
        <f>IF($U25="","",IFERROR(TRIM(INDEX('Submission template'!$M$17:$M$300,$U25)),""))</f>
        <v>Associate Staff Engineer</v>
      </c>
      <c r="AA25" s="220" t="str">
        <f>IF($U25="","",IFERROR(TRIM(INDEX('Submission template'!$O$17:$O$300,$U25)),""))</f>
        <v>Chennai</v>
      </c>
      <c r="AB25" s="220" t="str">
        <f>IF($U25="","",IFERROR(TRIM(INDEX('Submission template'!$S$17:$S$300,$U25)),""))</f>
        <v>Career Growth</v>
      </c>
      <c r="AC25" s="220">
        <f>IF($B25="",0,IF($U25="",0,1))</f>
        <v>1</v>
      </c>
      <c r="AD25" s="220">
        <f>IF($B25="",0,IF(OR($H25=TargetLocation,AND($AA25&lt;&gt;"",ISNUMBER(SEARCH(TargetLocation,$AA25)))),1,0))</f>
        <v>1</v>
      </c>
      <c r="AE25" s="220">
        <f>IF($B25="",0,IF(AND(OR(SelRecruiter="All",$C25=SelRecruiter),OR(SelCity="All",$H25=SelCity),OR(SelStage="All",$I25=SelStage),OR(SelRequisition="All",$F25=SelRequisition)),1,0))</f>
        <v>1</v>
      </c>
      <c r="AF25" s="220">
        <f>IF($B25="","",COUNT($AF$5:AF24)+1)</f>
        <v>20</v>
      </c>
      <c r="AG25" s="220">
        <f>IF($C25="","",IF(COUNTIF($C$6:$C25,$C25)=1,COUNT($AG$5:AG24)+1,""))</f>
      </c>
      <c r="AH25" s="220">
        <f>IF($F25="","",IF(COUNTIF($F$6:$F25,$F25)=1,COUNT($AH$5:AH24)+1,""))</f>
      </c>
      <c r="AI25" s="220">
        <f>IF($H25="","",IF(COUNTIF($H$6:$H25,$H25)=1,COUNT($AI$5:AI24)+1,""))</f>
        <v>5</v>
      </c>
      <c r="AJ25" s="220">
        <f>IF(OR($B25="",$J25=0),"",$J25*100000000+IF(ISNUMBER($D25),$D25,0)*1000+(170-$A25))</f>
        <v>246247150</v>
      </c>
      <c r="AK25" s="220">
        <f>IF(OR($B25="",$W25&lt;=0),"",ROUND($W25*10,0)*100000+(170-$A25))</f>
        <v>9000150</v>
      </c>
      <c r="AL25" s="220">
        <f>IF(OR($B25="",$P25&lt;=0),"",ROUND($P25*10000,0)*1000+(170-$A25))</f>
        <v>671150</v>
      </c>
      <c r="AM25" s="220">
        <f>IF(AND($W25&gt;0,$O25&gt;0),COUNT($AM$5:AM24)+1,"")</f>
        <v>10</v>
      </c>
      <c r="AN25">
        <f>IF($B25="",0,IF($G25="",0,SUMPRODUCT(MAX(ISNUMBER(SEARCH(LocPattern,$G25))*LocIdx))))</f>
        <v>20</v>
      </c>
      <c r="AO25">
        <f>IFERROR(INDEX($H$6:$H$125,MATCH(20,$AI$6:$AI$125,0)),"")</f>
      </c>
      <c r="AP25">
        <f>IF($AO25="",0,SUMPRODUCT($AE$6:$AE$125*($H$6:$H$125=$AO25)))</f>
        <v>0</v>
      </c>
      <c r="AQ25">
        <f>IF($AO25="","",$AP25*1000+(21-20))</f>
      </c>
      <c r="AS25">
        <f>IFERROR(INDEX($F$6:$F$125,MATCH(20,$AH$6:$AH$125,0)),"")</f>
      </c>
      <c r="AT25">
        <f>IF($AS25="",0,SUMPRODUCT($AE$6:$AE$125*($F$6:$F$125=$AS25)))</f>
        <v>0</v>
      </c>
      <c r="AU25">
        <f>IF($AS25="","",$AT25*1000+(21-20))</f>
      </c>
      <c r="AW25">
        <f>IFERROR(INDEX($C$6:$C$125,MATCH(20,$AG$6:$AG$125,0)),"")</f>
      </c>
      <c r="AX25">
        <f>IF($AW25="",0,SUMPRODUCT($AE$6:$AE$125*($C$6:$C$125=$AW25)))</f>
        <v>0</v>
      </c>
      <c r="AY25">
        <f>IF($AW25="","",$AX25*1000+(21-20))</f>
      </c>
      <c r="BD25">
        <f>IFERROR(INDEX($W$6:$W$125,MATCH(20,$AM$6:$AM$125,0)),"")</f>
        <v>8</v>
      </c>
      <c r="BE25">
        <f>IFERROR(INDEX($O$6:$O$125,MATCH(20,$AM$6:$AM$125,0)),"")</f>
        <v>25</v>
      </c>
      <c r="BF25" t="str">
        <f>IFERROR(INDEX($B$6:$B$125,MATCH(20,$AM$6:$AM$125,0)),"")</f>
        <v>Ankit Mahajan</v>
      </c>
      <c r="BL25" t="str">
        <f>IFERROR(INDEX($B$6:$B$125,MATCH(20,$AF$6:$AF$125,0)),"")</f>
        <v>M.Navin Kumar</v>
      </c>
    </row>
    <row r="26">
      <c r="A26" s="214" t="n">
        <v>21</v>
      </c>
      <c r="B26" s="214" t="str">
        <f>IF(TRIM('Master Data-2026'!D22)="","",TRIM('Master Data-2026'!D22))</f>
        <v>Chanukya</v>
      </c>
      <c r="C26" s="214" t="str">
        <f>IF($B26="","",TRIM('Master Data-2026'!A22))</f>
        <v>Vandana</v>
      </c>
      <c r="D26" s="215">
        <f>IF($B26="","",IF('Master Data-2026'!B22="","",'Master Data-2026'!B22))</f>
        <v>46247</v>
      </c>
      <c r="E26" s="214" t="str">
        <f>IF($B26="","",TRIM('Master Data-2026'!C22))</f>
        <v>August</v>
      </c>
      <c r="F26" s="214" t="str">
        <f>IF($B26="","",TRIM('Master Data-2026'!G22))</f>
        <v>Full Stack Developer</v>
      </c>
      <c r="G26" s="214" t="str">
        <f>IF($B26="","",TRIM('Master Data-2026'!F22))</f>
        <v>Bangalore</v>
      </c>
      <c r="H26" s="214" t="str">
        <f>IF($B26="","",IF($G26="","Not recorded",IF($AN26=0,"Other",INDEX(LocCity,$AN26))))</f>
        <v>Bangalore</v>
      </c>
      <c r="I26" s="214" t="str">
        <f>IF($B26="","",TRIM('Master Data-2026'!H22))</f>
        <v>Telephonic Screening</v>
      </c>
      <c r="J26" s="214">
        <f>IF($B26="",0,IFERROR(INDEX(StageOrderRef,MATCH($I26,StageNameRef,0)),0))</f>
        <v>1</v>
      </c>
      <c r="K26" s="214" t="str">
        <f>IF($B26="","",TRIM('Master Data-2026'!I22))</f>
        <v>Not interested to relocate to chennai</v>
      </c>
      <c r="L26" s="214">
        <f>IF($B26="","",TRIM('Master Data-2026'!J22))</f>
      </c>
      <c r="M26" s="216">
        <f>IF($L26="",0,IF(ISNUMBER(SEARCH("%",$L26)),0,IFERROR(VALUE(LEFT($L26,IF(NOT(OR(AND(MID($L26,1,1)&gt;="0",MID($L26,1,1)&lt;="9"),MID($L26,1,1)=".")),0,IF(NOT(OR(AND(MID($L26,2,1)&gt;="0",MID($L26,2,1)&lt;="9"),MID($L26,2,1)=".")),1,IF(NOT(OR(AND(MID($L26,3,1)&gt;="0",MID($L26,3,1)&lt;="9"),MID($L26,3,1)=".")),2,IF(NOT(OR(AND(MID($L26,4,1)&gt;="0",MID($L26,4,1)&lt;="9"),MID($L26,4,1)=".")),3,IF(NOT(OR(AND(MID($L26,5,1)&gt;="0",MID($L26,5,1)&lt;="9"),MID($L26,5,1)=".")),4,IF(NOT(OR(AND(MID($L26,6,1)&gt;="0",MID($L26,6,1)&lt;="9"),MID($L26,6,1)=".")),5,6)))))))),0)))</f>
        <v>0</v>
      </c>
      <c r="N26" s="214">
        <f>IF($B26="","",TRIM('Master Data-2026'!K22))</f>
      </c>
      <c r="O26" s="216">
        <f>IF($N26="",0,IF(ISNUMBER(SEARCH("%",$N26)),0,IFERROR(VALUE(LEFT($N26,IF(NOT(OR(AND(MID($N26,1,1)&gt;="0",MID($N26,1,1)&lt;="9"),MID($N26,1,1)=".")),0,IF(NOT(OR(AND(MID($N26,2,1)&gt;="0",MID($N26,2,1)&lt;="9"),MID($N26,2,1)=".")),1,IF(NOT(OR(AND(MID($N26,3,1)&gt;="0",MID($N26,3,1)&lt;="9"),MID($N26,3,1)=".")),2,IF(NOT(OR(AND(MID($N26,4,1)&gt;="0",MID($N26,4,1)&lt;="9"),MID($N26,4,1)=".")),3,IF(NOT(OR(AND(MID($N26,5,1)&gt;="0",MID($N26,5,1)&lt;="9"),MID($N26,5,1)=".")),4,IF(NOT(OR(AND(MID($N26,6,1)&gt;="0",MID($N26,6,1)&lt;="9"),MID($N26,6,1)=".")),5,6)))))))),0)))</f>
        <v>0</v>
      </c>
      <c r="P26" s="217">
        <f>IF(AND($M26&gt;0,$O26&gt;0),$O26/$M26-1,0)</f>
        <v>0</v>
      </c>
      <c r="Q26" s="214">
        <f>IF($B26="","",TRIM('Master Data-2026'!L22))</f>
      </c>
      <c r="R26" s="214">
        <f>IF($Q26="",0,IF(ISNUMBER(SEARCH("%",$Q26)),0,IFERROR(VALUE(LEFT($Q26,IF(NOT(OR(AND(MID($Q26,1,1)&gt;="0",MID($Q26,1,1)&lt;="9"),MID($Q26,1,1)=".")),0,IF(NOT(OR(AND(MID($Q26,2,1)&gt;="0",MID($Q26,2,1)&lt;="9"),MID($Q26,2,1)=".")),1,IF(NOT(OR(AND(MID($Q26,3,1)&gt;="0",MID($Q26,3,1)&lt;="9"),MID($Q26,3,1)=".")),2,IF(NOT(OR(AND(MID($Q26,4,1)&gt;="0",MID($Q26,4,1)&lt;="9"),MID($Q26,4,1)=".")),3,IF(NOT(OR(AND(MID($Q26,5,1)&gt;="0",MID($Q26,5,1)&lt;="9"),MID($Q26,5,1)=".")),4,IF(NOT(OR(AND(MID($Q26,6,1)&gt;="0",MID($Q26,6,1)&lt;="9"),MID($Q26,6,1)=".")),5,6)))))))),0)))</f>
        <v>0</v>
      </c>
      <c r="S26" s="218">
        <f>IF($Q26="",-1,IF(ISNUMBER(SEARCH("immediate",$Q26)),0,IF(ISNUMBER(SEARCH("month",$Q26)),IF($R26=0,-1,$R26*30),IF(ISNUMBER(SEARCH("day",$Q26)),IF($R26=0,-1,$R26),-1))))</f>
        <v>-1</v>
      </c>
      <c r="T26" s="214" t="str">
        <f>IF($B26="","",IF($S26&lt;0,"Not recorded",IF($S26=0,"Immediate",IF($S26&lt;=30,"1-30 days",IF($S26&lt;=60,"31-60 days","60+ days")))))</f>
        <v>Not recorded</v>
      </c>
      <c r="U26" s="214">
        <f>IF($B26="","",IFERROR(MATCH($B26,'Submission template'!$D$17:$D$300,0),""))</f>
      </c>
      <c r="V26" s="214">
        <f>IF($U26="","",IFERROR(TRIM(INDEX('Submission template'!$I$17:$I$300,$U26)),""))</f>
      </c>
      <c r="W26" s="219">
        <f>IF($V26="",0,IF(ISNUMBER(SEARCH("%",$V26)),0,IFERROR(VALUE(LEFT($V26,IF(NOT(OR(AND(MID($V26,1,1)&gt;="0",MID($V26,1,1)&lt;="9"),MID($V26,1,1)=".")),0,IF(NOT(OR(AND(MID($V26,2,1)&gt;="0",MID($V26,2,1)&lt;="9"),MID($V26,2,1)=".")),1,IF(NOT(OR(AND(MID($V26,3,1)&gt;="0",MID($V26,3,1)&lt;="9"),MID($V26,3,1)=".")),2,IF(NOT(OR(AND(MID($V26,4,1)&gt;="0",MID($V26,4,1)&lt;="9"),MID($V26,4,1)=".")),3,IF(NOT(OR(AND(MID($V26,5,1)&gt;="0",MID($V26,5,1)&lt;="9"),MID($V26,5,1)=".")),4,IF(NOT(OR(AND(MID($V26,6,1)&gt;="0",MID($V26,6,1)&lt;="9"),MID($V26,6,1)=".")),5,6)))))))),0)))</f>
        <v>0</v>
      </c>
      <c r="X26" s="214">
        <f>IF($U26="","",IFERROR(TRIM(INDEX('Submission template'!$J$17:$J$300,$U26)),""))</f>
      </c>
      <c r="Y26" s="214">
        <f>IF($U26="","",IFERROR(TRIM(INDEX('Submission template'!$K$17:$K$300,$U26)),""))</f>
      </c>
      <c r="Z26" s="214">
        <f>IF($U26="","",IFERROR(TRIM(INDEX('Submission template'!$M$17:$M$300,$U26)),""))</f>
      </c>
      <c r="AA26" s="214">
        <f>IF($U26="","",IFERROR(TRIM(INDEX('Submission template'!$O$17:$O$300,$U26)),""))</f>
      </c>
      <c r="AB26" s="214">
        <f>IF($U26="","",IFERROR(TRIM(INDEX('Submission template'!$S$17:$S$300,$U26)),""))</f>
      </c>
      <c r="AC26" s="214">
        <f>IF($B26="",0,IF($U26="",0,1))</f>
        <v>0</v>
      </c>
      <c r="AD26" s="214">
        <f>IF($B26="",0,IF(OR($H26=TargetLocation,AND($AA26&lt;&gt;"",ISNUMBER(SEARCH(TargetLocation,$AA26)))),1,0))</f>
        <v>0</v>
      </c>
      <c r="AE26" s="214">
        <f>IF($B26="",0,IF(AND(OR(SelRecruiter="All",$C26=SelRecruiter),OR(SelCity="All",$H26=SelCity),OR(SelStage="All",$I26=SelStage),OR(SelRequisition="All",$F26=SelRequisition)),1,0))</f>
        <v>1</v>
      </c>
      <c r="AF26" s="214">
        <f>IF($B26="","",COUNT($AF$5:AF25)+1)</f>
        <v>21</v>
      </c>
      <c r="AG26" s="214">
        <f>IF($C26="","",IF(COUNTIF($C$6:$C26,$C26)=1,COUNT($AG$5:AG25)+1,""))</f>
      </c>
      <c r="AH26" s="214">
        <f>IF($F26="","",IF(COUNTIF($F$6:$F26,$F26)=1,COUNT($AH$5:AH25)+1,""))</f>
      </c>
      <c r="AI26" s="214">
        <f>IF($H26="","",IF(COUNTIF($H$6:$H26,$H26)=1,COUNT($AI$5:AI25)+1,""))</f>
      </c>
      <c r="AJ26" s="214">
        <f>IF(OR($B26="",$J26=0),"",$J26*100000000+IF(ISNUMBER($D26),$D26,0)*1000+(170-$A26))</f>
        <v>146247149</v>
      </c>
      <c r="AK26" s="214">
        <f>IF(OR($B26="",$W26&lt;=0),"",ROUND($W26*10,0)*100000+(170-$A26))</f>
      </c>
      <c r="AL26" s="214">
        <f>IF(OR($B26="",$P26&lt;=0),"",ROUND($P26*10000,0)*1000+(170-$A26))</f>
      </c>
      <c r="AM26" s="214">
        <f>IF(AND($W26&gt;0,$O26&gt;0),COUNT($AM$5:AM25)+1,"")</f>
      </c>
      <c r="AN26">
        <f>IF($B26="",0,IF($G26="",0,SUMPRODUCT(MAX(ISNUMBER(SEARCH(LocPattern,$G26))*LocIdx))))</f>
        <v>18</v>
      </c>
      <c r="BD26">
        <f>IFERROR(INDEX($W$6:$W$125,MATCH(21,$AM$6:$AM$125,0)),"")</f>
      </c>
      <c r="BE26">
        <f>IFERROR(INDEX($O$6:$O$125,MATCH(21,$AM$6:$AM$125,0)),"")</f>
      </c>
      <c r="BF26">
        <f>IFERROR(INDEX($B$6:$B$125,MATCH(21,$AM$6:$AM$125,0)),"")</f>
      </c>
      <c r="BL26" t="str">
        <f>IFERROR(INDEX($B$6:$B$125,MATCH(21,$AF$6:$AF$125,0)),"")</f>
        <v>Chanukya</v>
      </c>
    </row>
    <row r="27">
      <c r="A27" s="220" t="n">
        <v>22</v>
      </c>
      <c r="B27" s="220" t="str">
        <f>IF(TRIM('Master Data-2026'!D23)="","",TRIM('Master Data-2026'!D23))</f>
        <v>Pavan Kumar Reddy</v>
      </c>
      <c r="C27" s="220" t="str">
        <f>IF($B27="","",TRIM('Master Data-2026'!A23))</f>
        <v>Sarath</v>
      </c>
      <c r="D27" s="221">
        <f>IF($B27="","",IF('Master Data-2026'!B23="","",'Master Data-2026'!B23))</f>
        <v>46247</v>
      </c>
      <c r="E27" s="220" t="str">
        <f>IF($B27="","",TRIM('Master Data-2026'!C23))</f>
        <v>August</v>
      </c>
      <c r="F27" s="220" t="str">
        <f>IF($B27="","",TRIM('Master Data-2026'!G23))</f>
        <v>Full Stack Lead</v>
      </c>
      <c r="G27" s="220" t="str">
        <f>IF($B27="","",TRIM('Master Data-2026'!F23))</f>
        <v>Bangalore</v>
      </c>
      <c r="H27" s="220" t="str">
        <f>IF($B27="","",IF($G27="","Not recorded",IF($AN27=0,"Other",INDEX(LocCity,$AN27))))</f>
        <v>Bangalore</v>
      </c>
      <c r="I27" s="220" t="str">
        <f>IF($B27="","",TRIM('Master Data-2026'!H23))</f>
        <v>ZN Submission</v>
      </c>
      <c r="J27" s="220">
        <f>IF($B27="",0,IFERROR(INDEX(StageOrderRef,MATCH($I27,StageNameRef,0)),0))</f>
        <v>2</v>
      </c>
      <c r="K27" s="220">
        <f>IF($B27="","",TRIM('Master Data-2026'!I23))</f>
      </c>
      <c r="L27" s="220" t="str">
        <f>IF($B27="","",TRIM('Master Data-2026'!J23))</f>
        <v>19 LPA</v>
      </c>
      <c r="M27" s="222">
        <f>IF($L27="",0,IF(ISNUMBER(SEARCH("%",$L27)),0,IFERROR(VALUE(LEFT($L27,IF(NOT(OR(AND(MID($L27,1,1)&gt;="0",MID($L27,1,1)&lt;="9"),MID($L27,1,1)=".")),0,IF(NOT(OR(AND(MID($L27,2,1)&gt;="0",MID($L27,2,1)&lt;="9"),MID($L27,2,1)=".")),1,IF(NOT(OR(AND(MID($L27,3,1)&gt;="0",MID($L27,3,1)&lt;="9"),MID($L27,3,1)=".")),2,IF(NOT(OR(AND(MID($L27,4,1)&gt;="0",MID($L27,4,1)&lt;="9"),MID($L27,4,1)=".")),3,IF(NOT(OR(AND(MID($L27,5,1)&gt;="0",MID($L27,5,1)&lt;="9"),MID($L27,5,1)=".")),4,IF(NOT(OR(AND(MID($L27,6,1)&gt;="0",MID($L27,6,1)&lt;="9"),MID($L27,6,1)=".")),5,6)))))))),0)))</f>
        <v>19</v>
      </c>
      <c r="N27" s="220" t="str">
        <f>IF($B27="","",TRIM('Master Data-2026'!K23))</f>
        <v>26 LPA</v>
      </c>
      <c r="O27" s="222">
        <f>IF($N27="",0,IF(ISNUMBER(SEARCH("%",$N27)),0,IFERROR(VALUE(LEFT($N27,IF(NOT(OR(AND(MID($N27,1,1)&gt;="0",MID($N27,1,1)&lt;="9"),MID($N27,1,1)=".")),0,IF(NOT(OR(AND(MID($N27,2,1)&gt;="0",MID($N27,2,1)&lt;="9"),MID($N27,2,1)=".")),1,IF(NOT(OR(AND(MID($N27,3,1)&gt;="0",MID($N27,3,1)&lt;="9"),MID($N27,3,1)=".")),2,IF(NOT(OR(AND(MID($N27,4,1)&gt;="0",MID($N27,4,1)&lt;="9"),MID($N27,4,1)=".")),3,IF(NOT(OR(AND(MID($N27,5,1)&gt;="0",MID($N27,5,1)&lt;="9"),MID($N27,5,1)=".")),4,IF(NOT(OR(AND(MID($N27,6,1)&gt;="0",MID($N27,6,1)&lt;="9"),MID($N27,6,1)=".")),5,6)))))))),0)))</f>
        <v>26</v>
      </c>
      <c r="P27" s="223">
        <f>IF(AND($M27&gt;0,$O27&gt;0),$O27/$M27-1,0)</f>
        <v>0.368421052631579</v>
      </c>
      <c r="Q27" s="220" t="str">
        <f>IF($B27="","",TRIM('Master Data-2026'!L23))</f>
        <v>45 Days(LWD 30th Sep)</v>
      </c>
      <c r="R27" s="220">
        <f>IF($Q27="",0,IF(ISNUMBER(SEARCH("%",$Q27)),0,IFERROR(VALUE(LEFT($Q27,IF(NOT(OR(AND(MID($Q27,1,1)&gt;="0",MID($Q27,1,1)&lt;="9"),MID($Q27,1,1)=".")),0,IF(NOT(OR(AND(MID($Q27,2,1)&gt;="0",MID($Q27,2,1)&lt;="9"),MID($Q27,2,1)=".")),1,IF(NOT(OR(AND(MID($Q27,3,1)&gt;="0",MID($Q27,3,1)&lt;="9"),MID($Q27,3,1)=".")),2,IF(NOT(OR(AND(MID($Q27,4,1)&gt;="0",MID($Q27,4,1)&lt;="9"),MID($Q27,4,1)=".")),3,IF(NOT(OR(AND(MID($Q27,5,1)&gt;="0",MID($Q27,5,1)&lt;="9"),MID($Q27,5,1)=".")),4,IF(NOT(OR(AND(MID($Q27,6,1)&gt;="0",MID($Q27,6,1)&lt;="9"),MID($Q27,6,1)=".")),5,6)))))))),0)))</f>
        <v>45</v>
      </c>
      <c r="S27" s="224">
        <f>IF($Q27="",-1,IF(ISNUMBER(SEARCH("immediate",$Q27)),0,IF(ISNUMBER(SEARCH("month",$Q27)),IF($R27=0,-1,$R27*30),IF(ISNUMBER(SEARCH("day",$Q27)),IF($R27=0,-1,$R27),-1))))</f>
        <v>45</v>
      </c>
      <c r="T27" s="220" t="str">
        <f>IF($B27="","",IF($S27&lt;0,"Not recorded",IF($S27=0,"Immediate",IF($S27&lt;=30,"1-30 days",IF($S27&lt;=60,"31-60 days","60+ days")))))</f>
        <v>31-60 days</v>
      </c>
      <c r="U27" s="220">
        <f>IF($B27="","",IFERROR(MATCH($B27,'Submission template'!$D$17:$D$300,0),""))</f>
        <v>8</v>
      </c>
      <c r="V27" s="220" t="str">
        <f>IF($U27="","",IFERROR(TRIM(INDEX('Submission template'!$I$17:$I$300,$U27)),""))</f>
        <v>9 Years</v>
      </c>
      <c r="W27" s="225">
        <f>IF($V27="",0,IF(ISNUMBER(SEARCH("%",$V27)),0,IFERROR(VALUE(LEFT($V27,IF(NOT(OR(AND(MID($V27,1,1)&gt;="0",MID($V27,1,1)&lt;="9"),MID($V27,1,1)=".")),0,IF(NOT(OR(AND(MID($V27,2,1)&gt;="0",MID($V27,2,1)&lt;="9"),MID($V27,2,1)=".")),1,IF(NOT(OR(AND(MID($V27,3,1)&gt;="0",MID($V27,3,1)&lt;="9"),MID($V27,3,1)=".")),2,IF(NOT(OR(AND(MID($V27,4,1)&gt;="0",MID($V27,4,1)&lt;="9"),MID($V27,4,1)=".")),3,IF(NOT(OR(AND(MID($V27,5,1)&gt;="0",MID($V27,5,1)&lt;="9"),MID($V27,5,1)=".")),4,IF(NOT(OR(AND(MID($V27,6,1)&gt;="0",MID($V27,6,1)&lt;="9"),MID($V27,6,1)=".")),5,6)))))))),0)))</f>
        <v>9</v>
      </c>
      <c r="X27" s="220" t="str">
        <f>IF($U27="","",IFERROR(TRIM(INDEX('Submission template'!$J$17:$J$300,$U27)),""))</f>
        <v>React 6Y+ Node 6Y</v>
      </c>
      <c r="Y27" s="220" t="str">
        <f>IF($U27="","",IFERROR(TRIM(INDEX('Submission template'!$K$17:$K$300,$U27)),""))</f>
        <v>HCL</v>
      </c>
      <c r="Z27" s="220" t="str">
        <f>IF($U27="","",IFERROR(TRIM(INDEX('Submission template'!$M$17:$M$300,$U27)),""))</f>
        <v>Sr. FullStack Developer</v>
      </c>
      <c r="AA27" s="220" t="str">
        <f>IF($U27="","",IFERROR(TRIM(INDEX('Submission template'!$O$17:$O$300,$U27)),""))</f>
        <v>Chennai</v>
      </c>
      <c r="AB27" s="220" t="str">
        <f>IF($U27="","",IFERROR(TRIM(INDEX('Submission template'!$S$17:$S$300,$U27)),""))</f>
        <v>Preferring Chennai</v>
      </c>
      <c r="AC27" s="220">
        <f>IF($B27="",0,IF($U27="",0,1))</f>
        <v>1</v>
      </c>
      <c r="AD27" s="220">
        <f>IF($B27="",0,IF(OR($H27=TargetLocation,AND($AA27&lt;&gt;"",ISNUMBER(SEARCH(TargetLocation,$AA27)))),1,0))</f>
        <v>1</v>
      </c>
      <c r="AE27" s="220">
        <f>IF($B27="",0,IF(AND(OR(SelRecruiter="All",$C27=SelRecruiter),OR(SelCity="All",$H27=SelCity),OR(SelStage="All",$I27=SelStage),OR(SelRequisition="All",$F27=SelRequisition)),1,0))</f>
        <v>1</v>
      </c>
      <c r="AF27" s="220">
        <f>IF($B27="","",COUNT($AF$5:AF26)+1)</f>
        <v>22</v>
      </c>
      <c r="AG27" s="220">
        <f>IF($C27="","",IF(COUNTIF($C$6:$C27,$C27)=1,COUNT($AG$5:AG26)+1,""))</f>
      </c>
      <c r="AH27" s="220">
        <f>IF($F27="","",IF(COUNTIF($F$6:$F27,$F27)=1,COUNT($AH$5:AH26)+1,""))</f>
      </c>
      <c r="AI27" s="220">
        <f>IF($H27="","",IF(COUNTIF($H$6:$H27,$H27)=1,COUNT($AI$5:AI26)+1,""))</f>
      </c>
      <c r="AJ27" s="220">
        <f>IF(OR($B27="",$J27=0),"",$J27*100000000+IF(ISNUMBER($D27),$D27,0)*1000+(170-$A27))</f>
        <v>246247148</v>
      </c>
      <c r="AK27" s="220">
        <f>IF(OR($B27="",$W27&lt;=0),"",ROUND($W27*10,0)*100000+(170-$A27))</f>
        <v>9000148</v>
      </c>
      <c r="AL27" s="220">
        <f>IF(OR($B27="",$P27&lt;=0),"",ROUND($P27*10000,0)*1000+(170-$A27))</f>
        <v>3684148</v>
      </c>
      <c r="AM27" s="220">
        <f>IF(AND($W27&gt;0,$O27&gt;0),COUNT($AM$5:AM26)+1,"")</f>
        <v>11</v>
      </c>
      <c r="AN27">
        <f>IF($B27="",0,IF($G27="",0,SUMPRODUCT(MAX(ISNUMBER(SEARCH(LocPattern,$G27))*LocIdx))))</f>
        <v>18</v>
      </c>
      <c r="BD27">
        <f>IFERROR(INDEX($W$6:$W$125,MATCH(22,$AM$6:$AM$125,0)),"")</f>
      </c>
      <c r="BE27">
        <f>IFERROR(INDEX($O$6:$O$125,MATCH(22,$AM$6:$AM$125,0)),"")</f>
      </c>
      <c r="BF27">
        <f>IFERROR(INDEX($B$6:$B$125,MATCH(22,$AM$6:$AM$125,0)),"")</f>
      </c>
      <c r="BL27" t="str">
        <f>IFERROR(INDEX($B$6:$B$125,MATCH(22,$AF$6:$AF$125,0)),"")</f>
        <v>Pavan Kumar Reddy</v>
      </c>
    </row>
    <row r="28">
      <c r="A28" s="214" t="n">
        <v>23</v>
      </c>
      <c r="B28" s="214" t="str">
        <f>IF(TRIM('Master Data-2026'!D24)="","",TRIM('Master Data-2026'!D24))</f>
        <v>Jeevananthan</v>
      </c>
      <c r="C28" s="214" t="str">
        <f>IF($B28="","",TRIM('Master Data-2026'!A24))</f>
        <v>Sarath</v>
      </c>
      <c r="D28" s="215">
        <f>IF($B28="","",IF('Master Data-2026'!B24="","",'Master Data-2026'!B24))</f>
        <v>46247</v>
      </c>
      <c r="E28" s="214" t="str">
        <f>IF($B28="","",TRIM('Master Data-2026'!C24))</f>
        <v>August</v>
      </c>
      <c r="F28" s="214" t="str">
        <f>IF($B28="","",TRIM('Master Data-2026'!G24))</f>
        <v>Full Stack Developer</v>
      </c>
      <c r="G28" s="214" t="str">
        <f>IF($B28="","",TRIM('Master Data-2026'!F24))</f>
        <v>Chennai</v>
      </c>
      <c r="H28" s="214" t="str">
        <f>IF($B28="","",IF($G28="","Not recorded",IF($AN28=0,"Other",INDEX(LocCity,$AN28))))</f>
        <v>Chennai</v>
      </c>
      <c r="I28" s="214" t="str">
        <f>IF($B28="","",TRIM('Master Data-2026'!H24))</f>
        <v>ZN Submission</v>
      </c>
      <c r="J28" s="214">
        <f>IF($B28="",0,IFERROR(INDEX(StageOrderRef,MATCH($I28,StageNameRef,0)),0))</f>
        <v>2</v>
      </c>
      <c r="K28" s="214" t="str">
        <f>IF($B28="","",TRIM('Master Data-2026'!I24))</f>
        <v>Client Review</v>
      </c>
      <c r="L28" s="214">
        <f>IF($B28="","",TRIM('Master Data-2026'!J24))</f>
      </c>
      <c r="M28" s="216">
        <f>IF($L28="",0,IF(ISNUMBER(SEARCH("%",$L28)),0,IFERROR(VALUE(LEFT($L28,IF(NOT(OR(AND(MID($L28,1,1)&gt;="0",MID($L28,1,1)&lt;="9"),MID($L28,1,1)=".")),0,IF(NOT(OR(AND(MID($L28,2,1)&gt;="0",MID($L28,2,1)&lt;="9"),MID($L28,2,1)=".")),1,IF(NOT(OR(AND(MID($L28,3,1)&gt;="0",MID($L28,3,1)&lt;="9"),MID($L28,3,1)=".")),2,IF(NOT(OR(AND(MID($L28,4,1)&gt;="0",MID($L28,4,1)&lt;="9"),MID($L28,4,1)=".")),3,IF(NOT(OR(AND(MID($L28,5,1)&gt;="0",MID($L28,5,1)&lt;="9"),MID($L28,5,1)=".")),4,IF(NOT(OR(AND(MID($L28,6,1)&gt;="0",MID($L28,6,1)&lt;="9"),MID($L28,6,1)=".")),5,6)))))))),0)))</f>
        <v>0</v>
      </c>
      <c r="N28" s="214">
        <f>IF($B28="","",TRIM('Master Data-2026'!K24))</f>
      </c>
      <c r="O28" s="216">
        <f>IF($N28="",0,IF(ISNUMBER(SEARCH("%",$N28)),0,IFERROR(VALUE(LEFT($N28,IF(NOT(OR(AND(MID($N28,1,1)&gt;="0",MID($N28,1,1)&lt;="9"),MID($N28,1,1)=".")),0,IF(NOT(OR(AND(MID($N28,2,1)&gt;="0",MID($N28,2,1)&lt;="9"),MID($N28,2,1)=".")),1,IF(NOT(OR(AND(MID($N28,3,1)&gt;="0",MID($N28,3,1)&lt;="9"),MID($N28,3,1)=".")),2,IF(NOT(OR(AND(MID($N28,4,1)&gt;="0",MID($N28,4,1)&lt;="9"),MID($N28,4,1)=".")),3,IF(NOT(OR(AND(MID($N28,5,1)&gt;="0",MID($N28,5,1)&lt;="9"),MID($N28,5,1)=".")),4,IF(NOT(OR(AND(MID($N28,6,1)&gt;="0",MID($N28,6,1)&lt;="9"),MID($N28,6,1)=".")),5,6)))))))),0)))</f>
        <v>0</v>
      </c>
      <c r="P28" s="217">
        <f>IF(AND($M28&gt;0,$O28&gt;0),$O28/$M28-1,0)</f>
        <v>0</v>
      </c>
      <c r="Q28" s="214">
        <f>IF($B28="","",TRIM('Master Data-2026'!L24))</f>
      </c>
      <c r="R28" s="214">
        <f>IF($Q28="",0,IF(ISNUMBER(SEARCH("%",$Q28)),0,IFERROR(VALUE(LEFT($Q28,IF(NOT(OR(AND(MID($Q28,1,1)&gt;="0",MID($Q28,1,1)&lt;="9"),MID($Q28,1,1)=".")),0,IF(NOT(OR(AND(MID($Q28,2,1)&gt;="0",MID($Q28,2,1)&lt;="9"),MID($Q28,2,1)=".")),1,IF(NOT(OR(AND(MID($Q28,3,1)&gt;="0",MID($Q28,3,1)&lt;="9"),MID($Q28,3,1)=".")),2,IF(NOT(OR(AND(MID($Q28,4,1)&gt;="0",MID($Q28,4,1)&lt;="9"),MID($Q28,4,1)=".")),3,IF(NOT(OR(AND(MID($Q28,5,1)&gt;="0",MID($Q28,5,1)&lt;="9"),MID($Q28,5,1)=".")),4,IF(NOT(OR(AND(MID($Q28,6,1)&gt;="0",MID($Q28,6,1)&lt;="9"),MID($Q28,6,1)=".")),5,6)))))))),0)))</f>
        <v>0</v>
      </c>
      <c r="S28" s="218">
        <f>IF($Q28="",-1,IF(ISNUMBER(SEARCH("immediate",$Q28)),0,IF(ISNUMBER(SEARCH("month",$Q28)),IF($R28=0,-1,$R28*30),IF(ISNUMBER(SEARCH("day",$Q28)),IF($R28=0,-1,$R28),-1))))</f>
        <v>-1</v>
      </c>
      <c r="T28" s="214" t="str">
        <f>IF($B28="","",IF($S28&lt;0,"Not recorded",IF($S28=0,"Immediate",IF($S28&lt;=30,"1-30 days",IF($S28&lt;=60,"31-60 days","60+ days")))))</f>
        <v>Not recorded</v>
      </c>
      <c r="U28" s="214">
        <f>IF($B28="","",IFERROR(MATCH($B28,'Submission template'!$D$17:$D$300,0),""))</f>
      </c>
      <c r="V28" s="214">
        <f>IF($U28="","",IFERROR(TRIM(INDEX('Submission template'!$I$17:$I$300,$U28)),""))</f>
      </c>
      <c r="W28" s="219">
        <f>IF($V28="",0,IF(ISNUMBER(SEARCH("%",$V28)),0,IFERROR(VALUE(LEFT($V28,IF(NOT(OR(AND(MID($V28,1,1)&gt;="0",MID($V28,1,1)&lt;="9"),MID($V28,1,1)=".")),0,IF(NOT(OR(AND(MID($V28,2,1)&gt;="0",MID($V28,2,1)&lt;="9"),MID($V28,2,1)=".")),1,IF(NOT(OR(AND(MID($V28,3,1)&gt;="0",MID($V28,3,1)&lt;="9"),MID($V28,3,1)=".")),2,IF(NOT(OR(AND(MID($V28,4,1)&gt;="0",MID($V28,4,1)&lt;="9"),MID($V28,4,1)=".")),3,IF(NOT(OR(AND(MID($V28,5,1)&gt;="0",MID($V28,5,1)&lt;="9"),MID($V28,5,1)=".")),4,IF(NOT(OR(AND(MID($V28,6,1)&gt;="0",MID($V28,6,1)&lt;="9"),MID($V28,6,1)=".")),5,6)))))))),0)))</f>
        <v>0</v>
      </c>
      <c r="X28" s="214">
        <f>IF($U28="","",IFERROR(TRIM(INDEX('Submission template'!$J$17:$J$300,$U28)),""))</f>
      </c>
      <c r="Y28" s="214">
        <f>IF($U28="","",IFERROR(TRIM(INDEX('Submission template'!$K$17:$K$300,$U28)),""))</f>
      </c>
      <c r="Z28" s="214">
        <f>IF($U28="","",IFERROR(TRIM(INDEX('Submission template'!$M$17:$M$300,$U28)),""))</f>
      </c>
      <c r="AA28" s="214">
        <f>IF($U28="","",IFERROR(TRIM(INDEX('Submission template'!$O$17:$O$300,$U28)),""))</f>
      </c>
      <c r="AB28" s="214">
        <f>IF($U28="","",IFERROR(TRIM(INDEX('Submission template'!$S$17:$S$300,$U28)),""))</f>
      </c>
      <c r="AC28" s="214">
        <f>IF($B28="",0,IF($U28="",0,1))</f>
        <v>0</v>
      </c>
      <c r="AD28" s="214">
        <f>IF($B28="",0,IF(OR($H28=TargetLocation,AND($AA28&lt;&gt;"",ISNUMBER(SEARCH(TargetLocation,$AA28)))),1,0))</f>
        <v>1</v>
      </c>
      <c r="AE28" s="214">
        <f>IF($B28="",0,IF(AND(OR(SelRecruiter="All",$C28=SelRecruiter),OR(SelCity="All",$H28=SelCity),OR(SelStage="All",$I28=SelStage),OR(SelRequisition="All",$F28=SelRequisition)),1,0))</f>
        <v>1</v>
      </c>
      <c r="AF28" s="214">
        <f>IF($B28="","",COUNT($AF$5:AF27)+1)</f>
        <v>23</v>
      </c>
      <c r="AG28" s="214">
        <f>IF($C28="","",IF(COUNTIF($C$6:$C28,$C28)=1,COUNT($AG$5:AG27)+1,""))</f>
      </c>
      <c r="AH28" s="214">
        <f>IF($F28="","",IF(COUNTIF($F$6:$F28,$F28)=1,COUNT($AH$5:AH27)+1,""))</f>
      </c>
      <c r="AI28" s="214">
        <f>IF($H28="","",IF(COUNTIF($H$6:$H28,$H28)=1,COUNT($AI$5:AI27)+1,""))</f>
      </c>
      <c r="AJ28" s="214">
        <f>IF(OR($B28="",$J28=0),"",$J28*100000000+IF(ISNUMBER($D28),$D28,0)*1000+(170-$A28))</f>
        <v>246247147</v>
      </c>
      <c r="AK28" s="214">
        <f>IF(OR($B28="",$W28&lt;=0),"",ROUND($W28*10,0)*100000+(170-$A28))</f>
      </c>
      <c r="AL28" s="214">
        <f>IF(OR($B28="",$P28&lt;=0),"",ROUND($P28*10000,0)*1000+(170-$A28))</f>
      </c>
      <c r="AM28" s="214">
        <f>IF(AND($W28&gt;0,$O28&gt;0),COUNT($AM$5:AM27)+1,"")</f>
      </c>
      <c r="AN28">
        <f>IF($B28="",0,IF($G28="",0,SUMPRODUCT(MAX(ISNUMBER(SEARCH(LocPattern,$G28))*LocIdx))))</f>
        <v>16</v>
      </c>
      <c r="BD28">
        <f>IFERROR(INDEX($W$6:$W$125,MATCH(23,$AM$6:$AM$125,0)),"")</f>
      </c>
      <c r="BE28">
        <f>IFERROR(INDEX($O$6:$O$125,MATCH(23,$AM$6:$AM$125,0)),"")</f>
      </c>
      <c r="BF28">
        <f>IFERROR(INDEX($B$6:$B$125,MATCH(23,$AM$6:$AM$125,0)),"")</f>
      </c>
      <c r="BL28" t="str">
        <f>IFERROR(INDEX($B$6:$B$125,MATCH(23,$AF$6:$AF$125,0)),"")</f>
        <v>Jeevananthan</v>
      </c>
    </row>
    <row r="29">
      <c r="A29" s="220" t="n">
        <v>24</v>
      </c>
      <c r="B29" s="220" t="str">
        <f>IF(TRIM('Master Data-2026'!D25)="","",TRIM('Master Data-2026'!D25))</f>
        <v>Jahnavi</v>
      </c>
      <c r="C29" s="220" t="str">
        <f>IF($B29="","",TRIM('Master Data-2026'!A25))</f>
        <v>Vandana</v>
      </c>
      <c r="D29" s="221">
        <f>IF($B29="","",IF('Master Data-2026'!B25="","",'Master Data-2026'!B25))</f>
        <v>46247</v>
      </c>
      <c r="E29" s="220" t="str">
        <f>IF($B29="","",TRIM('Master Data-2026'!C25))</f>
        <v>August</v>
      </c>
      <c r="F29" s="220" t="str">
        <f>IF($B29="","",TRIM('Master Data-2026'!G25))</f>
        <v>Full Stack Developer</v>
      </c>
      <c r="G29" s="220" t="str">
        <f>IF($B29="","",TRIM('Master Data-2026'!F25))</f>
        <v>Ongole</v>
      </c>
      <c r="H29" s="220" t="str">
        <f>IF($B29="","",IF($G29="","Not recorded",IF($AN29=0,"Other",INDEX(LocCity,$AN29))))</f>
        <v>Ongole</v>
      </c>
      <c r="I29" s="220" t="str">
        <f>IF($B29="","",TRIM('Master Data-2026'!H25))</f>
        <v>ZN Submission</v>
      </c>
      <c r="J29" s="220">
        <f>IF($B29="",0,IFERROR(INDEX(StageOrderRef,MATCH($I29,StageNameRef,0)),0))</f>
        <v>2</v>
      </c>
      <c r="K29" s="220" t="str">
        <f>IF($B29="","",TRIM('Master Data-2026'!I25))</f>
        <v>JD sent awaiting for response</v>
      </c>
      <c r="L29" s="220" t="str">
        <f>IF($B29="","",TRIM('Master Data-2026'!J25))</f>
        <v>18lpa</v>
      </c>
      <c r="M29" s="222">
        <f>IF($L29="",0,IF(ISNUMBER(SEARCH("%",$L29)),0,IFERROR(VALUE(LEFT($L29,IF(NOT(OR(AND(MID($L29,1,1)&gt;="0",MID($L29,1,1)&lt;="9"),MID($L29,1,1)=".")),0,IF(NOT(OR(AND(MID($L29,2,1)&gt;="0",MID($L29,2,1)&lt;="9"),MID($L29,2,1)=".")),1,IF(NOT(OR(AND(MID($L29,3,1)&gt;="0",MID($L29,3,1)&lt;="9"),MID($L29,3,1)=".")),2,IF(NOT(OR(AND(MID($L29,4,1)&gt;="0",MID($L29,4,1)&lt;="9"),MID($L29,4,1)=".")),3,IF(NOT(OR(AND(MID($L29,5,1)&gt;="0",MID($L29,5,1)&lt;="9"),MID($L29,5,1)=".")),4,IF(NOT(OR(AND(MID($L29,6,1)&gt;="0",MID($L29,6,1)&lt;="9"),MID($L29,6,1)=".")),5,6)))))))),0)))</f>
        <v>18</v>
      </c>
      <c r="N29" s="220" t="str">
        <f>IF($B29="","",TRIM('Master Data-2026'!K25))</f>
        <v>22lpa</v>
      </c>
      <c r="O29" s="222">
        <f>IF($N29="",0,IF(ISNUMBER(SEARCH("%",$N29)),0,IFERROR(VALUE(LEFT($N29,IF(NOT(OR(AND(MID($N29,1,1)&gt;="0",MID($N29,1,1)&lt;="9"),MID($N29,1,1)=".")),0,IF(NOT(OR(AND(MID($N29,2,1)&gt;="0",MID($N29,2,1)&lt;="9"),MID($N29,2,1)=".")),1,IF(NOT(OR(AND(MID($N29,3,1)&gt;="0",MID($N29,3,1)&lt;="9"),MID($N29,3,1)=".")),2,IF(NOT(OR(AND(MID($N29,4,1)&gt;="0",MID($N29,4,1)&lt;="9"),MID($N29,4,1)=".")),3,IF(NOT(OR(AND(MID($N29,5,1)&gt;="0",MID($N29,5,1)&lt;="9"),MID($N29,5,1)=".")),4,IF(NOT(OR(AND(MID($N29,6,1)&gt;="0",MID($N29,6,1)&lt;="9"),MID($N29,6,1)=".")),5,6)))))))),0)))</f>
        <v>22</v>
      </c>
      <c r="P29" s="223">
        <f>IF(AND($M29&gt;0,$O29&gt;0),$O29/$M29-1,0)</f>
        <v>0.22222222222222232</v>
      </c>
      <c r="Q29" s="220" t="str">
        <f>IF($B29="","",TRIM('Master Data-2026'!L25))</f>
        <v>30 days(23 days )</v>
      </c>
      <c r="R29" s="220">
        <f>IF($Q29="",0,IF(ISNUMBER(SEARCH("%",$Q29)),0,IFERROR(VALUE(LEFT($Q29,IF(NOT(OR(AND(MID($Q29,1,1)&gt;="0",MID($Q29,1,1)&lt;="9"),MID($Q29,1,1)=".")),0,IF(NOT(OR(AND(MID($Q29,2,1)&gt;="0",MID($Q29,2,1)&lt;="9"),MID($Q29,2,1)=".")),1,IF(NOT(OR(AND(MID($Q29,3,1)&gt;="0",MID($Q29,3,1)&lt;="9"),MID($Q29,3,1)=".")),2,IF(NOT(OR(AND(MID($Q29,4,1)&gt;="0",MID($Q29,4,1)&lt;="9"),MID($Q29,4,1)=".")),3,IF(NOT(OR(AND(MID($Q29,5,1)&gt;="0",MID($Q29,5,1)&lt;="9"),MID($Q29,5,1)=".")),4,IF(NOT(OR(AND(MID($Q29,6,1)&gt;="0",MID($Q29,6,1)&lt;="9"),MID($Q29,6,1)=".")),5,6)))))))),0)))</f>
        <v>30</v>
      </c>
      <c r="S29" s="224">
        <f>IF($Q29="",-1,IF(ISNUMBER(SEARCH("immediate",$Q29)),0,IF(ISNUMBER(SEARCH("month",$Q29)),IF($R29=0,-1,$R29*30),IF(ISNUMBER(SEARCH("day",$Q29)),IF($R29=0,-1,$R29),-1))))</f>
        <v>30</v>
      </c>
      <c r="T29" s="220" t="str">
        <f>IF($B29="","",IF($S29&lt;0,"Not recorded",IF($S29=0,"Immediate",IF($S29&lt;=30,"1-30 days",IF($S29&lt;=60,"31-60 days","60+ days")))))</f>
        <v>1-30 days</v>
      </c>
      <c r="U29" s="220">
        <f>IF($B29="","",IFERROR(MATCH($B29,'Submission template'!$D$17:$D$300,0),""))</f>
        <v>10</v>
      </c>
      <c r="V29" s="220" t="str">
        <f>IF($U29="","",IFERROR(TRIM(INDEX('Submission template'!$I$17:$I$300,$U29)),""))</f>
        <v>5.1 Years</v>
      </c>
      <c r="W29" s="225">
        <f>IF($V29="",0,IF(ISNUMBER(SEARCH("%",$V29)),0,IFERROR(VALUE(LEFT($V29,IF(NOT(OR(AND(MID($V29,1,1)&gt;="0",MID($V29,1,1)&lt;="9"),MID($V29,1,1)=".")),0,IF(NOT(OR(AND(MID($V29,2,1)&gt;="0",MID($V29,2,1)&lt;="9"),MID($V29,2,1)=".")),1,IF(NOT(OR(AND(MID($V29,3,1)&gt;="0",MID($V29,3,1)&lt;="9"),MID($V29,3,1)=".")),2,IF(NOT(OR(AND(MID($V29,4,1)&gt;="0",MID($V29,4,1)&lt;="9"),MID($V29,4,1)=".")),3,IF(NOT(OR(AND(MID($V29,5,1)&gt;="0",MID($V29,5,1)&lt;="9"),MID($V29,5,1)=".")),4,IF(NOT(OR(AND(MID($V29,6,1)&gt;="0",MID($V29,6,1)&lt;="9"),MID($V29,6,1)=".")),5,6)))))))),0)))</f>
        <v>5.1</v>
      </c>
      <c r="X29" s="220" t="str">
        <f>IF($U29="","",IFERROR(TRIM(INDEX('Submission template'!$J$17:$J$300,$U29)),""))</f>
        <v>React 5.1 Y+Node 5.1 Y</v>
      </c>
      <c r="Y29" s="220" t="str">
        <f>IF($U29="","",IFERROR(TRIM(INDEX('Submission template'!$K$17:$K$300,$U29)),""))</f>
        <v>Lloyds Technology Centre</v>
      </c>
      <c r="Z29" s="220" t="str">
        <f>IF($U29="","",IFERROR(TRIM(INDEX('Submission template'!$M$17:$M$300,$U29)),""))</f>
        <v>Software Engineer</v>
      </c>
      <c r="AA29" s="220" t="str">
        <f>IF($U29="","",IFERROR(TRIM(INDEX('Submission template'!$O$17:$O$300,$U29)),""))</f>
        <v>Chennai</v>
      </c>
      <c r="AB29" s="220" t="str">
        <f>IF($U29="","",IFERROR(TRIM(INDEX('Submission template'!$S$17:$S$300,$U29)),""))</f>
        <v>Career Growth</v>
      </c>
      <c r="AC29" s="220">
        <f>IF($B29="",0,IF($U29="",0,1))</f>
        <v>1</v>
      </c>
      <c r="AD29" s="220">
        <f>IF($B29="",0,IF(OR($H29=TargetLocation,AND($AA29&lt;&gt;"",ISNUMBER(SEARCH(TargetLocation,$AA29)))),1,0))</f>
        <v>1</v>
      </c>
      <c r="AE29" s="220">
        <f>IF($B29="",0,IF(AND(OR(SelRecruiter="All",$C29=SelRecruiter),OR(SelCity="All",$H29=SelCity),OR(SelStage="All",$I29=SelStage),OR(SelRequisition="All",$F29=SelRequisition)),1,0))</f>
        <v>1</v>
      </c>
      <c r="AF29" s="220">
        <f>IF($B29="","",COUNT($AF$5:AF28)+1)</f>
        <v>24</v>
      </c>
      <c r="AG29" s="220">
        <f>IF($C29="","",IF(COUNTIF($C$6:$C29,$C29)=1,COUNT($AG$5:AG28)+1,""))</f>
      </c>
      <c r="AH29" s="220">
        <f>IF($F29="","",IF(COUNTIF($F$6:$F29,$F29)=1,COUNT($AH$5:AH28)+1,""))</f>
      </c>
      <c r="AI29" s="220">
        <f>IF($H29="","",IF(COUNTIF($H$6:$H29,$H29)=1,COUNT($AI$5:AI28)+1,""))</f>
        <v>6</v>
      </c>
      <c r="AJ29" s="220">
        <f>IF(OR($B29="",$J29=0),"",$J29*100000000+IF(ISNUMBER($D29),$D29,0)*1000+(170-$A29))</f>
        <v>246247146</v>
      </c>
      <c r="AK29" s="220">
        <f>IF(OR($B29="",$W29&lt;=0),"",ROUND($W29*10,0)*100000+(170-$A29))</f>
        <v>5100146</v>
      </c>
      <c r="AL29" s="220">
        <f>IF(OR($B29="",$P29&lt;=0),"",ROUND($P29*10000,0)*1000+(170-$A29))</f>
        <v>2222146</v>
      </c>
      <c r="AM29" s="220">
        <f>IF(AND($W29&gt;0,$O29&gt;0),COUNT($AM$5:AM28)+1,"")</f>
        <v>12</v>
      </c>
      <c r="AN29">
        <f>IF($B29="",0,IF($G29="",0,SUMPRODUCT(MAX(ISNUMBER(SEARCH(LocPattern,$G29))*LocIdx))))</f>
        <v>26</v>
      </c>
      <c r="BD29">
        <f>IFERROR(INDEX($W$6:$W$125,MATCH(24,$AM$6:$AM$125,0)),"")</f>
      </c>
      <c r="BE29">
        <f>IFERROR(INDEX($O$6:$O$125,MATCH(24,$AM$6:$AM$125,0)),"")</f>
      </c>
      <c r="BF29">
        <f>IFERROR(INDEX($B$6:$B$125,MATCH(24,$AM$6:$AM$125,0)),"")</f>
      </c>
      <c r="BL29" t="str">
        <f>IFERROR(INDEX($B$6:$B$125,MATCH(24,$AF$6:$AF$125,0)),"")</f>
        <v>Jahnavi</v>
      </c>
    </row>
    <row r="30">
      <c r="A30" s="214" t="n">
        <v>25</v>
      </c>
      <c r="B30" s="214" t="str">
        <f>IF(TRIM('Master Data-2026'!D26)="","",TRIM('Master Data-2026'!D26))</f>
        <v>Gokulakrishnan</v>
      </c>
      <c r="C30" s="214" t="str">
        <f>IF($B30="","",TRIM('Master Data-2026'!A26))</f>
        <v>Vandana</v>
      </c>
      <c r="D30" s="215">
        <f>IF($B30="","",IF('Master Data-2026'!B26="","",'Master Data-2026'!B26))</f>
        <v>46247</v>
      </c>
      <c r="E30" s="214" t="str">
        <f>IF($B30="","",TRIM('Master Data-2026'!C26))</f>
        <v>August</v>
      </c>
      <c r="F30" s="214" t="str">
        <f>IF($B30="","",TRIM('Master Data-2026'!G26))</f>
        <v>Full Stack Developer</v>
      </c>
      <c r="G30" s="214" t="str">
        <f>IF($B30="","",TRIM('Master Data-2026'!F26))</f>
        <v>Salem</v>
      </c>
      <c r="H30" s="214" t="str">
        <f>IF($B30="","",IF($G30="","Not recorded",IF($AN30=0,"Other",INDEX(LocCity,$AN30))))</f>
        <v>Salem</v>
      </c>
      <c r="I30" s="214" t="str">
        <f>IF($B30="","",TRIM('Master Data-2026'!H26))</f>
        <v>ZN Submission</v>
      </c>
      <c r="J30" s="214">
        <f>IF($B30="",0,IFERROR(INDEX(StageOrderRef,MATCH($I30,StageNameRef,0)),0))</f>
        <v>2</v>
      </c>
      <c r="K30" s="214" t="str">
        <f>IF($B30="","",TRIM('Master Data-2026'!I26))</f>
        <v>JD sent awaiting for response</v>
      </c>
      <c r="L30" s="214" t="str">
        <f>IF($B30="","",TRIM('Master Data-2026'!J26))</f>
        <v>7 lpa</v>
      </c>
      <c r="M30" s="216">
        <f>IF($L30="",0,IF(ISNUMBER(SEARCH("%",$L30)),0,IFERROR(VALUE(LEFT($L30,IF(NOT(OR(AND(MID($L30,1,1)&gt;="0",MID($L30,1,1)&lt;="9"),MID($L30,1,1)=".")),0,IF(NOT(OR(AND(MID($L30,2,1)&gt;="0",MID($L30,2,1)&lt;="9"),MID($L30,2,1)=".")),1,IF(NOT(OR(AND(MID($L30,3,1)&gt;="0",MID($L30,3,1)&lt;="9"),MID($L30,3,1)=".")),2,IF(NOT(OR(AND(MID($L30,4,1)&gt;="0",MID($L30,4,1)&lt;="9"),MID($L30,4,1)=".")),3,IF(NOT(OR(AND(MID($L30,5,1)&gt;="0",MID($L30,5,1)&lt;="9"),MID($L30,5,1)=".")),4,IF(NOT(OR(AND(MID($L30,6,1)&gt;="0",MID($L30,6,1)&lt;="9"),MID($L30,6,1)=".")),5,6)))))))),0)))</f>
        <v>7</v>
      </c>
      <c r="N30" s="214" t="str">
        <f>IF($B30="","",TRIM('Master Data-2026'!K26))</f>
        <v>14lpa</v>
      </c>
      <c r="O30" s="216">
        <f>IF($N30="",0,IF(ISNUMBER(SEARCH("%",$N30)),0,IFERROR(VALUE(LEFT($N30,IF(NOT(OR(AND(MID($N30,1,1)&gt;="0",MID($N30,1,1)&lt;="9"),MID($N30,1,1)=".")),0,IF(NOT(OR(AND(MID($N30,2,1)&gt;="0",MID($N30,2,1)&lt;="9"),MID($N30,2,1)=".")),1,IF(NOT(OR(AND(MID($N30,3,1)&gt;="0",MID($N30,3,1)&lt;="9"),MID($N30,3,1)=".")),2,IF(NOT(OR(AND(MID($N30,4,1)&gt;="0",MID($N30,4,1)&lt;="9"),MID($N30,4,1)=".")),3,IF(NOT(OR(AND(MID($N30,5,1)&gt;="0",MID($N30,5,1)&lt;="9"),MID($N30,5,1)=".")),4,IF(NOT(OR(AND(MID($N30,6,1)&gt;="0",MID($N30,6,1)&lt;="9"),MID($N30,6,1)=".")),5,6)))))))),0)))</f>
        <v>14</v>
      </c>
      <c r="P30" s="217">
        <f>IF(AND($M30&gt;0,$O30&gt;0),$O30/$M30-1,0)</f>
        <v>1</v>
      </c>
      <c r="Q30" s="214" t="str">
        <f>IF($B30="","",TRIM('Master Data-2026'!L26))</f>
        <v>30 days</v>
      </c>
      <c r="R30" s="214">
        <f>IF($Q30="",0,IF(ISNUMBER(SEARCH("%",$Q30)),0,IFERROR(VALUE(LEFT($Q30,IF(NOT(OR(AND(MID($Q30,1,1)&gt;="0",MID($Q30,1,1)&lt;="9"),MID($Q30,1,1)=".")),0,IF(NOT(OR(AND(MID($Q30,2,1)&gt;="0",MID($Q30,2,1)&lt;="9"),MID($Q30,2,1)=".")),1,IF(NOT(OR(AND(MID($Q30,3,1)&gt;="0",MID($Q30,3,1)&lt;="9"),MID($Q30,3,1)=".")),2,IF(NOT(OR(AND(MID($Q30,4,1)&gt;="0",MID($Q30,4,1)&lt;="9"),MID($Q30,4,1)=".")),3,IF(NOT(OR(AND(MID($Q30,5,1)&gt;="0",MID($Q30,5,1)&lt;="9"),MID($Q30,5,1)=".")),4,IF(NOT(OR(AND(MID($Q30,6,1)&gt;="0",MID($Q30,6,1)&lt;="9"),MID($Q30,6,1)=".")),5,6)))))))),0)))</f>
        <v>30</v>
      </c>
      <c r="S30" s="218">
        <f>IF($Q30="",-1,IF(ISNUMBER(SEARCH("immediate",$Q30)),0,IF(ISNUMBER(SEARCH("month",$Q30)),IF($R30=0,-1,$R30*30),IF(ISNUMBER(SEARCH("day",$Q30)),IF($R30=0,-1,$R30),-1))))</f>
        <v>30</v>
      </c>
      <c r="T30" s="214" t="str">
        <f>IF($B30="","",IF($S30&lt;0,"Not recorded",IF($S30=0,"Immediate",IF($S30&lt;=30,"1-30 days",IF($S30&lt;=60,"31-60 days","60+ days")))))</f>
        <v>1-30 days</v>
      </c>
      <c r="U30" s="214">
        <f>IF($B30="","",IFERROR(MATCH($B30,'Submission template'!$D$17:$D$300,0),""))</f>
        <v>12</v>
      </c>
      <c r="V30" s="214" t="str">
        <f>IF($U30="","",IFERROR(TRIM(INDEX('Submission template'!$I$17:$I$300,$U30)),""))</f>
        <v>4.1 Years</v>
      </c>
      <c r="W30" s="219">
        <f>IF($V30="",0,IF(ISNUMBER(SEARCH("%",$V30)),0,IFERROR(VALUE(LEFT($V30,IF(NOT(OR(AND(MID($V30,1,1)&gt;="0",MID($V30,1,1)&lt;="9"),MID($V30,1,1)=".")),0,IF(NOT(OR(AND(MID($V30,2,1)&gt;="0",MID($V30,2,1)&lt;="9"),MID($V30,2,1)=".")),1,IF(NOT(OR(AND(MID($V30,3,1)&gt;="0",MID($V30,3,1)&lt;="9"),MID($V30,3,1)=".")),2,IF(NOT(OR(AND(MID($V30,4,1)&gt;="0",MID($V30,4,1)&lt;="9"),MID($V30,4,1)=".")),3,IF(NOT(OR(AND(MID($V30,5,1)&gt;="0",MID($V30,5,1)&lt;="9"),MID($V30,5,1)=".")),4,IF(NOT(OR(AND(MID($V30,6,1)&gt;="0",MID($V30,6,1)&lt;="9"),MID($V30,6,1)=".")),5,6)))))))),0)))</f>
        <v>4.1</v>
      </c>
      <c r="X30" s="214" t="str">
        <f>IF($U30="","",IFERROR(TRIM(INDEX('Submission template'!$J$17:$J$300,$U30)),""))</f>
        <v>React 4.1 Y+Node 4.1 Y</v>
      </c>
      <c r="Y30" s="214" t="str">
        <f>IF($U30="","",IFERROR(TRIM(INDEX('Submission template'!$K$17:$K$300,$U30)),""))</f>
        <v>Bolzano Group</v>
      </c>
      <c r="Z30" s="214" t="str">
        <f>IF($U30="","",IFERROR(TRIM(INDEX('Submission template'!$M$17:$M$300,$U30)),""))</f>
        <v>Full Stack Developer</v>
      </c>
      <c r="AA30" s="214" t="str">
        <f>IF($U30="","",IFERROR(TRIM(INDEX('Submission template'!$O$17:$O$300,$U30)),""))</f>
        <v>Chennai</v>
      </c>
      <c r="AB30" s="214" t="str">
        <f>IF($U30="","",IFERROR(TRIM(INDEX('Submission template'!$S$17:$S$300,$U30)),""))</f>
        <v>Career Growth</v>
      </c>
      <c r="AC30" s="214">
        <f>IF($B30="",0,IF($U30="",0,1))</f>
        <v>1</v>
      </c>
      <c r="AD30" s="214">
        <f>IF($B30="",0,IF(OR($H30=TargetLocation,AND($AA30&lt;&gt;"",ISNUMBER(SEARCH(TargetLocation,$AA30)))),1,0))</f>
        <v>1</v>
      </c>
      <c r="AE30" s="214">
        <f>IF($B30="",0,IF(AND(OR(SelRecruiter="All",$C30=SelRecruiter),OR(SelCity="All",$H30=SelCity),OR(SelStage="All",$I30=SelStage),OR(SelRequisition="All",$F30=SelRequisition)),1,0))</f>
        <v>1</v>
      </c>
      <c r="AF30" s="214">
        <f>IF($B30="","",COUNT($AF$5:AF29)+1)</f>
        <v>25</v>
      </c>
      <c r="AG30" s="214">
        <f>IF($C30="","",IF(COUNTIF($C$6:$C30,$C30)=1,COUNT($AG$5:AG29)+1,""))</f>
      </c>
      <c r="AH30" s="214">
        <f>IF($F30="","",IF(COUNTIF($F$6:$F30,$F30)=1,COUNT($AH$5:AH29)+1,""))</f>
      </c>
      <c r="AI30" s="214">
        <f>IF($H30="","",IF(COUNTIF($H$6:$H30,$H30)=1,COUNT($AI$5:AI29)+1,""))</f>
        <v>7</v>
      </c>
      <c r="AJ30" s="214">
        <f>IF(OR($B30="",$J30=0),"",$J30*100000000+IF(ISNUMBER($D30),$D30,0)*1000+(170-$A30))</f>
        <v>246247145</v>
      </c>
      <c r="AK30" s="214">
        <f>IF(OR($B30="",$W30&lt;=0),"",ROUND($W30*10,0)*100000+(170-$A30))</f>
        <v>4100145</v>
      </c>
      <c r="AL30" s="214">
        <f>IF(OR($B30="",$P30&lt;=0),"",ROUND($P30*10000,0)*1000+(170-$A30))</f>
        <v>10000145</v>
      </c>
      <c r="AM30" s="214">
        <f>IF(AND($W30&gt;0,$O30&gt;0),COUNT($AM$5:AM29)+1,"")</f>
        <v>13</v>
      </c>
      <c r="AN30">
        <f>IF($B30="",0,IF($G30="",0,SUMPRODUCT(MAX(ISNUMBER(SEARCH(LocPattern,$G30))*LocIdx))))</f>
        <v>22</v>
      </c>
      <c r="BD30">
        <f>IFERROR(INDEX($W$6:$W$125,MATCH(25,$AM$6:$AM$125,0)),"")</f>
      </c>
      <c r="BE30">
        <f>IFERROR(INDEX($O$6:$O$125,MATCH(25,$AM$6:$AM$125,0)),"")</f>
      </c>
      <c r="BF30">
        <f>IFERROR(INDEX($B$6:$B$125,MATCH(25,$AM$6:$AM$125,0)),"")</f>
      </c>
      <c r="BL30" t="str">
        <f>IFERROR(INDEX($B$6:$B$125,MATCH(25,$AF$6:$AF$125,0)),"")</f>
        <v>Gokulakrishnan</v>
      </c>
    </row>
    <row r="31">
      <c r="A31" s="220" t="n">
        <v>26</v>
      </c>
      <c r="B31" s="220" t="str">
        <f>IF(TRIM('Master Data-2026'!D27)="","",TRIM('Master Data-2026'!D27))</f>
        <v>Sakthi Mukesh D</v>
      </c>
      <c r="C31" s="220" t="str">
        <f>IF($B31="","",TRIM('Master Data-2026'!A27))</f>
        <v>Ananthy</v>
      </c>
      <c r="D31" s="221">
        <f>IF($B31="","",IF('Master Data-2026'!B27="","",'Master Data-2026'!B27))</f>
        <v>46247</v>
      </c>
      <c r="E31" s="220" t="str">
        <f>IF($B31="","",TRIM('Master Data-2026'!C27))</f>
        <v>August</v>
      </c>
      <c r="F31" s="220" t="str">
        <f>IF($B31="","",TRIM('Master Data-2026'!G27))</f>
        <v>Full Stack Developer</v>
      </c>
      <c r="G31" s="220" t="str">
        <f>IF($B31="","",TRIM('Master Data-2026'!F27))</f>
        <v>Chennai</v>
      </c>
      <c r="H31" s="220" t="str">
        <f>IF($B31="","",IF($G31="","Not recorded",IF($AN31=0,"Other",INDEX(LocCity,$AN31))))</f>
        <v>Chennai</v>
      </c>
      <c r="I31" s="220" t="str">
        <f>IF($B31="","",TRIM('Master Data-2026'!H27))</f>
        <v>ZN Submission</v>
      </c>
      <c r="J31" s="220">
        <f>IF($B31="",0,IFERROR(INDEX(StageOrderRef,MATCH($I31,StageNameRef,0)),0))</f>
        <v>2</v>
      </c>
      <c r="K31" s="220" t="str">
        <f>IF($B31="","",TRIM('Master Data-2026'!I27))</f>
        <v>Client Review</v>
      </c>
      <c r="L31" s="220" t="str">
        <f>IF($B31="","",TRIM('Master Data-2026'!J27))</f>
        <v>12 LPA</v>
      </c>
      <c r="M31" s="222">
        <f>IF($L31="",0,IF(ISNUMBER(SEARCH("%",$L31)),0,IFERROR(VALUE(LEFT($L31,IF(NOT(OR(AND(MID($L31,1,1)&gt;="0",MID($L31,1,1)&lt;="9"),MID($L31,1,1)=".")),0,IF(NOT(OR(AND(MID($L31,2,1)&gt;="0",MID($L31,2,1)&lt;="9"),MID($L31,2,1)=".")),1,IF(NOT(OR(AND(MID($L31,3,1)&gt;="0",MID($L31,3,1)&lt;="9"),MID($L31,3,1)=".")),2,IF(NOT(OR(AND(MID($L31,4,1)&gt;="0",MID($L31,4,1)&lt;="9"),MID($L31,4,1)=".")),3,IF(NOT(OR(AND(MID($L31,5,1)&gt;="0",MID($L31,5,1)&lt;="9"),MID($L31,5,1)=".")),4,IF(NOT(OR(AND(MID($L31,6,1)&gt;="0",MID($L31,6,1)&lt;="9"),MID($L31,6,1)=".")),5,6)))))))),0)))</f>
        <v>12</v>
      </c>
      <c r="N31" s="220" t="str">
        <f>IF($B31="","",TRIM('Master Data-2026'!K27))</f>
        <v>16 LPA (nego)</v>
      </c>
      <c r="O31" s="222">
        <f>IF($N31="",0,IF(ISNUMBER(SEARCH("%",$N31)),0,IFERROR(VALUE(LEFT($N31,IF(NOT(OR(AND(MID($N31,1,1)&gt;="0",MID($N31,1,1)&lt;="9"),MID($N31,1,1)=".")),0,IF(NOT(OR(AND(MID($N31,2,1)&gt;="0",MID($N31,2,1)&lt;="9"),MID($N31,2,1)=".")),1,IF(NOT(OR(AND(MID($N31,3,1)&gt;="0",MID($N31,3,1)&lt;="9"),MID($N31,3,1)=".")),2,IF(NOT(OR(AND(MID($N31,4,1)&gt;="0",MID($N31,4,1)&lt;="9"),MID($N31,4,1)=".")),3,IF(NOT(OR(AND(MID($N31,5,1)&gt;="0",MID($N31,5,1)&lt;="9"),MID($N31,5,1)=".")),4,IF(NOT(OR(AND(MID($N31,6,1)&gt;="0",MID($N31,6,1)&lt;="9"),MID($N31,6,1)=".")),5,6)))))))),0)))</f>
        <v>16</v>
      </c>
      <c r="P31" s="223">
        <f>IF(AND($M31&gt;0,$O31&gt;0),$O31/$M31-1,0)</f>
        <v>0.33333333333333326</v>
      </c>
      <c r="Q31" s="220" t="str">
        <f>IF($B31="","",TRIM('Master Data-2026'!L27))</f>
        <v>LWD - 21st Aug</v>
      </c>
      <c r="R31" s="220">
        <f>IF($Q31="",0,IF(ISNUMBER(SEARCH("%",$Q31)),0,IFERROR(VALUE(LEFT($Q31,IF(NOT(OR(AND(MID($Q31,1,1)&gt;="0",MID($Q31,1,1)&lt;="9"),MID($Q31,1,1)=".")),0,IF(NOT(OR(AND(MID($Q31,2,1)&gt;="0",MID($Q31,2,1)&lt;="9"),MID($Q31,2,1)=".")),1,IF(NOT(OR(AND(MID($Q31,3,1)&gt;="0",MID($Q31,3,1)&lt;="9"),MID($Q31,3,1)=".")),2,IF(NOT(OR(AND(MID($Q31,4,1)&gt;="0",MID($Q31,4,1)&lt;="9"),MID($Q31,4,1)=".")),3,IF(NOT(OR(AND(MID($Q31,5,1)&gt;="0",MID($Q31,5,1)&lt;="9"),MID($Q31,5,1)=".")),4,IF(NOT(OR(AND(MID($Q31,6,1)&gt;="0",MID($Q31,6,1)&lt;="9"),MID($Q31,6,1)=".")),5,6)))))))),0)))</f>
        <v>0</v>
      </c>
      <c r="S31" s="224">
        <f>IF($Q31="",-1,IF(ISNUMBER(SEARCH("immediate",$Q31)),0,IF(ISNUMBER(SEARCH("month",$Q31)),IF($R31=0,-1,$R31*30),IF(ISNUMBER(SEARCH("day",$Q31)),IF($R31=0,-1,$R31),-1))))</f>
        <v>-1</v>
      </c>
      <c r="T31" s="220" t="str">
        <f>IF($B31="","",IF($S31&lt;0,"Not recorded",IF($S31=0,"Immediate",IF($S31&lt;=30,"1-30 days",IF($S31&lt;=60,"31-60 days","60+ days")))))</f>
        <v>Not recorded</v>
      </c>
      <c r="U31" s="220">
        <f>IF($B31="","",IFERROR(MATCH($B31,'Submission template'!$D$17:$D$300,0),""))</f>
        <v>2</v>
      </c>
      <c r="V31" s="220" t="str">
        <f>IF($U31="","",IFERROR(TRIM(INDEX('Submission template'!$I$17:$I$300,$U31)),""))</f>
        <v>3 yrs</v>
      </c>
      <c r="W31" s="225">
        <f>IF($V31="",0,IF(ISNUMBER(SEARCH("%",$V31)),0,IFERROR(VALUE(LEFT($V31,IF(NOT(OR(AND(MID($V31,1,1)&gt;="0",MID($V31,1,1)&lt;="9"),MID($V31,1,1)=".")),0,IF(NOT(OR(AND(MID($V31,2,1)&gt;="0",MID($V31,2,1)&lt;="9"),MID($V31,2,1)=".")),1,IF(NOT(OR(AND(MID($V31,3,1)&gt;="0",MID($V31,3,1)&lt;="9"),MID($V31,3,1)=".")),2,IF(NOT(OR(AND(MID($V31,4,1)&gt;="0",MID($V31,4,1)&lt;="9"),MID($V31,4,1)=".")),3,IF(NOT(OR(AND(MID($V31,5,1)&gt;="0",MID($V31,5,1)&lt;="9"),MID($V31,5,1)=".")),4,IF(NOT(OR(AND(MID($V31,6,1)&gt;="0",MID($V31,6,1)&lt;="9"),MID($V31,6,1)=".")),5,6)))))))),0)))</f>
        <v>3</v>
      </c>
      <c r="X31" s="220" t="str">
        <f>IF($U31="","",IFERROR(TRIM(INDEX('Submission template'!$J$17:$J$300,$U31)),""))</f>
        <v>React 3y + node 3 y</v>
      </c>
      <c r="Y31" s="220" t="str">
        <f>IF($U31="","",IFERROR(TRIM(INDEX('Submission template'!$K$17:$K$300,$U31)),""))</f>
        <v>Avasoft</v>
      </c>
      <c r="Z31" s="220" t="str">
        <f>IF($U31="","",IFERROR(TRIM(INDEX('Submission template'!$M$17:$M$300,$U31)),""))</f>
        <v>Software Engineer - Fullstack</v>
      </c>
      <c r="AA31" s="220" t="str">
        <f>IF($U31="","",IFERROR(TRIM(INDEX('Submission template'!$O$17:$O$300,$U31)),""))</f>
        <v>Chennai</v>
      </c>
      <c r="AB31" s="220" t="str">
        <f>IF($U31="","",IFERROR(TRIM(INDEX('Submission template'!$S$17:$S$300,$U31)),""))</f>
        <v>Career Growth</v>
      </c>
      <c r="AC31" s="220">
        <f>IF($B31="",0,IF($U31="",0,1))</f>
        <v>1</v>
      </c>
      <c r="AD31" s="220">
        <f>IF($B31="",0,IF(OR($H31=TargetLocation,AND($AA31&lt;&gt;"",ISNUMBER(SEARCH(TargetLocation,$AA31)))),1,0))</f>
        <v>1</v>
      </c>
      <c r="AE31" s="220">
        <f>IF($B31="",0,IF(AND(OR(SelRecruiter="All",$C31=SelRecruiter),OR(SelCity="All",$H31=SelCity),OR(SelStage="All",$I31=SelStage),OR(SelRequisition="All",$F31=SelRequisition)),1,0))</f>
        <v>1</v>
      </c>
      <c r="AF31" s="220">
        <f>IF($B31="","",COUNT($AF$5:AF30)+1)</f>
        <v>26</v>
      </c>
      <c r="AG31" s="220">
        <f>IF($C31="","",IF(COUNTIF($C$6:$C31,$C31)=1,COUNT($AG$5:AG30)+1,""))</f>
      </c>
      <c r="AH31" s="220">
        <f>IF($F31="","",IF(COUNTIF($F$6:$F31,$F31)=1,COUNT($AH$5:AH30)+1,""))</f>
      </c>
      <c r="AI31" s="220">
        <f>IF($H31="","",IF(COUNTIF($H$6:$H31,$H31)=1,COUNT($AI$5:AI30)+1,""))</f>
      </c>
      <c r="AJ31" s="220">
        <f>IF(OR($B31="",$J31=0),"",$J31*100000000+IF(ISNUMBER($D31),$D31,0)*1000+(170-$A31))</f>
        <v>246247144</v>
      </c>
      <c r="AK31" s="220">
        <f>IF(OR($B31="",$W31&lt;=0),"",ROUND($W31*10,0)*100000+(170-$A31))</f>
        <v>3000144</v>
      </c>
      <c r="AL31" s="220">
        <f>IF(OR($B31="",$P31&lt;=0),"",ROUND($P31*10000,0)*1000+(170-$A31))</f>
        <v>3333144</v>
      </c>
      <c r="AM31" s="220">
        <f>IF(AND($W31&gt;0,$O31&gt;0),COUNT($AM$5:AM30)+1,"")</f>
        <v>14</v>
      </c>
      <c r="AN31">
        <f>IF($B31="",0,IF($G31="",0,SUMPRODUCT(MAX(ISNUMBER(SEARCH(LocPattern,$G31))*LocIdx))))</f>
        <v>16</v>
      </c>
      <c r="BD31">
        <f>IFERROR(INDEX($W$6:$W$125,MATCH(26,$AM$6:$AM$125,0)),"")</f>
      </c>
      <c r="BE31">
        <f>IFERROR(INDEX($O$6:$O$125,MATCH(26,$AM$6:$AM$125,0)),"")</f>
      </c>
      <c r="BF31">
        <f>IFERROR(INDEX($B$6:$B$125,MATCH(26,$AM$6:$AM$125,0)),"")</f>
      </c>
      <c r="BL31" t="str">
        <f>IFERROR(INDEX($B$6:$B$125,MATCH(26,$AF$6:$AF$125,0)),"")</f>
        <v>Sakthi Mukesh D</v>
      </c>
    </row>
    <row r="32">
      <c r="A32" s="214" t="n">
        <v>27</v>
      </c>
      <c r="B32" s="214" t="str">
        <f>IF(TRIM('Master Data-2026'!D28)="","",TRIM('Master Data-2026'!D28))</f>
        <v>Kathiravan</v>
      </c>
      <c r="C32" s="214" t="str">
        <f>IF($B32="","",TRIM('Master Data-2026'!A28))</f>
        <v>Sarath</v>
      </c>
      <c r="D32" s="215">
        <f>IF($B32="","",IF('Master Data-2026'!B28="","",'Master Data-2026'!B28))</f>
        <v>46247</v>
      </c>
      <c r="E32" s="214" t="str">
        <f>IF($B32="","",TRIM('Master Data-2026'!C28))</f>
        <v>August</v>
      </c>
      <c r="F32" s="214" t="str">
        <f>IF($B32="","",TRIM('Master Data-2026'!G28))</f>
        <v>Full Stack Developer</v>
      </c>
      <c r="G32" s="214" t="str">
        <f>IF($B32="","",TRIM('Master Data-2026'!F28))</f>
        <v>Chennai</v>
      </c>
      <c r="H32" s="214" t="str">
        <f>IF($B32="","",IF($G32="","Not recorded",IF($AN32=0,"Other",INDEX(LocCity,$AN32))))</f>
        <v>Chennai</v>
      </c>
      <c r="I32" s="214" t="str">
        <f>IF($B32="","",TRIM('Master Data-2026'!H28))</f>
        <v>ZN Submission</v>
      </c>
      <c r="J32" s="214">
        <f>IF($B32="",0,IFERROR(INDEX(StageOrderRef,MATCH($I32,StageNameRef,0)),0))</f>
        <v>2</v>
      </c>
      <c r="K32" s="214" t="str">
        <f>IF($B32="","",TRIM('Master Data-2026'!I28))</f>
        <v>Client Review</v>
      </c>
      <c r="L32" s="214">
        <f>IF($B32="","",TRIM('Master Data-2026'!J28))</f>
      </c>
      <c r="M32" s="216">
        <f>IF($L32="",0,IF(ISNUMBER(SEARCH("%",$L32)),0,IFERROR(VALUE(LEFT($L32,IF(NOT(OR(AND(MID($L32,1,1)&gt;="0",MID($L32,1,1)&lt;="9"),MID($L32,1,1)=".")),0,IF(NOT(OR(AND(MID($L32,2,1)&gt;="0",MID($L32,2,1)&lt;="9"),MID($L32,2,1)=".")),1,IF(NOT(OR(AND(MID($L32,3,1)&gt;="0",MID($L32,3,1)&lt;="9"),MID($L32,3,1)=".")),2,IF(NOT(OR(AND(MID($L32,4,1)&gt;="0",MID($L32,4,1)&lt;="9"),MID($L32,4,1)=".")),3,IF(NOT(OR(AND(MID($L32,5,1)&gt;="0",MID($L32,5,1)&lt;="9"),MID($L32,5,1)=".")),4,IF(NOT(OR(AND(MID($L32,6,1)&gt;="0",MID($L32,6,1)&lt;="9"),MID($L32,6,1)=".")),5,6)))))))),0)))</f>
        <v>0</v>
      </c>
      <c r="N32" s="214">
        <f>IF($B32="","",TRIM('Master Data-2026'!K28))</f>
      </c>
      <c r="O32" s="216">
        <f>IF($N32="",0,IF(ISNUMBER(SEARCH("%",$N32)),0,IFERROR(VALUE(LEFT($N32,IF(NOT(OR(AND(MID($N32,1,1)&gt;="0",MID($N32,1,1)&lt;="9"),MID($N32,1,1)=".")),0,IF(NOT(OR(AND(MID($N32,2,1)&gt;="0",MID($N32,2,1)&lt;="9"),MID($N32,2,1)=".")),1,IF(NOT(OR(AND(MID($N32,3,1)&gt;="0",MID($N32,3,1)&lt;="9"),MID($N32,3,1)=".")),2,IF(NOT(OR(AND(MID($N32,4,1)&gt;="0",MID($N32,4,1)&lt;="9"),MID($N32,4,1)=".")),3,IF(NOT(OR(AND(MID($N32,5,1)&gt;="0",MID($N32,5,1)&lt;="9"),MID($N32,5,1)=".")),4,IF(NOT(OR(AND(MID($N32,6,1)&gt;="0",MID($N32,6,1)&lt;="9"),MID($N32,6,1)=".")),5,6)))))))),0)))</f>
        <v>0</v>
      </c>
      <c r="P32" s="217">
        <f>IF(AND($M32&gt;0,$O32&gt;0),$O32/$M32-1,0)</f>
        <v>0</v>
      </c>
      <c r="Q32" s="214">
        <f>IF($B32="","",TRIM('Master Data-2026'!L28))</f>
      </c>
      <c r="R32" s="214">
        <f>IF($Q32="",0,IF(ISNUMBER(SEARCH("%",$Q32)),0,IFERROR(VALUE(LEFT($Q32,IF(NOT(OR(AND(MID($Q32,1,1)&gt;="0",MID($Q32,1,1)&lt;="9"),MID($Q32,1,1)=".")),0,IF(NOT(OR(AND(MID($Q32,2,1)&gt;="0",MID($Q32,2,1)&lt;="9"),MID($Q32,2,1)=".")),1,IF(NOT(OR(AND(MID($Q32,3,1)&gt;="0",MID($Q32,3,1)&lt;="9"),MID($Q32,3,1)=".")),2,IF(NOT(OR(AND(MID($Q32,4,1)&gt;="0",MID($Q32,4,1)&lt;="9"),MID($Q32,4,1)=".")),3,IF(NOT(OR(AND(MID($Q32,5,1)&gt;="0",MID($Q32,5,1)&lt;="9"),MID($Q32,5,1)=".")),4,IF(NOT(OR(AND(MID($Q32,6,1)&gt;="0",MID($Q32,6,1)&lt;="9"),MID($Q32,6,1)=".")),5,6)))))))),0)))</f>
        <v>0</v>
      </c>
      <c r="S32" s="218">
        <f>IF($Q32="",-1,IF(ISNUMBER(SEARCH("immediate",$Q32)),0,IF(ISNUMBER(SEARCH("month",$Q32)),IF($R32=0,-1,$R32*30),IF(ISNUMBER(SEARCH("day",$Q32)),IF($R32=0,-1,$R32),-1))))</f>
        <v>-1</v>
      </c>
      <c r="T32" s="214" t="str">
        <f>IF($B32="","",IF($S32&lt;0,"Not recorded",IF($S32=0,"Immediate",IF($S32&lt;=30,"1-30 days",IF($S32&lt;=60,"31-60 days","60+ days")))))</f>
        <v>Not recorded</v>
      </c>
      <c r="U32" s="214">
        <f>IF($B32="","",IFERROR(MATCH($B32,'Submission template'!$D$17:$D$300,0),""))</f>
        <v>11</v>
      </c>
      <c r="V32" s="214" t="str">
        <f>IF($U32="","",IFERROR(TRIM(INDEX('Submission template'!$I$17:$I$300,$U32)),""))</f>
        <v>3.5 Years</v>
      </c>
      <c r="W32" s="219">
        <f>IF($V32="",0,IF(ISNUMBER(SEARCH("%",$V32)),0,IFERROR(VALUE(LEFT($V32,IF(NOT(OR(AND(MID($V32,1,1)&gt;="0",MID($V32,1,1)&lt;="9"),MID($V32,1,1)=".")),0,IF(NOT(OR(AND(MID($V32,2,1)&gt;="0",MID($V32,2,1)&lt;="9"),MID($V32,2,1)=".")),1,IF(NOT(OR(AND(MID($V32,3,1)&gt;="0",MID($V32,3,1)&lt;="9"),MID($V32,3,1)=".")),2,IF(NOT(OR(AND(MID($V32,4,1)&gt;="0",MID($V32,4,1)&lt;="9"),MID($V32,4,1)=".")),3,IF(NOT(OR(AND(MID($V32,5,1)&gt;="0",MID($V32,5,1)&lt;="9"),MID($V32,5,1)=".")),4,IF(NOT(OR(AND(MID($V32,6,1)&gt;="0",MID($V32,6,1)&lt;="9"),MID($V32,6,1)=".")),5,6)))))))),0)))</f>
        <v>3.5</v>
      </c>
      <c r="X32" s="214" t="str">
        <f>IF($U32="","",IFERROR(TRIM(INDEX('Submission template'!$J$17:$J$300,$U32)),""))</f>
        <v>React 3Y+ Node 2Y</v>
      </c>
      <c r="Y32" s="214" t="str">
        <f>IF($U32="","",IFERROR(TRIM(INDEX('Submission template'!$K$17:$K$300,$U32)),""))</f>
        <v>Dextris Infoservice</v>
      </c>
      <c r="Z32" s="214" t="str">
        <f>IF($U32="","",IFERROR(TRIM(INDEX('Submission template'!$M$17:$M$300,$U32)),""))</f>
        <v>Software Developer</v>
      </c>
      <c r="AA32" s="214" t="str">
        <f>IF($U32="","",IFERROR(TRIM(INDEX('Submission template'!$O$17:$O$300,$U32)),""))</f>
        <v>Chennai</v>
      </c>
      <c r="AB32" s="214" t="str">
        <f>IF($U32="","",IFERROR(TRIM(INDEX('Submission template'!$S$17:$S$300,$U32)),""))</f>
        <v>Current Project Ended</v>
      </c>
      <c r="AC32" s="214">
        <f>IF($B32="",0,IF($U32="",0,1))</f>
        <v>1</v>
      </c>
      <c r="AD32" s="214">
        <f>IF($B32="",0,IF(OR($H32=TargetLocation,AND($AA32&lt;&gt;"",ISNUMBER(SEARCH(TargetLocation,$AA32)))),1,0))</f>
        <v>1</v>
      </c>
      <c r="AE32" s="214">
        <f>IF($B32="",0,IF(AND(OR(SelRecruiter="All",$C32=SelRecruiter),OR(SelCity="All",$H32=SelCity),OR(SelStage="All",$I32=SelStage),OR(SelRequisition="All",$F32=SelRequisition)),1,0))</f>
        <v>1</v>
      </c>
      <c r="AF32" s="214">
        <f>IF($B32="","",COUNT($AF$5:AF31)+1)</f>
        <v>27</v>
      </c>
      <c r="AG32" s="214">
        <f>IF($C32="","",IF(COUNTIF($C$6:$C32,$C32)=1,COUNT($AG$5:AG31)+1,""))</f>
      </c>
      <c r="AH32" s="214">
        <f>IF($F32="","",IF(COUNTIF($F$6:$F32,$F32)=1,COUNT($AH$5:AH31)+1,""))</f>
      </c>
      <c r="AI32" s="214">
        <f>IF($H32="","",IF(COUNTIF($H$6:$H32,$H32)=1,COUNT($AI$5:AI31)+1,""))</f>
      </c>
      <c r="AJ32" s="214">
        <f>IF(OR($B32="",$J32=0),"",$J32*100000000+IF(ISNUMBER($D32),$D32,0)*1000+(170-$A32))</f>
        <v>246247143</v>
      </c>
      <c r="AK32" s="214">
        <f>IF(OR($B32="",$W32&lt;=0),"",ROUND($W32*10,0)*100000+(170-$A32))</f>
        <v>3500143</v>
      </c>
      <c r="AL32" s="214">
        <f>IF(OR($B32="",$P32&lt;=0),"",ROUND($P32*10000,0)*1000+(170-$A32))</f>
      </c>
      <c r="AM32" s="214">
        <f>IF(AND($W32&gt;0,$O32&gt;0),COUNT($AM$5:AM31)+1,"")</f>
      </c>
      <c r="AN32">
        <f>IF($B32="",0,IF($G32="",0,SUMPRODUCT(MAX(ISNUMBER(SEARCH(LocPattern,$G32))*LocIdx))))</f>
        <v>16</v>
      </c>
      <c r="BD32">
        <f>IFERROR(INDEX($W$6:$W$125,MATCH(27,$AM$6:$AM$125,0)),"")</f>
      </c>
      <c r="BE32">
        <f>IFERROR(INDEX($O$6:$O$125,MATCH(27,$AM$6:$AM$125,0)),"")</f>
      </c>
      <c r="BF32">
        <f>IFERROR(INDEX($B$6:$B$125,MATCH(27,$AM$6:$AM$125,0)),"")</f>
      </c>
      <c r="BL32" t="str">
        <f>IFERROR(INDEX($B$6:$B$125,MATCH(27,$AF$6:$AF$125,0)),"")</f>
        <v>Kathiravan</v>
      </c>
    </row>
    <row r="33">
      <c r="A33" s="220" t="n">
        <v>28</v>
      </c>
      <c r="B33" s="220" t="str">
        <f>IF(TRIM('Master Data-2026'!D29)="","",TRIM('Master Data-2026'!D29))</f>
        <v>Anilbabu B</v>
      </c>
      <c r="C33" s="220" t="str">
        <f>IF($B33="","",TRIM('Master Data-2026'!A29))</f>
        <v>Ananthy</v>
      </c>
      <c r="D33" s="221">
        <f>IF($B33="","",IF('Master Data-2026'!B29="","",'Master Data-2026'!B29))</f>
        <v>46247</v>
      </c>
      <c r="E33" s="220" t="str">
        <f>IF($B33="","",TRIM('Master Data-2026'!C29))</f>
        <v>August</v>
      </c>
      <c r="F33" s="220" t="str">
        <f>IF($B33="","",TRIM('Master Data-2026'!G29))</f>
        <v>Full Stack Developer</v>
      </c>
      <c r="G33" s="220" t="str">
        <f>IF($B33="","",TRIM('Master Data-2026'!F29))</f>
        <v>Chennai</v>
      </c>
      <c r="H33" s="220" t="str">
        <f>IF($B33="","",IF($G33="","Not recorded",IF($AN33=0,"Other",INDEX(LocCity,$AN33))))</f>
        <v>Chennai</v>
      </c>
      <c r="I33" s="220" t="str">
        <f>IF($B33="","",TRIM('Master Data-2026'!H29))</f>
        <v>Telephonic Screening</v>
      </c>
      <c r="J33" s="220">
        <f>IF($B33="",0,IFERROR(INDEX(StageOrderRef,MATCH($I33,StageNameRef,0)),0))</f>
        <v>1</v>
      </c>
      <c r="K33" s="220" t="str">
        <f>IF($B33="","",TRIM('Master Data-2026'!I29))</f>
        <v>Less react experience</v>
      </c>
      <c r="L33" s="220">
        <f>IF($B33="","",TRIM('Master Data-2026'!J29))</f>
      </c>
      <c r="M33" s="222">
        <f>IF($L33="",0,IF(ISNUMBER(SEARCH("%",$L33)),0,IFERROR(VALUE(LEFT($L33,IF(NOT(OR(AND(MID($L33,1,1)&gt;="0",MID($L33,1,1)&lt;="9"),MID($L33,1,1)=".")),0,IF(NOT(OR(AND(MID($L33,2,1)&gt;="0",MID($L33,2,1)&lt;="9"),MID($L33,2,1)=".")),1,IF(NOT(OR(AND(MID($L33,3,1)&gt;="0",MID($L33,3,1)&lt;="9"),MID($L33,3,1)=".")),2,IF(NOT(OR(AND(MID($L33,4,1)&gt;="0",MID($L33,4,1)&lt;="9"),MID($L33,4,1)=".")),3,IF(NOT(OR(AND(MID($L33,5,1)&gt;="0",MID($L33,5,1)&lt;="9"),MID($L33,5,1)=".")),4,IF(NOT(OR(AND(MID($L33,6,1)&gt;="0",MID($L33,6,1)&lt;="9"),MID($L33,6,1)=".")),5,6)))))))),0)))</f>
        <v>0</v>
      </c>
      <c r="N33" s="220">
        <f>IF($B33="","",TRIM('Master Data-2026'!K29))</f>
      </c>
      <c r="O33" s="222">
        <f>IF($N33="",0,IF(ISNUMBER(SEARCH("%",$N33)),0,IFERROR(VALUE(LEFT($N33,IF(NOT(OR(AND(MID($N33,1,1)&gt;="0",MID($N33,1,1)&lt;="9"),MID($N33,1,1)=".")),0,IF(NOT(OR(AND(MID($N33,2,1)&gt;="0",MID($N33,2,1)&lt;="9"),MID($N33,2,1)=".")),1,IF(NOT(OR(AND(MID($N33,3,1)&gt;="0",MID($N33,3,1)&lt;="9"),MID($N33,3,1)=".")),2,IF(NOT(OR(AND(MID($N33,4,1)&gt;="0",MID($N33,4,1)&lt;="9"),MID($N33,4,1)=".")),3,IF(NOT(OR(AND(MID($N33,5,1)&gt;="0",MID($N33,5,1)&lt;="9"),MID($N33,5,1)=".")),4,IF(NOT(OR(AND(MID($N33,6,1)&gt;="0",MID($N33,6,1)&lt;="9"),MID($N33,6,1)=".")),5,6)))))))),0)))</f>
        <v>0</v>
      </c>
      <c r="P33" s="223">
        <f>IF(AND($M33&gt;0,$O33&gt;0),$O33/$M33-1,0)</f>
        <v>0</v>
      </c>
      <c r="Q33" s="220">
        <f>IF($B33="","",TRIM('Master Data-2026'!L29))</f>
      </c>
      <c r="R33" s="220">
        <f>IF($Q33="",0,IF(ISNUMBER(SEARCH("%",$Q33)),0,IFERROR(VALUE(LEFT($Q33,IF(NOT(OR(AND(MID($Q33,1,1)&gt;="0",MID($Q33,1,1)&lt;="9"),MID($Q33,1,1)=".")),0,IF(NOT(OR(AND(MID($Q33,2,1)&gt;="0",MID($Q33,2,1)&lt;="9"),MID($Q33,2,1)=".")),1,IF(NOT(OR(AND(MID($Q33,3,1)&gt;="0",MID($Q33,3,1)&lt;="9"),MID($Q33,3,1)=".")),2,IF(NOT(OR(AND(MID($Q33,4,1)&gt;="0",MID($Q33,4,1)&lt;="9"),MID($Q33,4,1)=".")),3,IF(NOT(OR(AND(MID($Q33,5,1)&gt;="0",MID($Q33,5,1)&lt;="9"),MID($Q33,5,1)=".")),4,IF(NOT(OR(AND(MID($Q33,6,1)&gt;="0",MID($Q33,6,1)&lt;="9"),MID($Q33,6,1)=".")),5,6)))))))),0)))</f>
        <v>0</v>
      </c>
      <c r="S33" s="224">
        <f>IF($Q33="",-1,IF(ISNUMBER(SEARCH("immediate",$Q33)),0,IF(ISNUMBER(SEARCH("month",$Q33)),IF($R33=0,-1,$R33*30),IF(ISNUMBER(SEARCH("day",$Q33)),IF($R33=0,-1,$R33),-1))))</f>
        <v>-1</v>
      </c>
      <c r="T33" s="220" t="str">
        <f>IF($B33="","",IF($S33&lt;0,"Not recorded",IF($S33=0,"Immediate",IF($S33&lt;=30,"1-30 days",IF($S33&lt;=60,"31-60 days","60+ days")))))</f>
        <v>Not recorded</v>
      </c>
      <c r="U33" s="220">
        <f>IF($B33="","",IFERROR(MATCH($B33,'Submission template'!$D$17:$D$300,0),""))</f>
      </c>
      <c r="V33" s="220">
        <f>IF($U33="","",IFERROR(TRIM(INDEX('Submission template'!$I$17:$I$300,$U33)),""))</f>
      </c>
      <c r="W33" s="225">
        <f>IF($V33="",0,IF(ISNUMBER(SEARCH("%",$V33)),0,IFERROR(VALUE(LEFT($V33,IF(NOT(OR(AND(MID($V33,1,1)&gt;="0",MID($V33,1,1)&lt;="9"),MID($V33,1,1)=".")),0,IF(NOT(OR(AND(MID($V33,2,1)&gt;="0",MID($V33,2,1)&lt;="9"),MID($V33,2,1)=".")),1,IF(NOT(OR(AND(MID($V33,3,1)&gt;="0",MID($V33,3,1)&lt;="9"),MID($V33,3,1)=".")),2,IF(NOT(OR(AND(MID($V33,4,1)&gt;="0",MID($V33,4,1)&lt;="9"),MID($V33,4,1)=".")),3,IF(NOT(OR(AND(MID($V33,5,1)&gt;="0",MID($V33,5,1)&lt;="9"),MID($V33,5,1)=".")),4,IF(NOT(OR(AND(MID($V33,6,1)&gt;="0",MID($V33,6,1)&lt;="9"),MID($V33,6,1)=".")),5,6)))))))),0)))</f>
        <v>0</v>
      </c>
      <c r="X33" s="220">
        <f>IF($U33="","",IFERROR(TRIM(INDEX('Submission template'!$J$17:$J$300,$U33)),""))</f>
      </c>
      <c r="Y33" s="220">
        <f>IF($U33="","",IFERROR(TRIM(INDEX('Submission template'!$K$17:$K$300,$U33)),""))</f>
      </c>
      <c r="Z33" s="220">
        <f>IF($U33="","",IFERROR(TRIM(INDEX('Submission template'!$M$17:$M$300,$U33)),""))</f>
      </c>
      <c r="AA33" s="220">
        <f>IF($U33="","",IFERROR(TRIM(INDEX('Submission template'!$O$17:$O$300,$U33)),""))</f>
      </c>
      <c r="AB33" s="220">
        <f>IF($U33="","",IFERROR(TRIM(INDEX('Submission template'!$S$17:$S$300,$U33)),""))</f>
      </c>
      <c r="AC33" s="220">
        <f>IF($B33="",0,IF($U33="",0,1))</f>
        <v>0</v>
      </c>
      <c r="AD33" s="220">
        <f>IF($B33="",0,IF(OR($H33=TargetLocation,AND($AA33&lt;&gt;"",ISNUMBER(SEARCH(TargetLocation,$AA33)))),1,0))</f>
        <v>1</v>
      </c>
      <c r="AE33" s="220">
        <f>IF($B33="",0,IF(AND(OR(SelRecruiter="All",$C33=SelRecruiter),OR(SelCity="All",$H33=SelCity),OR(SelStage="All",$I33=SelStage),OR(SelRequisition="All",$F33=SelRequisition)),1,0))</f>
        <v>1</v>
      </c>
      <c r="AF33" s="220">
        <f>IF($B33="","",COUNT($AF$5:AF32)+1)</f>
        <v>28</v>
      </c>
      <c r="AG33" s="220">
        <f>IF($C33="","",IF(COUNTIF($C$6:$C33,$C33)=1,COUNT($AG$5:AG32)+1,""))</f>
      </c>
      <c r="AH33" s="220">
        <f>IF($F33="","",IF(COUNTIF($F$6:$F33,$F33)=1,COUNT($AH$5:AH32)+1,""))</f>
      </c>
      <c r="AI33" s="220">
        <f>IF($H33="","",IF(COUNTIF($H$6:$H33,$H33)=1,COUNT($AI$5:AI32)+1,""))</f>
      </c>
      <c r="AJ33" s="220">
        <f>IF(OR($B33="",$J33=0),"",$J33*100000000+IF(ISNUMBER($D33),$D33,0)*1000+(170-$A33))</f>
        <v>146247142</v>
      </c>
      <c r="AK33" s="220">
        <f>IF(OR($B33="",$W33&lt;=0),"",ROUND($W33*10,0)*100000+(170-$A33))</f>
      </c>
      <c r="AL33" s="220">
        <f>IF(OR($B33="",$P33&lt;=0),"",ROUND($P33*10000,0)*1000+(170-$A33))</f>
      </c>
      <c r="AM33" s="220">
        <f>IF(AND($W33&gt;0,$O33&gt;0),COUNT($AM$5:AM32)+1,"")</f>
      </c>
      <c r="AN33">
        <f>IF($B33="",0,IF($G33="",0,SUMPRODUCT(MAX(ISNUMBER(SEARCH(LocPattern,$G33))*LocIdx))))</f>
        <v>16</v>
      </c>
      <c r="BD33">
        <f>IFERROR(INDEX($W$6:$W$125,MATCH(28,$AM$6:$AM$125,0)),"")</f>
      </c>
      <c r="BE33">
        <f>IFERROR(INDEX($O$6:$O$125,MATCH(28,$AM$6:$AM$125,0)),"")</f>
      </c>
      <c r="BF33">
        <f>IFERROR(INDEX($B$6:$B$125,MATCH(28,$AM$6:$AM$125,0)),"")</f>
      </c>
      <c r="BL33" t="str">
        <f>IFERROR(INDEX($B$6:$B$125,MATCH(28,$AF$6:$AF$125,0)),"")</f>
        <v>Anilbabu B</v>
      </c>
    </row>
    <row r="34">
      <c r="A34" s="214" t="n">
        <v>29</v>
      </c>
      <c r="B34" s="214" t="str">
        <f>IF(TRIM('Master Data-2026'!D30)="","",TRIM('Master Data-2026'!D30))</f>
        <v>Duraipandi R</v>
      </c>
      <c r="C34" s="214" t="str">
        <f>IF($B34="","",TRIM('Master Data-2026'!A30))</f>
        <v>Ananthy</v>
      </c>
      <c r="D34" s="215">
        <f>IF($B34="","",IF('Master Data-2026'!B30="","",'Master Data-2026'!B30))</f>
        <v>46247</v>
      </c>
      <c r="E34" s="214" t="str">
        <f>IF($B34="","",TRIM('Master Data-2026'!C30))</f>
        <v>August</v>
      </c>
      <c r="F34" s="214" t="str">
        <f>IF($B34="","",TRIM('Master Data-2026'!G30))</f>
        <v>Full Stack Developer</v>
      </c>
      <c r="G34" s="214" t="str">
        <f>IF($B34="","",TRIM('Master Data-2026'!F30))</f>
        <v>Chennai</v>
      </c>
      <c r="H34" s="214" t="str">
        <f>IF($B34="","",IF($G34="","Not recorded",IF($AN34=0,"Other",INDEX(LocCity,$AN34))))</f>
        <v>Chennai</v>
      </c>
      <c r="I34" s="214" t="str">
        <f>IF($B34="","",TRIM('Master Data-2026'!H30))</f>
        <v>ZN Interview</v>
      </c>
      <c r="J34" s="214">
        <f>IF($B34="",0,IFERROR(INDEX(StageOrderRef,MATCH($I34,StageNameRef,0)),0))</f>
        <v>3</v>
      </c>
      <c r="K34" s="214" t="str">
        <f>IF($B34="","",TRIM('Master Data-2026'!I30))</f>
        <v>L1 - 2nd Oct - 11am</v>
      </c>
      <c r="L34" s="214" t="str">
        <f>IF($B34="","",TRIM('Master Data-2026'!J30))</f>
        <v>8 LPA</v>
      </c>
      <c r="M34" s="216">
        <f>IF($L34="",0,IF(ISNUMBER(SEARCH("%",$L34)),0,IFERROR(VALUE(LEFT($L34,IF(NOT(OR(AND(MID($L34,1,1)&gt;="0",MID($L34,1,1)&lt;="9"),MID($L34,1,1)=".")),0,IF(NOT(OR(AND(MID($L34,2,1)&gt;="0",MID($L34,2,1)&lt;="9"),MID($L34,2,1)=".")),1,IF(NOT(OR(AND(MID($L34,3,1)&gt;="0",MID($L34,3,1)&lt;="9"),MID($L34,3,1)=".")),2,IF(NOT(OR(AND(MID($L34,4,1)&gt;="0",MID($L34,4,1)&lt;="9"),MID($L34,4,1)=".")),3,IF(NOT(OR(AND(MID($L34,5,1)&gt;="0",MID($L34,5,1)&lt;="9"),MID($L34,5,1)=".")),4,IF(NOT(OR(AND(MID($L34,6,1)&gt;="0",MID($L34,6,1)&lt;="9"),MID($L34,6,1)=".")),5,6)))))))),0)))</f>
        <v>8</v>
      </c>
      <c r="N34" s="214" t="str">
        <f>IF($B34="","",TRIM('Master Data-2026'!K30))</f>
        <v>15 LPA (nego)</v>
      </c>
      <c r="O34" s="216">
        <f>IF($N34="",0,IF(ISNUMBER(SEARCH("%",$N34)),0,IFERROR(VALUE(LEFT($N34,IF(NOT(OR(AND(MID($N34,1,1)&gt;="0",MID($N34,1,1)&lt;="9"),MID($N34,1,1)=".")),0,IF(NOT(OR(AND(MID($N34,2,1)&gt;="0",MID($N34,2,1)&lt;="9"),MID($N34,2,1)=".")),1,IF(NOT(OR(AND(MID($N34,3,1)&gt;="0",MID($N34,3,1)&lt;="9"),MID($N34,3,1)=".")),2,IF(NOT(OR(AND(MID($N34,4,1)&gt;="0",MID($N34,4,1)&lt;="9"),MID($N34,4,1)=".")),3,IF(NOT(OR(AND(MID($N34,5,1)&gt;="0",MID($N34,5,1)&lt;="9"),MID($N34,5,1)=".")),4,IF(NOT(OR(AND(MID($N34,6,1)&gt;="0",MID($N34,6,1)&lt;="9"),MID($N34,6,1)=".")),5,6)))))))),0)))</f>
        <v>15</v>
      </c>
      <c r="P34" s="217">
        <f>IF(AND($M34&gt;0,$O34&gt;0),$O34/$M34-1,0)</f>
        <v>0.875</v>
      </c>
      <c r="Q34" s="214" t="str">
        <f>IF($B34="","",TRIM('Master Data-2026'!L30))</f>
        <v>LWD - 30th Sep</v>
      </c>
      <c r="R34" s="214">
        <f>IF($Q34="",0,IF(ISNUMBER(SEARCH("%",$Q34)),0,IFERROR(VALUE(LEFT($Q34,IF(NOT(OR(AND(MID($Q34,1,1)&gt;="0",MID($Q34,1,1)&lt;="9"),MID($Q34,1,1)=".")),0,IF(NOT(OR(AND(MID($Q34,2,1)&gt;="0",MID($Q34,2,1)&lt;="9"),MID($Q34,2,1)=".")),1,IF(NOT(OR(AND(MID($Q34,3,1)&gt;="0",MID($Q34,3,1)&lt;="9"),MID($Q34,3,1)=".")),2,IF(NOT(OR(AND(MID($Q34,4,1)&gt;="0",MID($Q34,4,1)&lt;="9"),MID($Q34,4,1)=".")),3,IF(NOT(OR(AND(MID($Q34,5,1)&gt;="0",MID($Q34,5,1)&lt;="9"),MID($Q34,5,1)=".")),4,IF(NOT(OR(AND(MID($Q34,6,1)&gt;="0",MID($Q34,6,1)&lt;="9"),MID($Q34,6,1)=".")),5,6)))))))),0)))</f>
        <v>0</v>
      </c>
      <c r="S34" s="218">
        <f>IF($Q34="",-1,IF(ISNUMBER(SEARCH("immediate",$Q34)),0,IF(ISNUMBER(SEARCH("month",$Q34)),IF($R34=0,-1,$R34*30),IF(ISNUMBER(SEARCH("day",$Q34)),IF($R34=0,-1,$R34),-1))))</f>
        <v>-1</v>
      </c>
      <c r="T34" s="214" t="str">
        <f>IF($B34="","",IF($S34&lt;0,"Not recorded",IF($S34=0,"Immediate",IF($S34&lt;=30,"1-30 days",IF($S34&lt;=60,"31-60 days","60+ days")))))</f>
        <v>Not recorded</v>
      </c>
      <c r="U34" s="214">
        <f>IF($B34="","",IFERROR(MATCH($B34,'Submission template'!$D$17:$D$300,0),""))</f>
        <v>16</v>
      </c>
      <c r="V34" s="214" t="str">
        <f>IF($U34="","",IFERROR(TRIM(INDEX('Submission template'!$I$17:$I$300,$U34)),""))</f>
        <v>3 years</v>
      </c>
      <c r="W34" s="219">
        <f>IF($V34="",0,IF(ISNUMBER(SEARCH("%",$V34)),0,IFERROR(VALUE(LEFT($V34,IF(NOT(OR(AND(MID($V34,1,1)&gt;="0",MID($V34,1,1)&lt;="9"),MID($V34,1,1)=".")),0,IF(NOT(OR(AND(MID($V34,2,1)&gt;="0",MID($V34,2,1)&lt;="9"),MID($V34,2,1)=".")),1,IF(NOT(OR(AND(MID($V34,3,1)&gt;="0",MID($V34,3,1)&lt;="9"),MID($V34,3,1)=".")),2,IF(NOT(OR(AND(MID($V34,4,1)&gt;="0",MID($V34,4,1)&lt;="9"),MID($V34,4,1)=".")),3,IF(NOT(OR(AND(MID($V34,5,1)&gt;="0",MID($V34,5,1)&lt;="9"),MID($V34,5,1)=".")),4,IF(NOT(OR(AND(MID($V34,6,1)&gt;="0",MID($V34,6,1)&lt;="9"),MID($V34,6,1)=".")),5,6)))))))),0)))</f>
        <v>3</v>
      </c>
      <c r="X34" s="214" t="str">
        <f>IF($U34="","",IFERROR(TRIM(INDEX('Submission template'!$J$17:$J$300,$U34)),""))</f>
        <v>React 3Y + Node 3Y</v>
      </c>
      <c r="Y34" s="214" t="str">
        <f>IF($U34="","",IFERROR(TRIM(INDEX('Submission template'!$K$17:$K$300,$U34)),""))</f>
        <v>Sify Technologies Limited</v>
      </c>
      <c r="Z34" s="214" t="str">
        <f>IF($U34="","",IFERROR(TRIM(INDEX('Submission template'!$M$17:$M$300,$U34)),""))</f>
        <v>Fullstack Developer</v>
      </c>
      <c r="AA34" s="214" t="str">
        <f>IF($U34="","",IFERROR(TRIM(INDEX('Submission template'!$O$17:$O$300,$U34)),""))</f>
        <v>Chennai</v>
      </c>
      <c r="AB34" s="214" t="str">
        <f>IF($U34="","",IFERROR(TRIM(INDEX('Submission template'!$S$17:$S$300,$U34)),""))</f>
        <v>Career Growth</v>
      </c>
      <c r="AC34" s="214">
        <f>IF($B34="",0,IF($U34="",0,1))</f>
        <v>1</v>
      </c>
      <c r="AD34" s="214">
        <f>IF($B34="",0,IF(OR($H34=TargetLocation,AND($AA34&lt;&gt;"",ISNUMBER(SEARCH(TargetLocation,$AA34)))),1,0))</f>
        <v>1</v>
      </c>
      <c r="AE34" s="214">
        <f>IF($B34="",0,IF(AND(OR(SelRecruiter="All",$C34=SelRecruiter),OR(SelCity="All",$H34=SelCity),OR(SelStage="All",$I34=SelStage),OR(SelRequisition="All",$F34=SelRequisition)),1,0))</f>
        <v>1</v>
      </c>
      <c r="AF34" s="214">
        <f>IF($B34="","",COUNT($AF$5:AF33)+1)</f>
        <v>29</v>
      </c>
      <c r="AG34" s="214">
        <f>IF($C34="","",IF(COUNTIF($C$6:$C34,$C34)=1,COUNT($AG$5:AG33)+1,""))</f>
      </c>
      <c r="AH34" s="214">
        <f>IF($F34="","",IF(COUNTIF($F$6:$F34,$F34)=1,COUNT($AH$5:AH33)+1,""))</f>
      </c>
      <c r="AI34" s="214">
        <f>IF($H34="","",IF(COUNTIF($H$6:$H34,$H34)=1,COUNT($AI$5:AI33)+1,""))</f>
      </c>
      <c r="AJ34" s="214">
        <f>IF(OR($B34="",$J34=0),"",$J34*100000000+IF(ISNUMBER($D34),$D34,0)*1000+(170-$A34))</f>
        <v>346247141</v>
      </c>
      <c r="AK34" s="214">
        <f>IF(OR($B34="",$W34&lt;=0),"",ROUND($W34*10,0)*100000+(170-$A34))</f>
        <v>3000141</v>
      </c>
      <c r="AL34" s="214">
        <f>IF(OR($B34="",$P34&lt;=0),"",ROUND($P34*10000,0)*1000+(170-$A34))</f>
        <v>8750141</v>
      </c>
      <c r="AM34" s="214">
        <f>IF(AND($W34&gt;0,$O34&gt;0),COUNT($AM$5:AM33)+1,"")</f>
        <v>15</v>
      </c>
      <c r="AN34">
        <f>IF($B34="",0,IF($G34="",0,SUMPRODUCT(MAX(ISNUMBER(SEARCH(LocPattern,$G34))*LocIdx))))</f>
        <v>16</v>
      </c>
      <c r="BD34">
        <f>IFERROR(INDEX($W$6:$W$125,MATCH(29,$AM$6:$AM$125,0)),"")</f>
      </c>
      <c r="BE34">
        <f>IFERROR(INDEX($O$6:$O$125,MATCH(29,$AM$6:$AM$125,0)),"")</f>
      </c>
      <c r="BF34">
        <f>IFERROR(INDEX($B$6:$B$125,MATCH(29,$AM$6:$AM$125,0)),"")</f>
      </c>
      <c r="BL34" t="str">
        <f>IFERROR(INDEX($B$6:$B$125,MATCH(29,$AF$6:$AF$125,0)),"")</f>
        <v>Duraipandi R</v>
      </c>
    </row>
    <row r="35">
      <c r="A35" s="220" t="n">
        <v>30</v>
      </c>
      <c r="B35" s="220" t="str">
        <f>IF(TRIM('Master Data-2026'!D31)="","",TRIM('Master Data-2026'!D31))</f>
        <v>Arunprakash S</v>
      </c>
      <c r="C35" s="220" t="str">
        <f>IF($B35="","",TRIM('Master Data-2026'!A31))</f>
        <v>Ananthy</v>
      </c>
      <c r="D35" s="221">
        <f>IF($B35="","",IF('Master Data-2026'!B31="","",'Master Data-2026'!B31))</f>
        <v>46247</v>
      </c>
      <c r="E35" s="220" t="str">
        <f>IF($B35="","",TRIM('Master Data-2026'!C31))</f>
        <v>August</v>
      </c>
      <c r="F35" s="220" t="str">
        <f>IF($B35="","",TRIM('Master Data-2026'!G31))</f>
        <v>Full Stack Developer</v>
      </c>
      <c r="G35" s="220" t="str">
        <f>IF($B35="","",TRIM('Master Data-2026'!F31))</f>
        <v>Pallikaranai</v>
      </c>
      <c r="H35" s="220" t="str">
        <f>IF($B35="","",IF($G35="","Not recorded",IF($AN35=0,"Other",INDEX(LocCity,$AN35))))</f>
        <v>Chennai</v>
      </c>
      <c r="I35" s="220" t="str">
        <f>IF($B35="","",TRIM('Master Data-2026'!H31))</f>
        <v>Telephonic Screening</v>
      </c>
      <c r="J35" s="220">
        <f>IF($B35="",0,IFERROR(INDEX(StageOrderRef,MATCH($I35,StageNameRef,0)),0))</f>
        <v>1</v>
      </c>
      <c r="K35" s="220" t="str">
        <f>IF($B35="","",TRIM('Master Data-2026'!I31))</f>
        <v>No response dropped a message</v>
      </c>
      <c r="L35" s="220">
        <f>IF($B35="","",TRIM('Master Data-2026'!J31))</f>
      </c>
      <c r="M35" s="222">
        <f>IF($L35="",0,IF(ISNUMBER(SEARCH("%",$L35)),0,IFERROR(VALUE(LEFT($L35,IF(NOT(OR(AND(MID($L35,1,1)&gt;="0",MID($L35,1,1)&lt;="9"),MID($L35,1,1)=".")),0,IF(NOT(OR(AND(MID($L35,2,1)&gt;="0",MID($L35,2,1)&lt;="9"),MID($L35,2,1)=".")),1,IF(NOT(OR(AND(MID($L35,3,1)&gt;="0",MID($L35,3,1)&lt;="9"),MID($L35,3,1)=".")),2,IF(NOT(OR(AND(MID($L35,4,1)&gt;="0",MID($L35,4,1)&lt;="9"),MID($L35,4,1)=".")),3,IF(NOT(OR(AND(MID($L35,5,1)&gt;="0",MID($L35,5,1)&lt;="9"),MID($L35,5,1)=".")),4,IF(NOT(OR(AND(MID($L35,6,1)&gt;="0",MID($L35,6,1)&lt;="9"),MID($L35,6,1)=".")),5,6)))))))),0)))</f>
        <v>0</v>
      </c>
      <c r="N35" s="220">
        <f>IF($B35="","",TRIM('Master Data-2026'!K31))</f>
      </c>
      <c r="O35" s="222">
        <f>IF($N35="",0,IF(ISNUMBER(SEARCH("%",$N35)),0,IFERROR(VALUE(LEFT($N35,IF(NOT(OR(AND(MID($N35,1,1)&gt;="0",MID($N35,1,1)&lt;="9"),MID($N35,1,1)=".")),0,IF(NOT(OR(AND(MID($N35,2,1)&gt;="0",MID($N35,2,1)&lt;="9"),MID($N35,2,1)=".")),1,IF(NOT(OR(AND(MID($N35,3,1)&gt;="0",MID($N35,3,1)&lt;="9"),MID($N35,3,1)=".")),2,IF(NOT(OR(AND(MID($N35,4,1)&gt;="0",MID($N35,4,1)&lt;="9"),MID($N35,4,1)=".")),3,IF(NOT(OR(AND(MID($N35,5,1)&gt;="0",MID($N35,5,1)&lt;="9"),MID($N35,5,1)=".")),4,IF(NOT(OR(AND(MID($N35,6,1)&gt;="0",MID($N35,6,1)&lt;="9"),MID($N35,6,1)=".")),5,6)))))))),0)))</f>
        <v>0</v>
      </c>
      <c r="P35" s="223">
        <f>IF(AND($M35&gt;0,$O35&gt;0),$O35/$M35-1,0)</f>
        <v>0</v>
      </c>
      <c r="Q35" s="220">
        <f>IF($B35="","",TRIM('Master Data-2026'!L31))</f>
      </c>
      <c r="R35" s="220">
        <f>IF($Q35="",0,IF(ISNUMBER(SEARCH("%",$Q35)),0,IFERROR(VALUE(LEFT($Q35,IF(NOT(OR(AND(MID($Q35,1,1)&gt;="0",MID($Q35,1,1)&lt;="9"),MID($Q35,1,1)=".")),0,IF(NOT(OR(AND(MID($Q35,2,1)&gt;="0",MID($Q35,2,1)&lt;="9"),MID($Q35,2,1)=".")),1,IF(NOT(OR(AND(MID($Q35,3,1)&gt;="0",MID($Q35,3,1)&lt;="9"),MID($Q35,3,1)=".")),2,IF(NOT(OR(AND(MID($Q35,4,1)&gt;="0",MID($Q35,4,1)&lt;="9"),MID($Q35,4,1)=".")),3,IF(NOT(OR(AND(MID($Q35,5,1)&gt;="0",MID($Q35,5,1)&lt;="9"),MID($Q35,5,1)=".")),4,IF(NOT(OR(AND(MID($Q35,6,1)&gt;="0",MID($Q35,6,1)&lt;="9"),MID($Q35,6,1)=".")),5,6)))))))),0)))</f>
        <v>0</v>
      </c>
      <c r="S35" s="224">
        <f>IF($Q35="",-1,IF(ISNUMBER(SEARCH("immediate",$Q35)),0,IF(ISNUMBER(SEARCH("month",$Q35)),IF($R35=0,-1,$R35*30),IF(ISNUMBER(SEARCH("day",$Q35)),IF($R35=0,-1,$R35),-1))))</f>
        <v>-1</v>
      </c>
      <c r="T35" s="220" t="str">
        <f>IF($B35="","",IF($S35&lt;0,"Not recorded",IF($S35=0,"Immediate",IF($S35&lt;=30,"1-30 days",IF($S35&lt;=60,"31-60 days","60+ days")))))</f>
        <v>Not recorded</v>
      </c>
      <c r="U35" s="220">
        <f>IF($B35="","",IFERROR(MATCH($B35,'Submission template'!$D$17:$D$300,0),""))</f>
      </c>
      <c r="V35" s="220">
        <f>IF($U35="","",IFERROR(TRIM(INDEX('Submission template'!$I$17:$I$300,$U35)),""))</f>
      </c>
      <c r="W35" s="225">
        <f>IF($V35="",0,IF(ISNUMBER(SEARCH("%",$V35)),0,IFERROR(VALUE(LEFT($V35,IF(NOT(OR(AND(MID($V35,1,1)&gt;="0",MID($V35,1,1)&lt;="9"),MID($V35,1,1)=".")),0,IF(NOT(OR(AND(MID($V35,2,1)&gt;="0",MID($V35,2,1)&lt;="9"),MID($V35,2,1)=".")),1,IF(NOT(OR(AND(MID($V35,3,1)&gt;="0",MID($V35,3,1)&lt;="9"),MID($V35,3,1)=".")),2,IF(NOT(OR(AND(MID($V35,4,1)&gt;="0",MID($V35,4,1)&lt;="9"),MID($V35,4,1)=".")),3,IF(NOT(OR(AND(MID($V35,5,1)&gt;="0",MID($V35,5,1)&lt;="9"),MID($V35,5,1)=".")),4,IF(NOT(OR(AND(MID($V35,6,1)&gt;="0",MID($V35,6,1)&lt;="9"),MID($V35,6,1)=".")),5,6)))))))),0)))</f>
        <v>0</v>
      </c>
      <c r="X35" s="220">
        <f>IF($U35="","",IFERROR(TRIM(INDEX('Submission template'!$J$17:$J$300,$U35)),""))</f>
      </c>
      <c r="Y35" s="220">
        <f>IF($U35="","",IFERROR(TRIM(INDEX('Submission template'!$K$17:$K$300,$U35)),""))</f>
      </c>
      <c r="Z35" s="220">
        <f>IF($U35="","",IFERROR(TRIM(INDEX('Submission template'!$M$17:$M$300,$U35)),""))</f>
      </c>
      <c r="AA35" s="220">
        <f>IF($U35="","",IFERROR(TRIM(INDEX('Submission template'!$O$17:$O$300,$U35)),""))</f>
      </c>
      <c r="AB35" s="220">
        <f>IF($U35="","",IFERROR(TRIM(INDEX('Submission template'!$S$17:$S$300,$U35)),""))</f>
      </c>
      <c r="AC35" s="220">
        <f>IF($B35="",0,IF($U35="",0,1))</f>
        <v>0</v>
      </c>
      <c r="AD35" s="220">
        <f>IF($B35="",0,IF(OR($H35=TargetLocation,AND($AA35&lt;&gt;"",ISNUMBER(SEARCH(TargetLocation,$AA35)))),1,0))</f>
        <v>1</v>
      </c>
      <c r="AE35" s="220">
        <f>IF($B35="",0,IF(AND(OR(SelRecruiter="All",$C35=SelRecruiter),OR(SelCity="All",$H35=SelCity),OR(SelStage="All",$I35=SelStage),OR(SelRequisition="All",$F35=SelRequisition)),1,0))</f>
        <v>1</v>
      </c>
      <c r="AF35" s="220">
        <f>IF($B35="","",COUNT($AF$5:AF34)+1)</f>
        <v>30</v>
      </c>
      <c r="AG35" s="220">
        <f>IF($C35="","",IF(COUNTIF($C$6:$C35,$C35)=1,COUNT($AG$5:AG34)+1,""))</f>
      </c>
      <c r="AH35" s="220">
        <f>IF($F35="","",IF(COUNTIF($F$6:$F35,$F35)=1,COUNT($AH$5:AH34)+1,""))</f>
      </c>
      <c r="AI35" s="220">
        <f>IF($H35="","",IF(COUNTIF($H$6:$H35,$H35)=1,COUNT($AI$5:AI34)+1,""))</f>
      </c>
      <c r="AJ35" s="220">
        <f>IF(OR($B35="",$J35=0),"",$J35*100000000+IF(ISNUMBER($D35),$D35,0)*1000+(170-$A35))</f>
        <v>146247140</v>
      </c>
      <c r="AK35" s="220">
        <f>IF(OR($B35="",$W35&lt;=0),"",ROUND($W35*10,0)*100000+(170-$A35))</f>
      </c>
      <c r="AL35" s="220">
        <f>IF(OR($B35="",$P35&lt;=0),"",ROUND($P35*10000,0)*1000+(170-$A35))</f>
      </c>
      <c r="AM35" s="220">
        <f>IF(AND($W35&gt;0,$O35&gt;0),COUNT($AM$5:AM34)+1,"")</f>
      </c>
      <c r="AN35">
        <f>IF($B35="",0,IF($G35="",0,SUMPRODUCT(MAX(ISNUMBER(SEARCH(LocPattern,$G35))*LocIdx))))</f>
        <v>5</v>
      </c>
      <c r="BD35">
        <f>IFERROR(INDEX($W$6:$W$125,MATCH(30,$AM$6:$AM$125,0)),"")</f>
      </c>
      <c r="BE35">
        <f>IFERROR(INDEX($O$6:$O$125,MATCH(30,$AM$6:$AM$125,0)),"")</f>
      </c>
      <c r="BF35">
        <f>IFERROR(INDEX($B$6:$B$125,MATCH(30,$AM$6:$AM$125,0)),"")</f>
      </c>
      <c r="BL35" t="str">
        <f>IFERROR(INDEX($B$6:$B$125,MATCH(30,$AF$6:$AF$125,0)),"")</f>
        <v>Arunprakash S</v>
      </c>
    </row>
    <row r="36">
      <c r="A36" s="214" t="n">
        <v>31</v>
      </c>
      <c r="B36" s="214" t="str">
        <f>IF(TRIM('Master Data-2026'!D32)="","",TRIM('Master Data-2026'!D32))</f>
        <v>G Santhosh</v>
      </c>
      <c r="C36" s="214" t="str">
        <f>IF($B36="","",TRIM('Master Data-2026'!A32))</f>
        <v>Ananthy</v>
      </c>
      <c r="D36" s="215">
        <f>IF($B36="","",IF('Master Data-2026'!B32="","",'Master Data-2026'!B32))</f>
        <v>46247</v>
      </c>
      <c r="E36" s="214" t="str">
        <f>IF($B36="","",TRIM('Master Data-2026'!C32))</f>
        <v>August</v>
      </c>
      <c r="F36" s="214" t="str">
        <f>IF($B36="","",TRIM('Master Data-2026'!G32))</f>
        <v>Full Stack Developer</v>
      </c>
      <c r="G36" s="214" t="str">
        <f>IF($B36="","",TRIM('Master Data-2026'!F32))</f>
        <v>Coimbatore</v>
      </c>
      <c r="H36" s="214" t="str">
        <f>IF($B36="","",IF($G36="","Not recorded",IF($AN36=0,"Other",INDEX(LocCity,$AN36))))</f>
        <v>Coimbatore</v>
      </c>
      <c r="I36" s="214" t="str">
        <f>IF($B36="","",TRIM('Master Data-2026'!H32))</f>
        <v>Telephonic Screening</v>
      </c>
      <c r="J36" s="214">
        <f>IF($B36="",0,IFERROR(INDEX(StageOrderRef,MATCH($I36,StageNameRef,0)),0))</f>
        <v>1</v>
      </c>
      <c r="K36" s="214" t="str">
        <f>IF($B36="","",TRIM('Master Data-2026'!I32))</f>
        <v>Longer notice</v>
      </c>
      <c r="L36" s="214" t="str">
        <f>IF($B36="","",TRIM('Master Data-2026'!J32))</f>
        <v>9 LPA</v>
      </c>
      <c r="M36" s="216">
        <f>IF($L36="",0,IF(ISNUMBER(SEARCH("%",$L36)),0,IFERROR(VALUE(LEFT($L36,IF(NOT(OR(AND(MID($L36,1,1)&gt;="0",MID($L36,1,1)&lt;="9"),MID($L36,1,1)=".")),0,IF(NOT(OR(AND(MID($L36,2,1)&gt;="0",MID($L36,2,1)&lt;="9"),MID($L36,2,1)=".")),1,IF(NOT(OR(AND(MID($L36,3,1)&gt;="0",MID($L36,3,1)&lt;="9"),MID($L36,3,1)=".")),2,IF(NOT(OR(AND(MID($L36,4,1)&gt;="0",MID($L36,4,1)&lt;="9"),MID($L36,4,1)=".")),3,IF(NOT(OR(AND(MID($L36,5,1)&gt;="0",MID($L36,5,1)&lt;="9"),MID($L36,5,1)=".")),4,IF(NOT(OR(AND(MID($L36,6,1)&gt;="0",MID($L36,6,1)&lt;="9"),MID($L36,6,1)=".")),5,6)))))))),0)))</f>
        <v>9</v>
      </c>
      <c r="N36" s="214" t="str">
        <f>IF($B36="","",TRIM('Master Data-2026'!K32))</f>
        <v>13 LPA</v>
      </c>
      <c r="O36" s="216">
        <f>IF($N36="",0,IF(ISNUMBER(SEARCH("%",$N36)),0,IFERROR(VALUE(LEFT($N36,IF(NOT(OR(AND(MID($N36,1,1)&gt;="0",MID($N36,1,1)&lt;="9"),MID($N36,1,1)=".")),0,IF(NOT(OR(AND(MID($N36,2,1)&gt;="0",MID($N36,2,1)&lt;="9"),MID($N36,2,1)=".")),1,IF(NOT(OR(AND(MID($N36,3,1)&gt;="0",MID($N36,3,1)&lt;="9"),MID($N36,3,1)=".")),2,IF(NOT(OR(AND(MID($N36,4,1)&gt;="0",MID($N36,4,1)&lt;="9"),MID($N36,4,1)=".")),3,IF(NOT(OR(AND(MID($N36,5,1)&gt;="0",MID($N36,5,1)&lt;="9"),MID($N36,5,1)=".")),4,IF(NOT(OR(AND(MID($N36,6,1)&gt;="0",MID($N36,6,1)&lt;="9"),MID($N36,6,1)=".")),5,6)))))))),0)))</f>
        <v>13</v>
      </c>
      <c r="P36" s="217">
        <f>IF(AND($M36&gt;0,$O36&gt;0),$O36/$M36-1,0)</f>
        <v>0.4444444444444444</v>
      </c>
      <c r="Q36" s="214" t="str">
        <f>IF($B36="","",TRIM('Master Data-2026'!L32))</f>
        <v>60 days</v>
      </c>
      <c r="R36" s="214">
        <f>IF($Q36="",0,IF(ISNUMBER(SEARCH("%",$Q36)),0,IFERROR(VALUE(LEFT($Q36,IF(NOT(OR(AND(MID($Q36,1,1)&gt;="0",MID($Q36,1,1)&lt;="9"),MID($Q36,1,1)=".")),0,IF(NOT(OR(AND(MID($Q36,2,1)&gt;="0",MID($Q36,2,1)&lt;="9"),MID($Q36,2,1)=".")),1,IF(NOT(OR(AND(MID($Q36,3,1)&gt;="0",MID($Q36,3,1)&lt;="9"),MID($Q36,3,1)=".")),2,IF(NOT(OR(AND(MID($Q36,4,1)&gt;="0",MID($Q36,4,1)&lt;="9"),MID($Q36,4,1)=".")),3,IF(NOT(OR(AND(MID($Q36,5,1)&gt;="0",MID($Q36,5,1)&lt;="9"),MID($Q36,5,1)=".")),4,IF(NOT(OR(AND(MID($Q36,6,1)&gt;="0",MID($Q36,6,1)&lt;="9"),MID($Q36,6,1)=".")),5,6)))))))),0)))</f>
        <v>60</v>
      </c>
      <c r="S36" s="218">
        <f>IF($Q36="",-1,IF(ISNUMBER(SEARCH("immediate",$Q36)),0,IF(ISNUMBER(SEARCH("month",$Q36)),IF($R36=0,-1,$R36*30),IF(ISNUMBER(SEARCH("day",$Q36)),IF($R36=0,-1,$R36),-1))))</f>
        <v>60</v>
      </c>
      <c r="T36" s="214" t="str">
        <f>IF($B36="","",IF($S36&lt;0,"Not recorded",IF($S36=0,"Immediate",IF($S36&lt;=30,"1-30 days",IF($S36&lt;=60,"31-60 days","60+ days")))))</f>
        <v>31-60 days</v>
      </c>
      <c r="U36" s="214">
        <f>IF($B36="","",IFERROR(MATCH($B36,'Submission template'!$D$17:$D$300,0),""))</f>
      </c>
      <c r="V36" s="214">
        <f>IF($U36="","",IFERROR(TRIM(INDEX('Submission template'!$I$17:$I$300,$U36)),""))</f>
      </c>
      <c r="W36" s="219">
        <f>IF($V36="",0,IF(ISNUMBER(SEARCH("%",$V36)),0,IFERROR(VALUE(LEFT($V36,IF(NOT(OR(AND(MID($V36,1,1)&gt;="0",MID($V36,1,1)&lt;="9"),MID($V36,1,1)=".")),0,IF(NOT(OR(AND(MID($V36,2,1)&gt;="0",MID($V36,2,1)&lt;="9"),MID($V36,2,1)=".")),1,IF(NOT(OR(AND(MID($V36,3,1)&gt;="0",MID($V36,3,1)&lt;="9"),MID($V36,3,1)=".")),2,IF(NOT(OR(AND(MID($V36,4,1)&gt;="0",MID($V36,4,1)&lt;="9"),MID($V36,4,1)=".")),3,IF(NOT(OR(AND(MID($V36,5,1)&gt;="0",MID($V36,5,1)&lt;="9"),MID($V36,5,1)=".")),4,IF(NOT(OR(AND(MID($V36,6,1)&gt;="0",MID($V36,6,1)&lt;="9"),MID($V36,6,1)=".")),5,6)))))))),0)))</f>
        <v>0</v>
      </c>
      <c r="X36" s="214">
        <f>IF($U36="","",IFERROR(TRIM(INDEX('Submission template'!$J$17:$J$300,$U36)),""))</f>
      </c>
      <c r="Y36" s="214">
        <f>IF($U36="","",IFERROR(TRIM(INDEX('Submission template'!$K$17:$K$300,$U36)),""))</f>
      </c>
      <c r="Z36" s="214">
        <f>IF($U36="","",IFERROR(TRIM(INDEX('Submission template'!$M$17:$M$300,$U36)),""))</f>
      </c>
      <c r="AA36" s="214">
        <f>IF($U36="","",IFERROR(TRIM(INDEX('Submission template'!$O$17:$O$300,$U36)),""))</f>
      </c>
      <c r="AB36" s="214">
        <f>IF($U36="","",IFERROR(TRIM(INDEX('Submission template'!$S$17:$S$300,$U36)),""))</f>
      </c>
      <c r="AC36" s="214">
        <f>IF($B36="",0,IF($U36="",0,1))</f>
        <v>0</v>
      </c>
      <c r="AD36" s="214">
        <f>IF($B36="",0,IF(OR($H36=TargetLocation,AND($AA36&lt;&gt;"",ISNUMBER(SEARCH(TargetLocation,$AA36)))),1,0))</f>
        <v>0</v>
      </c>
      <c r="AE36" s="214">
        <f>IF($B36="",0,IF(AND(OR(SelRecruiter="All",$C36=SelRecruiter),OR(SelCity="All",$H36=SelCity),OR(SelStage="All",$I36=SelStage),OR(SelRequisition="All",$F36=SelRequisition)),1,0))</f>
        <v>1</v>
      </c>
      <c r="AF36" s="214">
        <f>IF($B36="","",COUNT($AF$5:AF35)+1)</f>
        <v>31</v>
      </c>
      <c r="AG36" s="214">
        <f>IF($C36="","",IF(COUNTIF($C$6:$C36,$C36)=1,COUNT($AG$5:AG35)+1,""))</f>
      </c>
      <c r="AH36" s="214">
        <f>IF($F36="","",IF(COUNTIF($F$6:$F36,$F36)=1,COUNT($AH$5:AH35)+1,""))</f>
      </c>
      <c r="AI36" s="214">
        <f>IF($H36="","",IF(COUNTIF($H$6:$H36,$H36)=1,COUNT($AI$5:AI35)+1,""))</f>
      </c>
      <c r="AJ36" s="214">
        <f>IF(OR($B36="",$J36=0),"",$J36*100000000+IF(ISNUMBER($D36),$D36,0)*1000+(170-$A36))</f>
        <v>146247139</v>
      </c>
      <c r="AK36" s="214">
        <f>IF(OR($B36="",$W36&lt;=0),"",ROUND($W36*10,0)*100000+(170-$A36))</f>
      </c>
      <c r="AL36" s="214">
        <f>IF(OR($B36="",$P36&lt;=0),"",ROUND($P36*10000,0)*1000+(170-$A36))</f>
        <v>4444139</v>
      </c>
      <c r="AM36" s="214">
        <f>IF(AND($W36&gt;0,$O36&gt;0),COUNT($AM$5:AM35)+1,"")</f>
      </c>
      <c r="AN36">
        <f>IF($B36="",0,IF($G36="",0,SUMPRODUCT(MAX(ISNUMBER(SEARCH(LocPattern,$G36))*LocIdx))))</f>
        <v>20</v>
      </c>
      <c r="BD36">
        <f>IFERROR(INDEX($W$6:$W$125,MATCH(31,$AM$6:$AM$125,0)),"")</f>
      </c>
      <c r="BE36">
        <f>IFERROR(INDEX($O$6:$O$125,MATCH(31,$AM$6:$AM$125,0)),"")</f>
      </c>
      <c r="BF36">
        <f>IFERROR(INDEX($B$6:$B$125,MATCH(31,$AM$6:$AM$125,0)),"")</f>
      </c>
      <c r="BL36" t="str">
        <f>IFERROR(INDEX($B$6:$B$125,MATCH(31,$AF$6:$AF$125,0)),"")</f>
        <v>G Santhosh</v>
      </c>
    </row>
    <row r="37">
      <c r="A37" s="220" t="n">
        <v>32</v>
      </c>
      <c r="B37" s="220" t="str">
        <f>IF(TRIM('Master Data-2026'!D33)="","",TRIM('Master Data-2026'!D33))</f>
        <v>syed sharukh</v>
      </c>
      <c r="C37" s="220" t="str">
        <f>IF($B37="","",TRIM('Master Data-2026'!A33))</f>
        <v>Ananthy</v>
      </c>
      <c r="D37" s="221">
        <f>IF($B37="","",IF('Master Data-2026'!B33="","",'Master Data-2026'!B33))</f>
        <v>46247</v>
      </c>
      <c r="E37" s="220" t="str">
        <f>IF($B37="","",TRIM('Master Data-2026'!C33))</f>
        <v>August</v>
      </c>
      <c r="F37" s="220" t="str">
        <f>IF($B37="","",TRIM('Master Data-2026'!G33))</f>
        <v>Full Stack Developer</v>
      </c>
      <c r="G37" s="220" t="str">
        <f>IF($B37="","",TRIM('Master Data-2026'!F33))</f>
        <v>Chennai</v>
      </c>
      <c r="H37" s="220" t="str">
        <f>IF($B37="","",IF($G37="","Not recorded",IF($AN37=0,"Other",INDEX(LocCity,$AN37))))</f>
        <v>Chennai</v>
      </c>
      <c r="I37" s="220" t="str">
        <f>IF($B37="","",TRIM('Master Data-2026'!H33))</f>
        <v>ZN Interview</v>
      </c>
      <c r="J37" s="220">
        <f>IF($B37="",0,IFERROR(INDEX(StageOrderRef,MATCH($I37,StageNameRef,0)),0))</f>
        <v>3</v>
      </c>
      <c r="K37" s="220" t="str">
        <f>IF($B37="","",TRIM('Master Data-2026'!I33))</f>
        <v>L1 - 25th Aug</v>
      </c>
      <c r="L37" s="220" t="str">
        <f>IF($B37="","",TRIM('Master Data-2026'!J33))</f>
        <v>11 LPA</v>
      </c>
      <c r="M37" s="222">
        <f>IF($L37="",0,IF(ISNUMBER(SEARCH("%",$L37)),0,IFERROR(VALUE(LEFT($L37,IF(NOT(OR(AND(MID($L37,1,1)&gt;="0",MID($L37,1,1)&lt;="9"),MID($L37,1,1)=".")),0,IF(NOT(OR(AND(MID($L37,2,1)&gt;="0",MID($L37,2,1)&lt;="9"),MID($L37,2,1)=".")),1,IF(NOT(OR(AND(MID($L37,3,1)&gt;="0",MID($L37,3,1)&lt;="9"),MID($L37,3,1)=".")),2,IF(NOT(OR(AND(MID($L37,4,1)&gt;="0",MID($L37,4,1)&lt;="9"),MID($L37,4,1)=".")),3,IF(NOT(OR(AND(MID($L37,5,1)&gt;="0",MID($L37,5,1)&lt;="9"),MID($L37,5,1)=".")),4,IF(NOT(OR(AND(MID($L37,6,1)&gt;="0",MID($L37,6,1)&lt;="9"),MID($L37,6,1)=".")),5,6)))))))),0)))</f>
        <v>11</v>
      </c>
      <c r="N37" s="220" t="str">
        <f>IF($B37="","",TRIM('Master Data-2026'!K33))</f>
        <v>16 LPA</v>
      </c>
      <c r="O37" s="222">
        <f>IF($N37="",0,IF(ISNUMBER(SEARCH("%",$N37)),0,IFERROR(VALUE(LEFT($N37,IF(NOT(OR(AND(MID($N37,1,1)&gt;="0",MID($N37,1,1)&lt;="9"),MID($N37,1,1)=".")),0,IF(NOT(OR(AND(MID($N37,2,1)&gt;="0",MID($N37,2,1)&lt;="9"),MID($N37,2,1)=".")),1,IF(NOT(OR(AND(MID($N37,3,1)&gt;="0",MID($N37,3,1)&lt;="9"),MID($N37,3,1)=".")),2,IF(NOT(OR(AND(MID($N37,4,1)&gt;="0",MID($N37,4,1)&lt;="9"),MID($N37,4,1)=".")),3,IF(NOT(OR(AND(MID($N37,5,1)&gt;="0",MID($N37,5,1)&lt;="9"),MID($N37,5,1)=".")),4,IF(NOT(OR(AND(MID($N37,6,1)&gt;="0",MID($N37,6,1)&lt;="9"),MID($N37,6,1)=".")),5,6)))))))),0)))</f>
        <v>16</v>
      </c>
      <c r="P37" s="223">
        <f>IF(AND($M37&gt;0,$O37&gt;0),$O37/$M37-1,0)</f>
        <v>0.4545454545454546</v>
      </c>
      <c r="Q37" s="220" t="str">
        <f>IF($B37="","",TRIM('Master Data-2026'!L33))</f>
        <v>LWD - 3rd Sep</v>
      </c>
      <c r="R37" s="220">
        <f>IF($Q37="",0,IF(ISNUMBER(SEARCH("%",$Q37)),0,IFERROR(VALUE(LEFT($Q37,IF(NOT(OR(AND(MID($Q37,1,1)&gt;="0",MID($Q37,1,1)&lt;="9"),MID($Q37,1,1)=".")),0,IF(NOT(OR(AND(MID($Q37,2,1)&gt;="0",MID($Q37,2,1)&lt;="9"),MID($Q37,2,1)=".")),1,IF(NOT(OR(AND(MID($Q37,3,1)&gt;="0",MID($Q37,3,1)&lt;="9"),MID($Q37,3,1)=".")),2,IF(NOT(OR(AND(MID($Q37,4,1)&gt;="0",MID($Q37,4,1)&lt;="9"),MID($Q37,4,1)=".")),3,IF(NOT(OR(AND(MID($Q37,5,1)&gt;="0",MID($Q37,5,1)&lt;="9"),MID($Q37,5,1)=".")),4,IF(NOT(OR(AND(MID($Q37,6,1)&gt;="0",MID($Q37,6,1)&lt;="9"),MID($Q37,6,1)=".")),5,6)))))))),0)))</f>
        <v>0</v>
      </c>
      <c r="S37" s="224">
        <f>IF($Q37="",-1,IF(ISNUMBER(SEARCH("immediate",$Q37)),0,IF(ISNUMBER(SEARCH("month",$Q37)),IF($R37=0,-1,$R37*30),IF(ISNUMBER(SEARCH("day",$Q37)),IF($R37=0,-1,$R37),-1))))</f>
        <v>-1</v>
      </c>
      <c r="T37" s="220" t="str">
        <f>IF($B37="","",IF($S37&lt;0,"Not recorded",IF($S37=0,"Immediate",IF($S37&lt;=30,"1-30 days",IF($S37&lt;=60,"31-60 days","60+ days")))))</f>
        <v>Not recorded</v>
      </c>
      <c r="U37" s="220">
        <f>IF($B37="","",IFERROR(MATCH($B37,'Submission template'!$D$17:$D$300,0),""))</f>
        <v>17</v>
      </c>
      <c r="V37" s="220" t="str">
        <f>IF($U37="","",IFERROR(TRIM(INDEX('Submission template'!$I$17:$I$300,$U37)),""))</f>
        <v>3 years</v>
      </c>
      <c r="W37" s="225">
        <f>IF($V37="",0,IF(ISNUMBER(SEARCH("%",$V37)),0,IFERROR(VALUE(LEFT($V37,IF(NOT(OR(AND(MID($V37,1,1)&gt;="0",MID($V37,1,1)&lt;="9"),MID($V37,1,1)=".")),0,IF(NOT(OR(AND(MID($V37,2,1)&gt;="0",MID($V37,2,1)&lt;="9"),MID($V37,2,1)=".")),1,IF(NOT(OR(AND(MID($V37,3,1)&gt;="0",MID($V37,3,1)&lt;="9"),MID($V37,3,1)=".")),2,IF(NOT(OR(AND(MID($V37,4,1)&gt;="0",MID($V37,4,1)&lt;="9"),MID($V37,4,1)=".")),3,IF(NOT(OR(AND(MID($V37,5,1)&gt;="0",MID($V37,5,1)&lt;="9"),MID($V37,5,1)=".")),4,IF(NOT(OR(AND(MID($V37,6,1)&gt;="0",MID($V37,6,1)&lt;="9"),MID($V37,6,1)=".")),5,6)))))))),0)))</f>
        <v>3</v>
      </c>
      <c r="X37" s="220" t="str">
        <f>IF($U37="","",IFERROR(TRIM(INDEX('Submission template'!$J$17:$J$300,$U37)),""))</f>
        <v>React 3Y + Node 3Y</v>
      </c>
      <c r="Y37" s="220" t="str">
        <f>IF($U37="","",IFERROR(TRIM(INDEX('Submission template'!$K$17:$K$300,$U37)),""))</f>
        <v>Avasoft</v>
      </c>
      <c r="Z37" s="220" t="str">
        <f>IF($U37="","",IFERROR(TRIM(INDEX('Submission template'!$M$17:$M$300,$U37)),""))</f>
        <v>Fullstack Software Engineer</v>
      </c>
      <c r="AA37" s="220" t="str">
        <f>IF($U37="","",IFERROR(TRIM(INDEX('Submission template'!$O$17:$O$300,$U37)),""))</f>
        <v>Chennai</v>
      </c>
      <c r="AB37" s="220" t="str">
        <f>IF($U37="","",IFERROR(TRIM(INDEX('Submission template'!$S$17:$S$300,$U37)),""))</f>
        <v>Career Growth</v>
      </c>
      <c r="AC37" s="220">
        <f>IF($B37="",0,IF($U37="",0,1))</f>
        <v>1</v>
      </c>
      <c r="AD37" s="220">
        <f>IF($B37="",0,IF(OR($H37=TargetLocation,AND($AA37&lt;&gt;"",ISNUMBER(SEARCH(TargetLocation,$AA37)))),1,0))</f>
        <v>1</v>
      </c>
      <c r="AE37" s="220">
        <f>IF($B37="",0,IF(AND(OR(SelRecruiter="All",$C37=SelRecruiter),OR(SelCity="All",$H37=SelCity),OR(SelStage="All",$I37=SelStage),OR(SelRequisition="All",$F37=SelRequisition)),1,0))</f>
        <v>1</v>
      </c>
      <c r="AF37" s="220">
        <f>IF($B37="","",COUNT($AF$5:AF36)+1)</f>
        <v>32</v>
      </c>
      <c r="AG37" s="220">
        <f>IF($C37="","",IF(COUNTIF($C$6:$C37,$C37)=1,COUNT($AG$5:AG36)+1,""))</f>
      </c>
      <c r="AH37" s="220">
        <f>IF($F37="","",IF(COUNTIF($F$6:$F37,$F37)=1,COUNT($AH$5:AH36)+1,""))</f>
      </c>
      <c r="AI37" s="220">
        <f>IF($H37="","",IF(COUNTIF($H$6:$H37,$H37)=1,COUNT($AI$5:AI36)+1,""))</f>
      </c>
      <c r="AJ37" s="220">
        <f>IF(OR($B37="",$J37=0),"",$J37*100000000+IF(ISNUMBER($D37),$D37,0)*1000+(170-$A37))</f>
        <v>346247138</v>
      </c>
      <c r="AK37" s="220">
        <f>IF(OR($B37="",$W37&lt;=0),"",ROUND($W37*10,0)*100000+(170-$A37))</f>
        <v>3000138</v>
      </c>
      <c r="AL37" s="220">
        <f>IF(OR($B37="",$P37&lt;=0),"",ROUND($P37*10000,0)*1000+(170-$A37))</f>
        <v>4545138</v>
      </c>
      <c r="AM37" s="220">
        <f>IF(AND($W37&gt;0,$O37&gt;0),COUNT($AM$5:AM36)+1,"")</f>
        <v>16</v>
      </c>
      <c r="AN37">
        <f>IF($B37="",0,IF($G37="",0,SUMPRODUCT(MAX(ISNUMBER(SEARCH(LocPattern,$G37))*LocIdx))))</f>
        <v>16</v>
      </c>
      <c r="BD37">
        <f>IFERROR(INDEX($W$6:$W$125,MATCH(32,$AM$6:$AM$125,0)),"")</f>
      </c>
      <c r="BE37">
        <f>IFERROR(INDEX($O$6:$O$125,MATCH(32,$AM$6:$AM$125,0)),"")</f>
      </c>
      <c r="BF37">
        <f>IFERROR(INDEX($B$6:$B$125,MATCH(32,$AM$6:$AM$125,0)),"")</f>
      </c>
      <c r="BL37" t="str">
        <f>IFERROR(INDEX($B$6:$B$125,MATCH(32,$AF$6:$AF$125,0)),"")</f>
        <v>syed sharukh</v>
      </c>
    </row>
    <row r="38">
      <c r="A38" s="214" t="n">
        <v>33</v>
      </c>
      <c r="B38" s="214" t="str">
        <f>IF(TRIM('Master Data-2026'!D34)="","",TRIM('Master Data-2026'!D34))</f>
        <v>Gnanamani</v>
      </c>
      <c r="C38" s="214" t="str">
        <f>IF($B38="","",TRIM('Master Data-2026'!A34))</f>
        <v>Vandana</v>
      </c>
      <c r="D38" s="215">
        <f>IF($B38="","",IF('Master Data-2026'!B34="","",'Master Data-2026'!B34))</f>
        <v>46247</v>
      </c>
      <c r="E38" s="214" t="str">
        <f>IF($B38="","",TRIM('Master Data-2026'!C34))</f>
        <v>August</v>
      </c>
      <c r="F38" s="214" t="str">
        <f>IF($B38="","",TRIM('Master Data-2026'!G34))</f>
        <v>Full Stack Lead</v>
      </c>
      <c r="G38" s="214" t="str">
        <f>IF($B38="","",TRIM('Master Data-2026'!F34))</f>
        <v>Puducherry</v>
      </c>
      <c r="H38" s="214" t="str">
        <f>IF($B38="","",IF($G38="","Not recorded",IF($AN38=0,"Other",INDEX(LocCity,$AN38))))</f>
        <v>Puducherry</v>
      </c>
      <c r="I38" s="214" t="str">
        <f>IF($B38="","",TRIM('Master Data-2026'!H34))</f>
        <v>ZN Submission</v>
      </c>
      <c r="J38" s="214">
        <f>IF($B38="",0,IFERROR(INDEX(StageOrderRef,MATCH($I38,StageNameRef,0)),0))</f>
        <v>2</v>
      </c>
      <c r="K38" s="214" t="str">
        <f>IF($B38="","",TRIM('Master Data-2026'!I34))</f>
        <v>Jd sent awaiting for response</v>
      </c>
      <c r="L38" s="214" t="str">
        <f>IF($B38="","",TRIM('Master Data-2026'!J34))</f>
        <v>29.95lpa</v>
      </c>
      <c r="M38" s="216">
        <f>IF($L38="",0,IF(ISNUMBER(SEARCH("%",$L38)),0,IFERROR(VALUE(LEFT($L38,IF(NOT(OR(AND(MID($L38,1,1)&gt;="0",MID($L38,1,1)&lt;="9"),MID($L38,1,1)=".")),0,IF(NOT(OR(AND(MID($L38,2,1)&gt;="0",MID($L38,2,1)&lt;="9"),MID($L38,2,1)=".")),1,IF(NOT(OR(AND(MID($L38,3,1)&gt;="0",MID($L38,3,1)&lt;="9"),MID($L38,3,1)=".")),2,IF(NOT(OR(AND(MID($L38,4,1)&gt;="0",MID($L38,4,1)&lt;="9"),MID($L38,4,1)=".")),3,IF(NOT(OR(AND(MID($L38,5,1)&gt;="0",MID($L38,5,1)&lt;="9"),MID($L38,5,1)=".")),4,IF(NOT(OR(AND(MID($L38,6,1)&gt;="0",MID($L38,6,1)&lt;="9"),MID($L38,6,1)=".")),5,6)))))))),0)))</f>
        <v>29.95</v>
      </c>
      <c r="N38" s="214" t="str">
        <f>IF($B38="","",TRIM('Master Data-2026'!K34))</f>
        <v>32lpa</v>
      </c>
      <c r="O38" s="216">
        <f>IF($N38="",0,IF(ISNUMBER(SEARCH("%",$N38)),0,IFERROR(VALUE(LEFT($N38,IF(NOT(OR(AND(MID($N38,1,1)&gt;="0",MID($N38,1,1)&lt;="9"),MID($N38,1,1)=".")),0,IF(NOT(OR(AND(MID($N38,2,1)&gt;="0",MID($N38,2,1)&lt;="9"),MID($N38,2,1)=".")),1,IF(NOT(OR(AND(MID($N38,3,1)&gt;="0",MID($N38,3,1)&lt;="9"),MID($N38,3,1)=".")),2,IF(NOT(OR(AND(MID($N38,4,1)&gt;="0",MID($N38,4,1)&lt;="9"),MID($N38,4,1)=".")),3,IF(NOT(OR(AND(MID($N38,5,1)&gt;="0",MID($N38,5,1)&lt;="9"),MID($N38,5,1)=".")),4,IF(NOT(OR(AND(MID($N38,6,1)&gt;="0",MID($N38,6,1)&lt;="9"),MID($N38,6,1)=".")),5,6)))))))),0)))</f>
        <v>32</v>
      </c>
      <c r="P38" s="217">
        <f>IF(AND($M38&gt;0,$O38&gt;0),$O38/$M38-1,0)</f>
        <v>0.06844741235392315</v>
      </c>
      <c r="Q38" s="214" t="str">
        <f>IF($B38="","",TRIM('Master Data-2026'!L34))</f>
        <v>60 days(nego to 35 days)</v>
      </c>
      <c r="R38" s="214">
        <f>IF($Q38="",0,IF(ISNUMBER(SEARCH("%",$Q38)),0,IFERROR(VALUE(LEFT($Q38,IF(NOT(OR(AND(MID($Q38,1,1)&gt;="0",MID($Q38,1,1)&lt;="9"),MID($Q38,1,1)=".")),0,IF(NOT(OR(AND(MID($Q38,2,1)&gt;="0",MID($Q38,2,1)&lt;="9"),MID($Q38,2,1)=".")),1,IF(NOT(OR(AND(MID($Q38,3,1)&gt;="0",MID($Q38,3,1)&lt;="9"),MID($Q38,3,1)=".")),2,IF(NOT(OR(AND(MID($Q38,4,1)&gt;="0",MID($Q38,4,1)&lt;="9"),MID($Q38,4,1)=".")),3,IF(NOT(OR(AND(MID($Q38,5,1)&gt;="0",MID($Q38,5,1)&lt;="9"),MID($Q38,5,1)=".")),4,IF(NOT(OR(AND(MID($Q38,6,1)&gt;="0",MID($Q38,6,1)&lt;="9"),MID($Q38,6,1)=".")),5,6)))))))),0)))</f>
        <v>60</v>
      </c>
      <c r="S38" s="218">
        <f>IF($Q38="",-1,IF(ISNUMBER(SEARCH("immediate",$Q38)),0,IF(ISNUMBER(SEARCH("month",$Q38)),IF($R38=0,-1,$R38*30),IF(ISNUMBER(SEARCH("day",$Q38)),IF($R38=0,-1,$R38),-1))))</f>
        <v>60</v>
      </c>
      <c r="T38" s="214" t="str">
        <f>IF($B38="","",IF($S38&lt;0,"Not recorded",IF($S38=0,"Immediate",IF($S38&lt;=30,"1-30 days",IF($S38&lt;=60,"31-60 days","60+ days")))))</f>
        <v>31-60 days</v>
      </c>
      <c r="U38" s="214">
        <f>IF($B38="","",IFERROR(MATCH($B38,'Submission template'!$D$17:$D$300,0),""))</f>
        <v>19</v>
      </c>
      <c r="V38" s="214" t="str">
        <f>IF($U38="","",IFERROR(TRIM(INDEX('Submission template'!$I$17:$I$300,$U38)),""))</f>
        <v>9.6 Years</v>
      </c>
      <c r="W38" s="219">
        <f>IF($V38="",0,IF(ISNUMBER(SEARCH("%",$V38)),0,IFERROR(VALUE(LEFT($V38,IF(NOT(OR(AND(MID($V38,1,1)&gt;="0",MID($V38,1,1)&lt;="9"),MID($V38,1,1)=".")),0,IF(NOT(OR(AND(MID($V38,2,1)&gt;="0",MID($V38,2,1)&lt;="9"),MID($V38,2,1)=".")),1,IF(NOT(OR(AND(MID($V38,3,1)&gt;="0",MID($V38,3,1)&lt;="9"),MID($V38,3,1)=".")),2,IF(NOT(OR(AND(MID($V38,4,1)&gt;="0",MID($V38,4,1)&lt;="9"),MID($V38,4,1)=".")),3,IF(NOT(OR(AND(MID($V38,5,1)&gt;="0",MID($V38,5,1)&lt;="9"),MID($V38,5,1)=".")),4,IF(NOT(OR(AND(MID($V38,6,1)&gt;="0",MID($V38,6,1)&lt;="9"),MID($V38,6,1)=".")),5,6)))))))),0)))</f>
        <v>9.6</v>
      </c>
      <c r="X38" s="214" t="str">
        <f>IF($U38="","",IFERROR(TRIM(INDEX('Submission template'!$J$17:$J$300,$U38)),""))</f>
        <v>React 7Y+ Node  7Y</v>
      </c>
      <c r="Y38" s="214" t="str">
        <f>IF($U38="","",IFERROR(TRIM(INDEX('Submission template'!$K$17:$K$300,$U38)),""))</f>
        <v>Integra Software Services</v>
      </c>
      <c r="Z38" s="214" t="str">
        <f>IF($U38="","",IFERROR(TRIM(INDEX('Submission template'!$M$17:$M$300,$U38)),""))</f>
        <v>Technical Lead</v>
      </c>
      <c r="AA38" s="214" t="str">
        <f>IF($U38="","",IFERROR(TRIM(INDEX('Submission template'!$O$17:$O$300,$U38)),""))</f>
        <v>Chennai</v>
      </c>
      <c r="AB38" s="214" t="str">
        <f>IF($U38="","",IFERROR(TRIM(INDEX('Submission template'!$S$17:$S$300,$U38)),""))</f>
        <v>Career Growth</v>
      </c>
      <c r="AC38" s="214">
        <f>IF($B38="",0,IF($U38="",0,1))</f>
        <v>1</v>
      </c>
      <c r="AD38" s="214">
        <f>IF($B38="",0,IF(OR($H38=TargetLocation,AND($AA38&lt;&gt;"",ISNUMBER(SEARCH(TargetLocation,$AA38)))),1,0))</f>
        <v>1</v>
      </c>
      <c r="AE38" s="214">
        <f>IF($B38="",0,IF(AND(OR(SelRecruiter="All",$C38=SelRecruiter),OR(SelCity="All",$H38=SelCity),OR(SelStage="All",$I38=SelStage),OR(SelRequisition="All",$F38=SelRequisition)),1,0))</f>
        <v>1</v>
      </c>
      <c r="AF38" s="214">
        <f>IF($B38="","",COUNT($AF$5:AF37)+1)</f>
        <v>33</v>
      </c>
      <c r="AG38" s="214">
        <f>IF($C38="","",IF(COUNTIF($C$6:$C38,$C38)=1,COUNT($AG$5:AG37)+1,""))</f>
      </c>
      <c r="AH38" s="214">
        <f>IF($F38="","",IF(COUNTIF($F$6:$F38,$F38)=1,COUNT($AH$5:AH37)+1,""))</f>
      </c>
      <c r="AI38" s="214">
        <f>IF($H38="","",IF(COUNTIF($H$6:$H38,$H38)=1,COUNT($AI$5:AI37)+1,""))</f>
        <v>8</v>
      </c>
      <c r="AJ38" s="214">
        <f>IF(OR($B38="",$J38=0),"",$J38*100000000+IF(ISNUMBER($D38),$D38,0)*1000+(170-$A38))</f>
        <v>246247137</v>
      </c>
      <c r="AK38" s="214">
        <f>IF(OR($B38="",$W38&lt;=0),"",ROUND($W38*10,0)*100000+(170-$A38))</f>
        <v>9600137</v>
      </c>
      <c r="AL38" s="214">
        <f>IF(OR($B38="",$P38&lt;=0),"",ROUND($P38*10000,0)*1000+(170-$A38))</f>
        <v>684137</v>
      </c>
      <c r="AM38" s="214">
        <f>IF(AND($W38&gt;0,$O38&gt;0),COUNT($AM$5:AM37)+1,"")</f>
        <v>17</v>
      </c>
      <c r="AN38">
        <f>IF($B38="",0,IF($G38="",0,SUMPRODUCT(MAX(ISNUMBER(SEARCH(LocPattern,$G38))*LocIdx))))</f>
        <v>27</v>
      </c>
      <c r="BD38">
        <f>IFERROR(INDEX($W$6:$W$125,MATCH(33,$AM$6:$AM$125,0)),"")</f>
      </c>
      <c r="BE38">
        <f>IFERROR(INDEX($O$6:$O$125,MATCH(33,$AM$6:$AM$125,0)),"")</f>
      </c>
      <c r="BF38">
        <f>IFERROR(INDEX($B$6:$B$125,MATCH(33,$AM$6:$AM$125,0)),"")</f>
      </c>
      <c r="BL38" t="str">
        <f>IFERROR(INDEX($B$6:$B$125,MATCH(33,$AF$6:$AF$125,0)),"")</f>
        <v>Gnanamani</v>
      </c>
    </row>
    <row r="39">
      <c r="A39" s="220" t="n">
        <v>34</v>
      </c>
      <c r="B39" s="220" t="str">
        <f>IF(TRIM('Master Data-2026'!D35)="","",TRIM('Master Data-2026'!D35))</f>
        <v>Pandiyan k</v>
      </c>
      <c r="C39" s="220" t="str">
        <f>IF($B39="","",TRIM('Master Data-2026'!A35))</f>
        <v>Ananthy</v>
      </c>
      <c r="D39" s="221">
        <f>IF($B39="","",IF('Master Data-2026'!B35="","",'Master Data-2026'!B35))</f>
        <v>46247</v>
      </c>
      <c r="E39" s="220" t="str">
        <f>IF($B39="","",TRIM('Master Data-2026'!C35))</f>
        <v>August</v>
      </c>
      <c r="F39" s="220" t="str">
        <f>IF($B39="","",TRIM('Master Data-2026'!G35))</f>
        <v>Full Stack Developer</v>
      </c>
      <c r="G39" s="220" t="str">
        <f>IF($B39="","",TRIM('Master Data-2026'!F35))</f>
        <v>Vyasarpadi</v>
      </c>
      <c r="H39" s="220" t="str">
        <f>IF($B39="","",IF($G39="","Not recorded",IF($AN39=0,"Other",INDEX(LocCity,$AN39))))</f>
        <v>Chennai</v>
      </c>
      <c r="I39" s="220" t="str">
        <f>IF($B39="","",TRIM('Master Data-2026'!H35))</f>
        <v>Telephonic Screening</v>
      </c>
      <c r="J39" s="220">
        <f>IF($B39="",0,IFERROR(INDEX(StageOrderRef,MATCH($I39,StageNameRef,0)),0))</f>
        <v>1</v>
      </c>
      <c r="K39" s="220" t="str">
        <f>IF($B39="","",TRIM('Master Data-2026'!I35))</f>
        <v>JD sent awaiting response</v>
      </c>
      <c r="L39" s="220" t="str">
        <f>IF($B39="","",TRIM('Master Data-2026'!J35))</f>
        <v>7 LPA</v>
      </c>
      <c r="M39" s="222">
        <f>IF($L39="",0,IF(ISNUMBER(SEARCH("%",$L39)),0,IFERROR(VALUE(LEFT($L39,IF(NOT(OR(AND(MID($L39,1,1)&gt;="0",MID($L39,1,1)&lt;="9"),MID($L39,1,1)=".")),0,IF(NOT(OR(AND(MID($L39,2,1)&gt;="0",MID($L39,2,1)&lt;="9"),MID($L39,2,1)=".")),1,IF(NOT(OR(AND(MID($L39,3,1)&gt;="0",MID($L39,3,1)&lt;="9"),MID($L39,3,1)=".")),2,IF(NOT(OR(AND(MID($L39,4,1)&gt;="0",MID($L39,4,1)&lt;="9"),MID($L39,4,1)=".")),3,IF(NOT(OR(AND(MID($L39,5,1)&gt;="0",MID($L39,5,1)&lt;="9"),MID($L39,5,1)=".")),4,IF(NOT(OR(AND(MID($L39,6,1)&gt;="0",MID($L39,6,1)&lt;="9"),MID($L39,6,1)=".")),5,6)))))))),0)))</f>
        <v>7</v>
      </c>
      <c r="N39" s="220" t="str">
        <f>IF($B39="","",TRIM('Master Data-2026'!K35))</f>
        <v>11 LPA</v>
      </c>
      <c r="O39" s="222">
        <f>IF($N39="",0,IF(ISNUMBER(SEARCH("%",$N39)),0,IFERROR(VALUE(LEFT($N39,IF(NOT(OR(AND(MID($N39,1,1)&gt;="0",MID($N39,1,1)&lt;="9"),MID($N39,1,1)=".")),0,IF(NOT(OR(AND(MID($N39,2,1)&gt;="0",MID($N39,2,1)&lt;="9"),MID($N39,2,1)=".")),1,IF(NOT(OR(AND(MID($N39,3,1)&gt;="0",MID($N39,3,1)&lt;="9"),MID($N39,3,1)=".")),2,IF(NOT(OR(AND(MID($N39,4,1)&gt;="0",MID($N39,4,1)&lt;="9"),MID($N39,4,1)=".")),3,IF(NOT(OR(AND(MID($N39,5,1)&gt;="0",MID($N39,5,1)&lt;="9"),MID($N39,5,1)=".")),4,IF(NOT(OR(AND(MID($N39,6,1)&gt;="0",MID($N39,6,1)&lt;="9"),MID($N39,6,1)=".")),5,6)))))))),0)))</f>
        <v>11</v>
      </c>
      <c r="P39" s="223">
        <f>IF(AND($M39&gt;0,$O39&gt;0),$O39/$M39-1,0)</f>
        <v>0.5714285714285714</v>
      </c>
      <c r="Q39" s="220" t="str">
        <f>IF($B39="","",TRIM('Master Data-2026'!L35))</f>
        <v>60 days (nego to 45 days)</v>
      </c>
      <c r="R39" s="220">
        <f>IF($Q39="",0,IF(ISNUMBER(SEARCH("%",$Q39)),0,IFERROR(VALUE(LEFT($Q39,IF(NOT(OR(AND(MID($Q39,1,1)&gt;="0",MID($Q39,1,1)&lt;="9"),MID($Q39,1,1)=".")),0,IF(NOT(OR(AND(MID($Q39,2,1)&gt;="0",MID($Q39,2,1)&lt;="9"),MID($Q39,2,1)=".")),1,IF(NOT(OR(AND(MID($Q39,3,1)&gt;="0",MID($Q39,3,1)&lt;="9"),MID($Q39,3,1)=".")),2,IF(NOT(OR(AND(MID($Q39,4,1)&gt;="0",MID($Q39,4,1)&lt;="9"),MID($Q39,4,1)=".")),3,IF(NOT(OR(AND(MID($Q39,5,1)&gt;="0",MID($Q39,5,1)&lt;="9"),MID($Q39,5,1)=".")),4,IF(NOT(OR(AND(MID($Q39,6,1)&gt;="0",MID($Q39,6,1)&lt;="9"),MID($Q39,6,1)=".")),5,6)))))))),0)))</f>
        <v>60</v>
      </c>
      <c r="S39" s="224">
        <f>IF($Q39="",-1,IF(ISNUMBER(SEARCH("immediate",$Q39)),0,IF(ISNUMBER(SEARCH("month",$Q39)),IF($R39=0,-1,$R39*30),IF(ISNUMBER(SEARCH("day",$Q39)),IF($R39=0,-1,$R39),-1))))</f>
        <v>60</v>
      </c>
      <c r="T39" s="220" t="str">
        <f>IF($B39="","",IF($S39&lt;0,"Not recorded",IF($S39=0,"Immediate",IF($S39&lt;=30,"1-30 days",IF($S39&lt;=60,"31-60 days","60+ days")))))</f>
        <v>31-60 days</v>
      </c>
      <c r="U39" s="220">
        <f>IF($B39="","",IFERROR(MATCH($B39,'Submission template'!$D$17:$D$300,0),""))</f>
      </c>
      <c r="V39" s="220">
        <f>IF($U39="","",IFERROR(TRIM(INDEX('Submission template'!$I$17:$I$300,$U39)),""))</f>
      </c>
      <c r="W39" s="225">
        <f>IF($V39="",0,IF(ISNUMBER(SEARCH("%",$V39)),0,IFERROR(VALUE(LEFT($V39,IF(NOT(OR(AND(MID($V39,1,1)&gt;="0",MID($V39,1,1)&lt;="9"),MID($V39,1,1)=".")),0,IF(NOT(OR(AND(MID($V39,2,1)&gt;="0",MID($V39,2,1)&lt;="9"),MID($V39,2,1)=".")),1,IF(NOT(OR(AND(MID($V39,3,1)&gt;="0",MID($V39,3,1)&lt;="9"),MID($V39,3,1)=".")),2,IF(NOT(OR(AND(MID($V39,4,1)&gt;="0",MID($V39,4,1)&lt;="9"),MID($V39,4,1)=".")),3,IF(NOT(OR(AND(MID($V39,5,1)&gt;="0",MID($V39,5,1)&lt;="9"),MID($V39,5,1)=".")),4,IF(NOT(OR(AND(MID($V39,6,1)&gt;="0",MID($V39,6,1)&lt;="9"),MID($V39,6,1)=".")),5,6)))))))),0)))</f>
        <v>0</v>
      </c>
      <c r="X39" s="220">
        <f>IF($U39="","",IFERROR(TRIM(INDEX('Submission template'!$J$17:$J$300,$U39)),""))</f>
      </c>
      <c r="Y39" s="220">
        <f>IF($U39="","",IFERROR(TRIM(INDEX('Submission template'!$K$17:$K$300,$U39)),""))</f>
      </c>
      <c r="Z39" s="220">
        <f>IF($U39="","",IFERROR(TRIM(INDEX('Submission template'!$M$17:$M$300,$U39)),""))</f>
      </c>
      <c r="AA39" s="220">
        <f>IF($U39="","",IFERROR(TRIM(INDEX('Submission template'!$O$17:$O$300,$U39)),""))</f>
      </c>
      <c r="AB39" s="220">
        <f>IF($U39="","",IFERROR(TRIM(INDEX('Submission template'!$S$17:$S$300,$U39)),""))</f>
      </c>
      <c r="AC39" s="220">
        <f>IF($B39="",0,IF($U39="",0,1))</f>
        <v>0</v>
      </c>
      <c r="AD39" s="220">
        <f>IF($B39="",0,IF(OR($H39=TargetLocation,AND($AA39&lt;&gt;"",ISNUMBER(SEARCH(TargetLocation,$AA39)))),1,0))</f>
        <v>1</v>
      </c>
      <c r="AE39" s="220">
        <f>IF($B39="",0,IF(AND(OR(SelRecruiter="All",$C39=SelRecruiter),OR(SelCity="All",$H39=SelCity),OR(SelStage="All",$I39=SelStage),OR(SelRequisition="All",$F39=SelRequisition)),1,0))</f>
        <v>1</v>
      </c>
      <c r="AF39" s="220">
        <f>IF($B39="","",COUNT($AF$5:AF38)+1)</f>
        <v>34</v>
      </c>
      <c r="AG39" s="220">
        <f>IF($C39="","",IF(COUNTIF($C$6:$C39,$C39)=1,COUNT($AG$5:AG38)+1,""))</f>
      </c>
      <c r="AH39" s="220">
        <f>IF($F39="","",IF(COUNTIF($F$6:$F39,$F39)=1,COUNT($AH$5:AH38)+1,""))</f>
      </c>
      <c r="AI39" s="220">
        <f>IF($H39="","",IF(COUNTIF($H$6:$H39,$H39)=1,COUNT($AI$5:AI38)+1,""))</f>
      </c>
      <c r="AJ39" s="220">
        <f>IF(OR($B39="",$J39=0),"",$J39*100000000+IF(ISNUMBER($D39),$D39,0)*1000+(170-$A39))</f>
        <v>146247136</v>
      </c>
      <c r="AK39" s="220">
        <f>IF(OR($B39="",$W39&lt;=0),"",ROUND($W39*10,0)*100000+(170-$A39))</f>
      </c>
      <c r="AL39" s="220">
        <f>IF(OR($B39="",$P39&lt;=0),"",ROUND($P39*10000,0)*1000+(170-$A39))</f>
        <v>5714136</v>
      </c>
      <c r="AM39" s="220">
        <f>IF(AND($W39&gt;0,$O39&gt;0),COUNT($AM$5:AM38)+1,"")</f>
      </c>
      <c r="AN39">
        <f>IF($B39="",0,IF($G39="",0,SUMPRODUCT(MAX(ISNUMBER(SEARCH(LocPattern,$G39))*LocIdx))))</f>
        <v>7</v>
      </c>
      <c r="BD39">
        <f>IFERROR(INDEX($W$6:$W$125,MATCH(34,$AM$6:$AM$125,0)),"")</f>
      </c>
      <c r="BE39">
        <f>IFERROR(INDEX($O$6:$O$125,MATCH(34,$AM$6:$AM$125,0)),"")</f>
      </c>
      <c r="BF39">
        <f>IFERROR(INDEX($B$6:$B$125,MATCH(34,$AM$6:$AM$125,0)),"")</f>
      </c>
      <c r="BL39" t="str">
        <f>IFERROR(INDEX($B$6:$B$125,MATCH(34,$AF$6:$AF$125,0)),"")</f>
        <v>Pandiyan k</v>
      </c>
    </row>
    <row r="40">
      <c r="A40" s="214" t="n">
        <v>35</v>
      </c>
      <c r="B40" s="214" t="str">
        <f>IF(TRIM('Master Data-2026'!D36)="","",TRIM('Master Data-2026'!D36))</f>
        <v>Aakash Chandra</v>
      </c>
      <c r="C40" s="214" t="str">
        <f>IF($B40="","",TRIM('Master Data-2026'!A36))</f>
        <v>Ananthy</v>
      </c>
      <c r="D40" s="215">
        <f>IF($B40="","",IF('Master Data-2026'!B36="","",'Master Data-2026'!B36))</f>
        <v>46247</v>
      </c>
      <c r="E40" s="214" t="str">
        <f>IF($B40="","",TRIM('Master Data-2026'!C36))</f>
        <v>August</v>
      </c>
      <c r="F40" s="214" t="str">
        <f>IF($B40="","",TRIM('Master Data-2026'!G36))</f>
        <v>Full Stack Developer</v>
      </c>
      <c r="G40" s="214" t="str">
        <f>IF($B40="","",TRIM('Master Data-2026'!F36))</f>
        <v>OMR</v>
      </c>
      <c r="H40" s="214" t="str">
        <f>IF($B40="","",IF($G40="","Not recorded",IF($AN40=0,"Other",INDEX(LocCity,$AN40))))</f>
        <v>Chennai</v>
      </c>
      <c r="I40" s="214" t="str">
        <f>IF($B40="","",TRIM('Master Data-2026'!H36))</f>
        <v>ZN Submission</v>
      </c>
      <c r="J40" s="214">
        <f>IF($B40="",0,IFERROR(INDEX(StageOrderRef,MATCH($I40,StageNameRef,0)),0))</f>
        <v>2</v>
      </c>
      <c r="K40" s="214" t="str">
        <f>IF($B40="","",TRIM('Master Data-2026'!I36))</f>
        <v>Client Review</v>
      </c>
      <c r="L40" s="214" t="str">
        <f>IF($B40="","",TRIM('Master Data-2026'!J36))</f>
        <v>8 LPA</v>
      </c>
      <c r="M40" s="216">
        <f>IF($L40="",0,IF(ISNUMBER(SEARCH("%",$L40)),0,IFERROR(VALUE(LEFT($L40,IF(NOT(OR(AND(MID($L40,1,1)&gt;="0",MID($L40,1,1)&lt;="9"),MID($L40,1,1)=".")),0,IF(NOT(OR(AND(MID($L40,2,1)&gt;="0",MID($L40,2,1)&lt;="9"),MID($L40,2,1)=".")),1,IF(NOT(OR(AND(MID($L40,3,1)&gt;="0",MID($L40,3,1)&lt;="9"),MID($L40,3,1)=".")),2,IF(NOT(OR(AND(MID($L40,4,1)&gt;="0",MID($L40,4,1)&lt;="9"),MID($L40,4,1)=".")),3,IF(NOT(OR(AND(MID($L40,5,1)&gt;="0",MID($L40,5,1)&lt;="9"),MID($L40,5,1)=".")),4,IF(NOT(OR(AND(MID($L40,6,1)&gt;="0",MID($L40,6,1)&lt;="9"),MID($L40,6,1)=".")),5,6)))))))),0)))</f>
        <v>8</v>
      </c>
      <c r="N40" s="214" t="str">
        <f>IF($B40="","",TRIM('Master Data-2026'!K36))</f>
        <v>40% hike (nego)</v>
      </c>
      <c r="O40" s="216">
        <f>IF($N40="",0,IF(ISNUMBER(SEARCH("%",$N40)),0,IFERROR(VALUE(LEFT($N40,IF(NOT(OR(AND(MID($N40,1,1)&gt;="0",MID($N40,1,1)&lt;="9"),MID($N40,1,1)=".")),0,IF(NOT(OR(AND(MID($N40,2,1)&gt;="0",MID($N40,2,1)&lt;="9"),MID($N40,2,1)=".")),1,IF(NOT(OR(AND(MID($N40,3,1)&gt;="0",MID($N40,3,1)&lt;="9"),MID($N40,3,1)=".")),2,IF(NOT(OR(AND(MID($N40,4,1)&gt;="0",MID($N40,4,1)&lt;="9"),MID($N40,4,1)=".")),3,IF(NOT(OR(AND(MID($N40,5,1)&gt;="0",MID($N40,5,1)&lt;="9"),MID($N40,5,1)=".")),4,IF(NOT(OR(AND(MID($N40,6,1)&gt;="0",MID($N40,6,1)&lt;="9"),MID($N40,6,1)=".")),5,6)))))))),0)))</f>
        <v>0</v>
      </c>
      <c r="P40" s="217">
        <f>IF(AND($M40&gt;0,$O40&gt;0),$O40/$M40-1,0)</f>
        <v>0</v>
      </c>
      <c r="Q40" s="214" t="str">
        <f>IF($B40="","",TRIM('Master Data-2026'!L36))</f>
        <v>30 days (nego to 20 day)</v>
      </c>
      <c r="R40" s="214">
        <f>IF($Q40="",0,IF(ISNUMBER(SEARCH("%",$Q40)),0,IFERROR(VALUE(LEFT($Q40,IF(NOT(OR(AND(MID($Q40,1,1)&gt;="0",MID($Q40,1,1)&lt;="9"),MID($Q40,1,1)=".")),0,IF(NOT(OR(AND(MID($Q40,2,1)&gt;="0",MID($Q40,2,1)&lt;="9"),MID($Q40,2,1)=".")),1,IF(NOT(OR(AND(MID($Q40,3,1)&gt;="0",MID($Q40,3,1)&lt;="9"),MID($Q40,3,1)=".")),2,IF(NOT(OR(AND(MID($Q40,4,1)&gt;="0",MID($Q40,4,1)&lt;="9"),MID($Q40,4,1)=".")),3,IF(NOT(OR(AND(MID($Q40,5,1)&gt;="0",MID($Q40,5,1)&lt;="9"),MID($Q40,5,1)=".")),4,IF(NOT(OR(AND(MID($Q40,6,1)&gt;="0",MID($Q40,6,1)&lt;="9"),MID($Q40,6,1)=".")),5,6)))))))),0)))</f>
        <v>30</v>
      </c>
      <c r="S40" s="218">
        <f>IF($Q40="",-1,IF(ISNUMBER(SEARCH("immediate",$Q40)),0,IF(ISNUMBER(SEARCH("month",$Q40)),IF($R40=0,-1,$R40*30),IF(ISNUMBER(SEARCH("day",$Q40)),IF($R40=0,-1,$R40),-1))))</f>
        <v>30</v>
      </c>
      <c r="T40" s="214" t="str">
        <f>IF($B40="","",IF($S40&lt;0,"Not recorded",IF($S40=0,"Immediate",IF($S40&lt;=30,"1-30 days",IF($S40&lt;=60,"31-60 days","60+ days")))))</f>
        <v>1-30 days</v>
      </c>
      <c r="U40" s="214">
        <f>IF($B40="","",IFERROR(MATCH($B40,'Submission template'!$D$17:$D$300,0),""))</f>
        <v>20</v>
      </c>
      <c r="V40" s="214" t="str">
        <f>IF($U40="","",IFERROR(TRIM(INDEX('Submission template'!$I$17:$I$300,$U40)),""))</f>
        <v>3.2 yrs</v>
      </c>
      <c r="W40" s="219">
        <f>IF($V40="",0,IF(ISNUMBER(SEARCH("%",$V40)),0,IFERROR(VALUE(LEFT($V40,IF(NOT(OR(AND(MID($V40,1,1)&gt;="0",MID($V40,1,1)&lt;="9"),MID($V40,1,1)=".")),0,IF(NOT(OR(AND(MID($V40,2,1)&gt;="0",MID($V40,2,1)&lt;="9"),MID($V40,2,1)=".")),1,IF(NOT(OR(AND(MID($V40,3,1)&gt;="0",MID($V40,3,1)&lt;="9"),MID($V40,3,1)=".")),2,IF(NOT(OR(AND(MID($V40,4,1)&gt;="0",MID($V40,4,1)&lt;="9"),MID($V40,4,1)=".")),3,IF(NOT(OR(AND(MID($V40,5,1)&gt;="0",MID($V40,5,1)&lt;="9"),MID($V40,5,1)=".")),4,IF(NOT(OR(AND(MID($V40,6,1)&gt;="0",MID($V40,6,1)&lt;="9"),MID($V40,6,1)=".")),5,6)))))))),0)))</f>
        <v>3.2</v>
      </c>
      <c r="X40" s="214" t="str">
        <f>IF($U40="","",IFERROR(TRIM(INDEX('Submission template'!$J$17:$J$300,$U40)),""))</f>
        <v>React 3.2 Y + Node 3.2 y</v>
      </c>
      <c r="Y40" s="214" t="str">
        <f>IF($U40="","",IFERROR(TRIM(INDEX('Submission template'!$K$17:$K$300,$U40)),""))</f>
        <v>NXGEN Technology AG</v>
      </c>
      <c r="Z40" s="214" t="str">
        <f>IF($U40="","",IFERROR(TRIM(INDEX('Submission template'!$M$17:$M$300,$U40)),""))</f>
        <v>Full Stack Engineer</v>
      </c>
      <c r="AA40" s="214" t="str">
        <f>IF($U40="","",IFERROR(TRIM(INDEX('Submission template'!$O$17:$O$300,$U40)),""))</f>
        <v>Chennai</v>
      </c>
      <c r="AB40" s="214" t="str">
        <f>IF($U40="","",IFERROR(TRIM(INDEX('Submission template'!$S$17:$S$300,$U40)),""))</f>
        <v>Career Growth</v>
      </c>
      <c r="AC40" s="214">
        <f>IF($B40="",0,IF($U40="",0,1))</f>
        <v>1</v>
      </c>
      <c r="AD40" s="214">
        <f>IF($B40="",0,IF(OR($H40=TargetLocation,AND($AA40&lt;&gt;"",ISNUMBER(SEARCH(TargetLocation,$AA40)))),1,0))</f>
        <v>1</v>
      </c>
      <c r="AE40" s="214">
        <f>IF($B40="",0,IF(AND(OR(SelRecruiter="All",$C40=SelRecruiter),OR(SelCity="All",$H40=SelCity),OR(SelStage="All",$I40=SelStage),OR(SelRequisition="All",$F40=SelRequisition)),1,0))</f>
        <v>1</v>
      </c>
      <c r="AF40" s="214">
        <f>IF($B40="","",COUNT($AF$5:AF39)+1)</f>
        <v>35</v>
      </c>
      <c r="AG40" s="214">
        <f>IF($C40="","",IF(COUNTIF($C$6:$C40,$C40)=1,COUNT($AG$5:AG39)+1,""))</f>
      </c>
      <c r="AH40" s="214">
        <f>IF($F40="","",IF(COUNTIF($F$6:$F40,$F40)=1,COUNT($AH$5:AH39)+1,""))</f>
      </c>
      <c r="AI40" s="214">
        <f>IF($H40="","",IF(COUNTIF($H$6:$H40,$H40)=1,COUNT($AI$5:AI39)+1,""))</f>
      </c>
      <c r="AJ40" s="214">
        <f>IF(OR($B40="",$J40=0),"",$J40*100000000+IF(ISNUMBER($D40),$D40,0)*1000+(170-$A40))</f>
        <v>246247135</v>
      </c>
      <c r="AK40" s="214">
        <f>IF(OR($B40="",$W40&lt;=0),"",ROUND($W40*10,0)*100000+(170-$A40))</f>
        <v>3200135</v>
      </c>
      <c r="AL40" s="214">
        <f>IF(OR($B40="",$P40&lt;=0),"",ROUND($P40*10000,0)*1000+(170-$A40))</f>
      </c>
      <c r="AM40" s="214">
        <f>IF(AND($W40&gt;0,$O40&gt;0),COUNT($AM$5:AM39)+1,"")</f>
      </c>
      <c r="AN40">
        <f>IF($B40="",0,IF($G40="",0,SUMPRODUCT(MAX(ISNUMBER(SEARCH(LocPattern,$G40))*LocIdx))))</f>
        <v>4</v>
      </c>
      <c r="BD40">
        <f>IFERROR(INDEX($W$6:$W$125,MATCH(35,$AM$6:$AM$125,0)),"")</f>
      </c>
      <c r="BE40">
        <f>IFERROR(INDEX($O$6:$O$125,MATCH(35,$AM$6:$AM$125,0)),"")</f>
      </c>
      <c r="BF40">
        <f>IFERROR(INDEX($B$6:$B$125,MATCH(35,$AM$6:$AM$125,0)),"")</f>
      </c>
      <c r="BL40" t="str">
        <f>IFERROR(INDEX($B$6:$B$125,MATCH(35,$AF$6:$AF$125,0)),"")</f>
        <v>Aakash Chandra</v>
      </c>
    </row>
    <row r="41">
      <c r="A41" s="220" t="n">
        <v>36</v>
      </c>
      <c r="B41" s="220" t="str">
        <f>IF(TRIM('Master Data-2026'!D37)="","",TRIM('Master Data-2026'!D37))</f>
        <v>Yuvarani A</v>
      </c>
      <c r="C41" s="220" t="str">
        <f>IF($B41="","",TRIM('Master Data-2026'!A37))</f>
        <v>Ananthy</v>
      </c>
      <c r="D41" s="221">
        <f>IF($B41="","",IF('Master Data-2026'!B37="","",'Master Data-2026'!B37))</f>
        <v>46248</v>
      </c>
      <c r="E41" s="220" t="str">
        <f>IF($B41="","",TRIM('Master Data-2026'!C37))</f>
        <v>August</v>
      </c>
      <c r="F41" s="220" t="str">
        <f>IF($B41="","",TRIM('Master Data-2026'!G37))</f>
        <v>Full Stack Developer</v>
      </c>
      <c r="G41" s="220" t="str">
        <f>IF($B41="","",TRIM('Master Data-2026'!F37))</f>
        <v>Porur</v>
      </c>
      <c r="H41" s="220" t="str">
        <f>IF($B41="","",IF($G41="","Not recorded",IF($AN41=0,"Other",INDEX(LocCity,$AN41))))</f>
        <v>Chennai</v>
      </c>
      <c r="I41" s="220" t="str">
        <f>IF($B41="","",TRIM('Master Data-2026'!H37))</f>
        <v>Telephonic Screening</v>
      </c>
      <c r="J41" s="220">
        <f>IF($B41="",0,IFERROR(INDEX(StageOrderRef,MATCH($I41,StageNameRef,0)),0))</f>
        <v>1</v>
      </c>
      <c r="K41" s="220" t="str">
        <f>IF($B41="","",TRIM('Master Data-2026'!I37))</f>
        <v>JD sent awaiting response</v>
      </c>
      <c r="L41" s="220" t="str">
        <f>IF($B41="","",TRIM('Master Data-2026'!J37))</f>
        <v>20.43 LPA + Variables</v>
      </c>
      <c r="M41" s="222">
        <f>IF($L41="",0,IF(ISNUMBER(SEARCH("%",$L41)),0,IFERROR(VALUE(LEFT($L41,IF(NOT(OR(AND(MID($L41,1,1)&gt;="0",MID($L41,1,1)&lt;="9"),MID($L41,1,1)=".")),0,IF(NOT(OR(AND(MID($L41,2,1)&gt;="0",MID($L41,2,1)&lt;="9"),MID($L41,2,1)=".")),1,IF(NOT(OR(AND(MID($L41,3,1)&gt;="0",MID($L41,3,1)&lt;="9"),MID($L41,3,1)=".")),2,IF(NOT(OR(AND(MID($L41,4,1)&gt;="0",MID($L41,4,1)&lt;="9"),MID($L41,4,1)=".")),3,IF(NOT(OR(AND(MID($L41,5,1)&gt;="0",MID($L41,5,1)&lt;="9"),MID($L41,5,1)=".")),4,IF(NOT(OR(AND(MID($L41,6,1)&gt;="0",MID($L41,6,1)&lt;="9"),MID($L41,6,1)=".")),5,6)))))))),0)))</f>
        <v>20.43</v>
      </c>
      <c r="N41" s="220" t="str">
        <f>IF($B41="","",TRIM('Master Data-2026'!K37))</f>
        <v>26 LPA (nego)</v>
      </c>
      <c r="O41" s="222">
        <f>IF($N41="",0,IF(ISNUMBER(SEARCH("%",$N41)),0,IFERROR(VALUE(LEFT($N41,IF(NOT(OR(AND(MID($N41,1,1)&gt;="0",MID($N41,1,1)&lt;="9"),MID($N41,1,1)=".")),0,IF(NOT(OR(AND(MID($N41,2,1)&gt;="0",MID($N41,2,1)&lt;="9"),MID($N41,2,1)=".")),1,IF(NOT(OR(AND(MID($N41,3,1)&gt;="0",MID($N41,3,1)&lt;="9"),MID($N41,3,1)=".")),2,IF(NOT(OR(AND(MID($N41,4,1)&gt;="0",MID($N41,4,1)&lt;="9"),MID($N41,4,1)=".")),3,IF(NOT(OR(AND(MID($N41,5,1)&gt;="0",MID($N41,5,1)&lt;="9"),MID($N41,5,1)=".")),4,IF(NOT(OR(AND(MID($N41,6,1)&gt;="0",MID($N41,6,1)&lt;="9"),MID($N41,6,1)=".")),5,6)))))))),0)))</f>
        <v>26</v>
      </c>
      <c r="P41" s="223">
        <f>IF(AND($M41&gt;0,$O41&gt;0),$O41/$M41-1,0)</f>
        <v>0.27263827704356336</v>
      </c>
      <c r="Q41" s="220" t="str">
        <f>IF($B41="","",TRIM('Master Data-2026'!L37))</f>
        <v>60 days (nego to 45 days)</v>
      </c>
      <c r="R41" s="220">
        <f>IF($Q41="",0,IF(ISNUMBER(SEARCH("%",$Q41)),0,IFERROR(VALUE(LEFT($Q41,IF(NOT(OR(AND(MID($Q41,1,1)&gt;="0",MID($Q41,1,1)&lt;="9"),MID($Q41,1,1)=".")),0,IF(NOT(OR(AND(MID($Q41,2,1)&gt;="0",MID($Q41,2,1)&lt;="9"),MID($Q41,2,1)=".")),1,IF(NOT(OR(AND(MID($Q41,3,1)&gt;="0",MID($Q41,3,1)&lt;="9"),MID($Q41,3,1)=".")),2,IF(NOT(OR(AND(MID($Q41,4,1)&gt;="0",MID($Q41,4,1)&lt;="9"),MID($Q41,4,1)=".")),3,IF(NOT(OR(AND(MID($Q41,5,1)&gt;="0",MID($Q41,5,1)&lt;="9"),MID($Q41,5,1)=".")),4,IF(NOT(OR(AND(MID($Q41,6,1)&gt;="0",MID($Q41,6,1)&lt;="9"),MID($Q41,6,1)=".")),5,6)))))))),0)))</f>
        <v>60</v>
      </c>
      <c r="S41" s="224">
        <f>IF($Q41="",-1,IF(ISNUMBER(SEARCH("immediate",$Q41)),0,IF(ISNUMBER(SEARCH("month",$Q41)),IF($R41=0,-1,$R41*30),IF(ISNUMBER(SEARCH("day",$Q41)),IF($R41=0,-1,$R41),-1))))</f>
        <v>60</v>
      </c>
      <c r="T41" s="220" t="str">
        <f>IF($B41="","",IF($S41&lt;0,"Not recorded",IF($S41=0,"Immediate",IF($S41&lt;=30,"1-30 days",IF($S41&lt;=60,"31-60 days","60+ days")))))</f>
        <v>31-60 days</v>
      </c>
      <c r="U41" s="220">
        <f>IF($B41="","",IFERROR(MATCH($B41,'Submission template'!$D$17:$D$300,0),""))</f>
      </c>
      <c r="V41" s="220">
        <f>IF($U41="","",IFERROR(TRIM(INDEX('Submission template'!$I$17:$I$300,$U41)),""))</f>
      </c>
      <c r="W41" s="225">
        <f>IF($V41="",0,IF(ISNUMBER(SEARCH("%",$V41)),0,IFERROR(VALUE(LEFT($V41,IF(NOT(OR(AND(MID($V41,1,1)&gt;="0",MID($V41,1,1)&lt;="9"),MID($V41,1,1)=".")),0,IF(NOT(OR(AND(MID($V41,2,1)&gt;="0",MID($V41,2,1)&lt;="9"),MID($V41,2,1)=".")),1,IF(NOT(OR(AND(MID($V41,3,1)&gt;="0",MID($V41,3,1)&lt;="9"),MID($V41,3,1)=".")),2,IF(NOT(OR(AND(MID($V41,4,1)&gt;="0",MID($V41,4,1)&lt;="9"),MID($V41,4,1)=".")),3,IF(NOT(OR(AND(MID($V41,5,1)&gt;="0",MID($V41,5,1)&lt;="9"),MID($V41,5,1)=".")),4,IF(NOT(OR(AND(MID($V41,6,1)&gt;="0",MID($V41,6,1)&lt;="9"),MID($V41,6,1)=".")),5,6)))))))),0)))</f>
        <v>0</v>
      </c>
      <c r="X41" s="220">
        <f>IF($U41="","",IFERROR(TRIM(INDEX('Submission template'!$J$17:$J$300,$U41)),""))</f>
      </c>
      <c r="Y41" s="220">
        <f>IF($U41="","",IFERROR(TRIM(INDEX('Submission template'!$K$17:$K$300,$U41)),""))</f>
      </c>
      <c r="Z41" s="220">
        <f>IF($U41="","",IFERROR(TRIM(INDEX('Submission template'!$M$17:$M$300,$U41)),""))</f>
      </c>
      <c r="AA41" s="220">
        <f>IF($U41="","",IFERROR(TRIM(INDEX('Submission template'!$O$17:$O$300,$U41)),""))</f>
      </c>
      <c r="AB41" s="220">
        <f>IF($U41="","",IFERROR(TRIM(INDEX('Submission template'!$S$17:$S$300,$U41)),""))</f>
      </c>
      <c r="AC41" s="220">
        <f>IF($B41="",0,IF($U41="",0,1))</f>
        <v>0</v>
      </c>
      <c r="AD41" s="220">
        <f>IF($B41="",0,IF(OR($H41=TargetLocation,AND($AA41&lt;&gt;"",ISNUMBER(SEARCH(TargetLocation,$AA41)))),1,0))</f>
        <v>1</v>
      </c>
      <c r="AE41" s="220">
        <f>IF($B41="",0,IF(AND(OR(SelRecruiter="All",$C41=SelRecruiter),OR(SelCity="All",$H41=SelCity),OR(SelStage="All",$I41=SelStage),OR(SelRequisition="All",$F41=SelRequisition)),1,0))</f>
        <v>1</v>
      </c>
      <c r="AF41" s="220">
        <f>IF($B41="","",COUNT($AF$5:AF40)+1)</f>
        <v>36</v>
      </c>
      <c r="AG41" s="220">
        <f>IF($C41="","",IF(COUNTIF($C$6:$C41,$C41)=1,COUNT($AG$5:AG40)+1,""))</f>
      </c>
      <c r="AH41" s="220">
        <f>IF($F41="","",IF(COUNTIF($F$6:$F41,$F41)=1,COUNT($AH$5:AH40)+1,""))</f>
      </c>
      <c r="AI41" s="220">
        <f>IF($H41="","",IF(COUNTIF($H$6:$H41,$H41)=1,COUNT($AI$5:AI40)+1,""))</f>
      </c>
      <c r="AJ41" s="220">
        <f>IF(OR($B41="",$J41=0),"",$J41*100000000+IF(ISNUMBER($D41),$D41,0)*1000+(170-$A41))</f>
        <v>146248134</v>
      </c>
      <c r="AK41" s="220">
        <f>IF(OR($B41="",$W41&lt;=0),"",ROUND($W41*10,0)*100000+(170-$A41))</f>
      </c>
      <c r="AL41" s="220">
        <f>IF(OR($B41="",$P41&lt;=0),"",ROUND($P41*10000,0)*1000+(170-$A41))</f>
        <v>2726134</v>
      </c>
      <c r="AM41" s="220">
        <f>IF(AND($W41&gt;0,$O41&gt;0),COUNT($AM$5:AM40)+1,"")</f>
      </c>
      <c r="AN41">
        <f>IF($B41="",0,IF($G41="",0,SUMPRODUCT(MAX(ISNUMBER(SEARCH(LocPattern,$G41))*LocIdx))))</f>
        <v>3</v>
      </c>
      <c r="BD41">
        <f>IFERROR(INDEX($W$6:$W$125,MATCH(36,$AM$6:$AM$125,0)),"")</f>
      </c>
      <c r="BE41">
        <f>IFERROR(INDEX($O$6:$O$125,MATCH(36,$AM$6:$AM$125,0)),"")</f>
      </c>
      <c r="BF41">
        <f>IFERROR(INDEX($B$6:$B$125,MATCH(36,$AM$6:$AM$125,0)),"")</f>
      </c>
      <c r="BL41" t="str">
        <f>IFERROR(INDEX($B$6:$B$125,MATCH(36,$AF$6:$AF$125,0)),"")</f>
        <v>Yuvarani A</v>
      </c>
    </row>
    <row r="42">
      <c r="A42" s="214" t="n">
        <v>37</v>
      </c>
      <c r="B42" s="214" t="str">
        <f>IF(TRIM('Master Data-2026'!D38)="","",TRIM('Master Data-2026'!D38))</f>
        <v>Santhosh S</v>
      </c>
      <c r="C42" s="214" t="str">
        <f>IF($B42="","",TRIM('Master Data-2026'!A38))</f>
        <v>Kirthi</v>
      </c>
      <c r="D42" s="215">
        <f>IF($B42="","",IF('Master Data-2026'!B38="","",'Master Data-2026'!B38))</f>
        <v>46248</v>
      </c>
      <c r="E42" s="214" t="str">
        <f>IF($B42="","",TRIM('Master Data-2026'!C38))</f>
        <v>August</v>
      </c>
      <c r="F42" s="214" t="str">
        <f>IF($B42="","",TRIM('Master Data-2026'!G38))</f>
        <v>Full Stack Developer</v>
      </c>
      <c r="G42" s="214" t="str">
        <f>IF($B42="","",TRIM('Master Data-2026'!F38))</f>
        <v>KK Nagar, Chennai</v>
      </c>
      <c r="H42" s="214" t="str">
        <f>IF($B42="","",IF($G42="","Not recorded",IF($AN42=0,"Other",INDEX(LocCity,$AN42))))</f>
        <v>Chennai</v>
      </c>
      <c r="I42" s="214" t="str">
        <f>IF($B42="","",TRIM('Master Data-2026'!H38))</f>
        <v>Telephonic Screening</v>
      </c>
      <c r="J42" s="214">
        <f>IF($B42="",0,IFERROR(INDEX(StageOrderRef,MATCH($I42,StageNameRef,0)),0))</f>
        <v>1</v>
      </c>
      <c r="K42" s="214" t="str">
        <f>IF($B42="","",TRIM('Master Data-2026'!I38))</f>
        <v>JD sent awaiting response</v>
      </c>
      <c r="L42" s="214" t="str">
        <f>IF($B42="","",TRIM('Master Data-2026'!J38))</f>
        <v>17.5 LPA</v>
      </c>
      <c r="M42" s="216">
        <f>IF($L42="",0,IF(ISNUMBER(SEARCH("%",$L42)),0,IFERROR(VALUE(LEFT($L42,IF(NOT(OR(AND(MID($L42,1,1)&gt;="0",MID($L42,1,1)&lt;="9"),MID($L42,1,1)=".")),0,IF(NOT(OR(AND(MID($L42,2,1)&gt;="0",MID($L42,2,1)&lt;="9"),MID($L42,2,1)=".")),1,IF(NOT(OR(AND(MID($L42,3,1)&gt;="0",MID($L42,3,1)&lt;="9"),MID($L42,3,1)=".")),2,IF(NOT(OR(AND(MID($L42,4,1)&gt;="0",MID($L42,4,1)&lt;="9"),MID($L42,4,1)=".")),3,IF(NOT(OR(AND(MID($L42,5,1)&gt;="0",MID($L42,5,1)&lt;="9"),MID($L42,5,1)=".")),4,IF(NOT(OR(AND(MID($L42,6,1)&gt;="0",MID($L42,6,1)&lt;="9"),MID($L42,6,1)=".")),5,6)))))))),0)))</f>
        <v>17.5</v>
      </c>
      <c r="N42" s="214" t="str">
        <f>IF($B42="","",TRIM('Master Data-2026'!K38))</f>
        <v>24 LPA (nego)</v>
      </c>
      <c r="O42" s="216">
        <f>IF($N42="",0,IF(ISNUMBER(SEARCH("%",$N42)),0,IFERROR(VALUE(LEFT($N42,IF(NOT(OR(AND(MID($N42,1,1)&gt;="0",MID($N42,1,1)&lt;="9"),MID($N42,1,1)=".")),0,IF(NOT(OR(AND(MID($N42,2,1)&gt;="0",MID($N42,2,1)&lt;="9"),MID($N42,2,1)=".")),1,IF(NOT(OR(AND(MID($N42,3,1)&gt;="0",MID($N42,3,1)&lt;="9"),MID($N42,3,1)=".")),2,IF(NOT(OR(AND(MID($N42,4,1)&gt;="0",MID($N42,4,1)&lt;="9"),MID($N42,4,1)=".")),3,IF(NOT(OR(AND(MID($N42,5,1)&gt;="0",MID($N42,5,1)&lt;="9"),MID($N42,5,1)=".")),4,IF(NOT(OR(AND(MID($N42,6,1)&gt;="0",MID($N42,6,1)&lt;="9"),MID($N42,6,1)=".")),5,6)))))))),0)))</f>
        <v>24</v>
      </c>
      <c r="P42" s="217">
        <f>IF(AND($M42&gt;0,$O42&gt;0),$O42/$M42-1,0)</f>
        <v>0.37142857142857144</v>
      </c>
      <c r="Q42" s="214" t="str">
        <f>IF($B42="","",TRIM('Master Data-2026'!L38))</f>
        <v>30 days (negotiable)</v>
      </c>
      <c r="R42" s="214">
        <f>IF($Q42="",0,IF(ISNUMBER(SEARCH("%",$Q42)),0,IFERROR(VALUE(LEFT($Q42,IF(NOT(OR(AND(MID($Q42,1,1)&gt;="0",MID($Q42,1,1)&lt;="9"),MID($Q42,1,1)=".")),0,IF(NOT(OR(AND(MID($Q42,2,1)&gt;="0",MID($Q42,2,1)&lt;="9"),MID($Q42,2,1)=".")),1,IF(NOT(OR(AND(MID($Q42,3,1)&gt;="0",MID($Q42,3,1)&lt;="9"),MID($Q42,3,1)=".")),2,IF(NOT(OR(AND(MID($Q42,4,1)&gt;="0",MID($Q42,4,1)&lt;="9"),MID($Q42,4,1)=".")),3,IF(NOT(OR(AND(MID($Q42,5,1)&gt;="0",MID($Q42,5,1)&lt;="9"),MID($Q42,5,1)=".")),4,IF(NOT(OR(AND(MID($Q42,6,1)&gt;="0",MID($Q42,6,1)&lt;="9"),MID($Q42,6,1)=".")),5,6)))))))),0)))</f>
        <v>30</v>
      </c>
      <c r="S42" s="218">
        <f>IF($Q42="",-1,IF(ISNUMBER(SEARCH("immediate",$Q42)),0,IF(ISNUMBER(SEARCH("month",$Q42)),IF($R42=0,-1,$R42*30),IF(ISNUMBER(SEARCH("day",$Q42)),IF($R42=0,-1,$R42),-1))))</f>
        <v>30</v>
      </c>
      <c r="T42" s="214" t="str">
        <f>IF($B42="","",IF($S42&lt;0,"Not recorded",IF($S42=0,"Immediate",IF($S42&lt;=30,"1-30 days",IF($S42&lt;=60,"31-60 days","60+ days")))))</f>
        <v>1-30 days</v>
      </c>
      <c r="U42" s="214">
        <f>IF($B42="","",IFERROR(MATCH($B42,'Submission template'!$D$17:$D$300,0),""))</f>
        <v>25</v>
      </c>
      <c r="V42" s="214" t="str">
        <f>IF($U42="","",IFERROR(TRIM(INDEX('Submission template'!$I$17:$I$300,$U42)),""))</f>
        <v>4.11 Years</v>
      </c>
      <c r="W42" s="219">
        <f>IF($V42="",0,IF(ISNUMBER(SEARCH("%",$V42)),0,IFERROR(VALUE(LEFT($V42,IF(NOT(OR(AND(MID($V42,1,1)&gt;="0",MID($V42,1,1)&lt;="9"),MID($V42,1,1)=".")),0,IF(NOT(OR(AND(MID($V42,2,1)&gt;="0",MID($V42,2,1)&lt;="9"),MID($V42,2,1)=".")),1,IF(NOT(OR(AND(MID($V42,3,1)&gt;="0",MID($V42,3,1)&lt;="9"),MID($V42,3,1)=".")),2,IF(NOT(OR(AND(MID($V42,4,1)&gt;="0",MID($V42,4,1)&lt;="9"),MID($V42,4,1)=".")),3,IF(NOT(OR(AND(MID($V42,5,1)&gt;="0",MID($V42,5,1)&lt;="9"),MID($V42,5,1)=".")),4,IF(NOT(OR(AND(MID($V42,6,1)&gt;="0",MID($V42,6,1)&lt;="9"),MID($V42,6,1)=".")),5,6)))))))),0)))</f>
        <v>4.11</v>
      </c>
      <c r="X42" s="214" t="str">
        <f>IF($U42="","",IFERROR(TRIM(INDEX('Submission template'!$J$17:$J$300,$U42)),""))</f>
        <v>React 4.11 Y + Node 4.11 Y</v>
      </c>
      <c r="Y42" s="214" t="str">
        <f>IF($U42="","",IFERROR(TRIM(INDEX('Submission template'!$K$17:$K$300,$U42)),""))</f>
        <v>Ideas2IT Technologies</v>
      </c>
      <c r="Z42" s="214" t="str">
        <f>IF($U42="","",IFERROR(TRIM(INDEX('Submission template'!$M$17:$M$300,$U42)),""))</f>
        <v>Senior Software Engineer</v>
      </c>
      <c r="AA42" s="214" t="str">
        <f>IF($U42="","",IFERROR(TRIM(INDEX('Submission template'!$O$17:$O$300,$U42)),""))</f>
        <v>Chennai</v>
      </c>
      <c r="AB42" s="214" t="str">
        <f>IF($U42="","",IFERROR(TRIM(INDEX('Submission template'!$S$17:$S$300,$U42)),""))</f>
        <v>Career Growth</v>
      </c>
      <c r="AC42" s="214">
        <f>IF($B42="",0,IF($U42="",0,1))</f>
        <v>1</v>
      </c>
      <c r="AD42" s="214">
        <f>IF($B42="",0,IF(OR($H42=TargetLocation,AND($AA42&lt;&gt;"",ISNUMBER(SEARCH(TargetLocation,$AA42)))),1,0))</f>
        <v>1</v>
      </c>
      <c r="AE42" s="214">
        <f>IF($B42="",0,IF(AND(OR(SelRecruiter="All",$C42=SelRecruiter),OR(SelCity="All",$H42=SelCity),OR(SelStage="All",$I42=SelStage),OR(SelRequisition="All",$F42=SelRequisition)),1,0))</f>
        <v>1</v>
      </c>
      <c r="AF42" s="214">
        <f>IF($B42="","",COUNT($AF$5:AF41)+1)</f>
        <v>37</v>
      </c>
      <c r="AG42" s="214">
        <f>IF($C42="","",IF(COUNTIF($C$6:$C42,$C42)=1,COUNT($AG$5:AG41)+1,""))</f>
      </c>
      <c r="AH42" s="214">
        <f>IF($F42="","",IF(COUNTIF($F$6:$F42,$F42)=1,COUNT($AH$5:AH41)+1,""))</f>
      </c>
      <c r="AI42" s="214">
        <f>IF($H42="","",IF(COUNTIF($H$6:$H42,$H42)=1,COUNT($AI$5:AI41)+1,""))</f>
      </c>
      <c r="AJ42" s="214">
        <f>IF(OR($B42="",$J42=0),"",$J42*100000000+IF(ISNUMBER($D42),$D42,0)*1000+(170-$A42))</f>
        <v>146248133</v>
      </c>
      <c r="AK42" s="214">
        <f>IF(OR($B42="",$W42&lt;=0),"",ROUND($W42*10,0)*100000+(170-$A42))</f>
        <v>4100133</v>
      </c>
      <c r="AL42" s="214">
        <f>IF(OR($B42="",$P42&lt;=0),"",ROUND($P42*10000,0)*1000+(170-$A42))</f>
        <v>3714133</v>
      </c>
      <c r="AM42" s="214">
        <f>IF(AND($W42&gt;0,$O42&gt;0),COUNT($AM$5:AM41)+1,"")</f>
        <v>18</v>
      </c>
      <c r="AN42">
        <f>IF($B42="",0,IF($G42="",0,SUMPRODUCT(MAX(ISNUMBER(SEARCH(LocPattern,$G42))*LocIdx))))</f>
        <v>16</v>
      </c>
      <c r="BD42">
        <f>IFERROR(INDEX($W$6:$W$125,MATCH(37,$AM$6:$AM$125,0)),"")</f>
      </c>
      <c r="BE42">
        <f>IFERROR(INDEX($O$6:$O$125,MATCH(37,$AM$6:$AM$125,0)),"")</f>
      </c>
      <c r="BF42">
        <f>IFERROR(INDEX($B$6:$B$125,MATCH(37,$AM$6:$AM$125,0)),"")</f>
      </c>
      <c r="BL42" t="str">
        <f>IFERROR(INDEX($B$6:$B$125,MATCH(37,$AF$6:$AF$125,0)),"")</f>
        <v>Santhosh S</v>
      </c>
    </row>
    <row r="43">
      <c r="A43" s="220" t="n">
        <v>38</v>
      </c>
      <c r="B43" s="220" t="str">
        <f>IF(TRIM('Master Data-2026'!D39)="","",TRIM('Master Data-2026'!D39))</f>
        <v>YOESWIN SELVARAJ E</v>
      </c>
      <c r="C43" s="220" t="str">
        <f>IF($B43="","",TRIM('Master Data-2026'!A39))</f>
        <v>Kirthi</v>
      </c>
      <c r="D43" s="221">
        <f>IF($B43="","",IF('Master Data-2026'!B39="","",'Master Data-2026'!B39))</f>
        <v>46248</v>
      </c>
      <c r="E43" s="220" t="str">
        <f>IF($B43="","",TRIM('Master Data-2026'!C39))</f>
        <v>August</v>
      </c>
      <c r="F43" s="220">
        <f>IF($B43="","",TRIM('Master Data-2026'!G39))</f>
      </c>
      <c r="G43" s="220">
        <f>IF($B43="","",TRIM('Master Data-2026'!F39))</f>
      </c>
      <c r="H43" s="220" t="str">
        <f>IF($B43="","",IF($G43="","Not recorded",IF($AN43=0,"Other",INDEX(LocCity,$AN43))))</f>
        <v>Not recorded</v>
      </c>
      <c r="I43" s="220" t="str">
        <f>IF($B43="","",TRIM('Master Data-2026'!H39))</f>
        <v>Telephonic Screening</v>
      </c>
      <c r="J43" s="220">
        <f>IF($B43="",0,IFERROR(INDEX(StageOrderRef,MATCH($I43,StageNameRef,0)),0))</f>
        <v>1</v>
      </c>
      <c r="K43" s="220">
        <f>IF($B43="","",TRIM('Master Data-2026'!I39))</f>
      </c>
      <c r="L43" s="220">
        <f>IF($B43="","",TRIM('Master Data-2026'!J39))</f>
      </c>
      <c r="M43" s="222">
        <f>IF($L43="",0,IF(ISNUMBER(SEARCH("%",$L43)),0,IFERROR(VALUE(LEFT($L43,IF(NOT(OR(AND(MID($L43,1,1)&gt;="0",MID($L43,1,1)&lt;="9"),MID($L43,1,1)=".")),0,IF(NOT(OR(AND(MID($L43,2,1)&gt;="0",MID($L43,2,1)&lt;="9"),MID($L43,2,1)=".")),1,IF(NOT(OR(AND(MID($L43,3,1)&gt;="0",MID($L43,3,1)&lt;="9"),MID($L43,3,1)=".")),2,IF(NOT(OR(AND(MID($L43,4,1)&gt;="0",MID($L43,4,1)&lt;="9"),MID($L43,4,1)=".")),3,IF(NOT(OR(AND(MID($L43,5,1)&gt;="0",MID($L43,5,1)&lt;="9"),MID($L43,5,1)=".")),4,IF(NOT(OR(AND(MID($L43,6,1)&gt;="0",MID($L43,6,1)&lt;="9"),MID($L43,6,1)=".")),5,6)))))))),0)))</f>
        <v>0</v>
      </c>
      <c r="N43" s="220">
        <f>IF($B43="","",TRIM('Master Data-2026'!K39))</f>
      </c>
      <c r="O43" s="222">
        <f>IF($N43="",0,IF(ISNUMBER(SEARCH("%",$N43)),0,IFERROR(VALUE(LEFT($N43,IF(NOT(OR(AND(MID($N43,1,1)&gt;="0",MID($N43,1,1)&lt;="9"),MID($N43,1,1)=".")),0,IF(NOT(OR(AND(MID($N43,2,1)&gt;="0",MID($N43,2,1)&lt;="9"),MID($N43,2,1)=".")),1,IF(NOT(OR(AND(MID($N43,3,1)&gt;="0",MID($N43,3,1)&lt;="9"),MID($N43,3,1)=".")),2,IF(NOT(OR(AND(MID($N43,4,1)&gt;="0",MID($N43,4,1)&lt;="9"),MID($N43,4,1)=".")),3,IF(NOT(OR(AND(MID($N43,5,1)&gt;="0",MID($N43,5,1)&lt;="9"),MID($N43,5,1)=".")),4,IF(NOT(OR(AND(MID($N43,6,1)&gt;="0",MID($N43,6,1)&lt;="9"),MID($N43,6,1)=".")),5,6)))))))),0)))</f>
        <v>0</v>
      </c>
      <c r="P43" s="223">
        <f>IF(AND($M43&gt;0,$O43&gt;0),$O43/$M43-1,0)</f>
        <v>0</v>
      </c>
      <c r="Q43" s="220">
        <f>IF($B43="","",TRIM('Master Data-2026'!L39))</f>
      </c>
      <c r="R43" s="220">
        <f>IF($Q43="",0,IF(ISNUMBER(SEARCH("%",$Q43)),0,IFERROR(VALUE(LEFT($Q43,IF(NOT(OR(AND(MID($Q43,1,1)&gt;="0",MID($Q43,1,1)&lt;="9"),MID($Q43,1,1)=".")),0,IF(NOT(OR(AND(MID($Q43,2,1)&gt;="0",MID($Q43,2,1)&lt;="9"),MID($Q43,2,1)=".")),1,IF(NOT(OR(AND(MID($Q43,3,1)&gt;="0",MID($Q43,3,1)&lt;="9"),MID($Q43,3,1)=".")),2,IF(NOT(OR(AND(MID($Q43,4,1)&gt;="0",MID($Q43,4,1)&lt;="9"),MID($Q43,4,1)=".")),3,IF(NOT(OR(AND(MID($Q43,5,1)&gt;="0",MID($Q43,5,1)&lt;="9"),MID($Q43,5,1)=".")),4,IF(NOT(OR(AND(MID($Q43,6,1)&gt;="0",MID($Q43,6,1)&lt;="9"),MID($Q43,6,1)=".")),5,6)))))))),0)))</f>
        <v>0</v>
      </c>
      <c r="S43" s="224">
        <f>IF($Q43="",-1,IF(ISNUMBER(SEARCH("immediate",$Q43)),0,IF(ISNUMBER(SEARCH("month",$Q43)),IF($R43=0,-1,$R43*30),IF(ISNUMBER(SEARCH("day",$Q43)),IF($R43=0,-1,$R43),-1))))</f>
        <v>-1</v>
      </c>
      <c r="T43" s="220" t="str">
        <f>IF($B43="","",IF($S43&lt;0,"Not recorded",IF($S43=0,"Immediate",IF($S43&lt;=30,"1-30 days",IF($S43&lt;=60,"31-60 days","60+ days")))))</f>
        <v>Not recorded</v>
      </c>
      <c r="U43" s="220">
        <f>IF($B43="","",IFERROR(MATCH($B43,'Submission template'!$D$17:$D$300,0),""))</f>
      </c>
      <c r="V43" s="220">
        <f>IF($U43="","",IFERROR(TRIM(INDEX('Submission template'!$I$17:$I$300,$U43)),""))</f>
      </c>
      <c r="W43" s="225">
        <f>IF($V43="",0,IF(ISNUMBER(SEARCH("%",$V43)),0,IFERROR(VALUE(LEFT($V43,IF(NOT(OR(AND(MID($V43,1,1)&gt;="0",MID($V43,1,1)&lt;="9"),MID($V43,1,1)=".")),0,IF(NOT(OR(AND(MID($V43,2,1)&gt;="0",MID($V43,2,1)&lt;="9"),MID($V43,2,1)=".")),1,IF(NOT(OR(AND(MID($V43,3,1)&gt;="0",MID($V43,3,1)&lt;="9"),MID($V43,3,1)=".")),2,IF(NOT(OR(AND(MID($V43,4,1)&gt;="0",MID($V43,4,1)&lt;="9"),MID($V43,4,1)=".")),3,IF(NOT(OR(AND(MID($V43,5,1)&gt;="0",MID($V43,5,1)&lt;="9"),MID($V43,5,1)=".")),4,IF(NOT(OR(AND(MID($V43,6,1)&gt;="0",MID($V43,6,1)&lt;="9"),MID($V43,6,1)=".")),5,6)))))))),0)))</f>
        <v>0</v>
      </c>
      <c r="X43" s="220">
        <f>IF($U43="","",IFERROR(TRIM(INDEX('Submission template'!$J$17:$J$300,$U43)),""))</f>
      </c>
      <c r="Y43" s="220">
        <f>IF($U43="","",IFERROR(TRIM(INDEX('Submission template'!$K$17:$K$300,$U43)),""))</f>
      </c>
      <c r="Z43" s="220">
        <f>IF($U43="","",IFERROR(TRIM(INDEX('Submission template'!$M$17:$M$300,$U43)),""))</f>
      </c>
      <c r="AA43" s="220">
        <f>IF($U43="","",IFERROR(TRIM(INDEX('Submission template'!$O$17:$O$300,$U43)),""))</f>
      </c>
      <c r="AB43" s="220">
        <f>IF($U43="","",IFERROR(TRIM(INDEX('Submission template'!$S$17:$S$300,$U43)),""))</f>
      </c>
      <c r="AC43" s="220">
        <f>IF($B43="",0,IF($U43="",0,1))</f>
        <v>0</v>
      </c>
      <c r="AD43" s="220">
        <f>IF($B43="",0,IF(OR($H43=TargetLocation,AND($AA43&lt;&gt;"",ISNUMBER(SEARCH(TargetLocation,$AA43)))),1,0))</f>
        <v>0</v>
      </c>
      <c r="AE43" s="220">
        <f>IF($B43="",0,IF(AND(OR(SelRecruiter="All",$C43=SelRecruiter),OR(SelCity="All",$H43=SelCity),OR(SelStage="All",$I43=SelStage),OR(SelRequisition="All",$F43=SelRequisition)),1,0))</f>
        <v>1</v>
      </c>
      <c r="AF43" s="220">
        <f>IF($B43="","",COUNT($AF$5:AF42)+1)</f>
        <v>38</v>
      </c>
      <c r="AG43" s="220">
        <f>IF($C43="","",IF(COUNTIF($C$6:$C43,$C43)=1,COUNT($AG$5:AG42)+1,""))</f>
      </c>
      <c r="AH43" s="220">
        <f>IF($F43="","",IF(COUNTIF($F$6:$F43,$F43)=1,COUNT($AH$5:AH42)+1,""))</f>
      </c>
      <c r="AI43" s="220">
        <f>IF($H43="","",IF(COUNTIF($H$6:$H43,$H43)=1,COUNT($AI$5:AI42)+1,""))</f>
      </c>
      <c r="AJ43" s="220">
        <f>IF(OR($B43="",$J43=0),"",$J43*100000000+IF(ISNUMBER($D43),$D43,0)*1000+(170-$A43))</f>
        <v>146248132</v>
      </c>
      <c r="AK43" s="220">
        <f>IF(OR($B43="",$W43&lt;=0),"",ROUND($W43*10,0)*100000+(170-$A43))</f>
      </c>
      <c r="AL43" s="220">
        <f>IF(OR($B43="",$P43&lt;=0),"",ROUND($P43*10000,0)*1000+(170-$A43))</f>
      </c>
      <c r="AM43" s="220">
        <f>IF(AND($W43&gt;0,$O43&gt;0),COUNT($AM$5:AM42)+1,"")</f>
      </c>
      <c r="AN43">
        <f>IF($B43="",0,IF($G43="",0,SUMPRODUCT(MAX(ISNUMBER(SEARCH(LocPattern,$G43))*LocIdx))))</f>
        <v>0</v>
      </c>
      <c r="BD43">
        <f>IFERROR(INDEX($W$6:$W$125,MATCH(38,$AM$6:$AM$125,0)),"")</f>
      </c>
      <c r="BE43">
        <f>IFERROR(INDEX($O$6:$O$125,MATCH(38,$AM$6:$AM$125,0)),"")</f>
      </c>
      <c r="BF43">
        <f>IFERROR(INDEX($B$6:$B$125,MATCH(38,$AM$6:$AM$125,0)),"")</f>
      </c>
      <c r="BL43" t="str">
        <f>IFERROR(INDEX($B$6:$B$125,MATCH(38,$AF$6:$AF$125,0)),"")</f>
        <v>YOESWIN SELVARAJ E</v>
      </c>
    </row>
    <row r="44">
      <c r="A44" s="214" t="n">
        <v>39</v>
      </c>
      <c r="B44" s="214" t="str">
        <f>IF(TRIM('Master Data-2026'!D40)="","",TRIM('Master Data-2026'!D40))</f>
        <v>Richard J</v>
      </c>
      <c r="C44" s="214" t="str">
        <f>IF($B44="","",TRIM('Master Data-2026'!A40))</f>
        <v>Kirthi</v>
      </c>
      <c r="D44" s="215">
        <f>IF($B44="","",IF('Master Data-2026'!B40="","",'Master Data-2026'!B40))</f>
        <v>46248</v>
      </c>
      <c r="E44" s="214" t="str">
        <f>IF($B44="","",TRIM('Master Data-2026'!C40))</f>
        <v>August</v>
      </c>
      <c r="F44" s="214" t="str">
        <f>IF($B44="","",TRIM('Master Data-2026'!G40))</f>
        <v>Full Stack Developer</v>
      </c>
      <c r="G44" s="214" t="str">
        <f>IF($B44="","",TRIM('Master Data-2026'!F40))</f>
        <v>Perungudi, Chennai</v>
      </c>
      <c r="H44" s="214" t="str">
        <f>IF($B44="","",IF($G44="","Not recorded",IF($AN44=0,"Other",INDEX(LocCity,$AN44))))</f>
        <v>Chennai</v>
      </c>
      <c r="I44" s="214" t="str">
        <f>IF($B44="","",TRIM('Master Data-2026'!H40))</f>
        <v>Telephonic Screening</v>
      </c>
      <c r="J44" s="214">
        <f>IF($B44="",0,IFERROR(INDEX(StageOrderRef,MATCH($I44,StageNameRef,0)),0))</f>
        <v>1</v>
      </c>
      <c r="K44" s="214" t="str">
        <f>IF($B44="","",TRIM('Master Data-2026'!I40))</f>
        <v>JD sent awaiting response</v>
      </c>
      <c r="L44" s="214" t="str">
        <f>IF($B44="","",TRIM('Master Data-2026'!J40))</f>
        <v>15.72 LPA</v>
      </c>
      <c r="M44" s="216">
        <f>IF($L44="",0,IF(ISNUMBER(SEARCH("%",$L44)),0,IFERROR(VALUE(LEFT($L44,IF(NOT(OR(AND(MID($L44,1,1)&gt;="0",MID($L44,1,1)&lt;="9"),MID($L44,1,1)=".")),0,IF(NOT(OR(AND(MID($L44,2,1)&gt;="0",MID($L44,2,1)&lt;="9"),MID($L44,2,1)=".")),1,IF(NOT(OR(AND(MID($L44,3,1)&gt;="0",MID($L44,3,1)&lt;="9"),MID($L44,3,1)=".")),2,IF(NOT(OR(AND(MID($L44,4,1)&gt;="0",MID($L44,4,1)&lt;="9"),MID($L44,4,1)=".")),3,IF(NOT(OR(AND(MID($L44,5,1)&gt;="0",MID($L44,5,1)&lt;="9"),MID($L44,5,1)=".")),4,IF(NOT(OR(AND(MID($L44,6,1)&gt;="0",MID($L44,6,1)&lt;="9"),MID($L44,6,1)=".")),5,6)))))))),0)))</f>
        <v>15.72</v>
      </c>
      <c r="N44" s="214" t="str">
        <f>IF($B44="","",TRIM('Master Data-2026'!K40))</f>
        <v>19 LPA</v>
      </c>
      <c r="O44" s="216">
        <f>IF($N44="",0,IF(ISNUMBER(SEARCH("%",$N44)),0,IFERROR(VALUE(LEFT($N44,IF(NOT(OR(AND(MID($N44,1,1)&gt;="0",MID($N44,1,1)&lt;="9"),MID($N44,1,1)=".")),0,IF(NOT(OR(AND(MID($N44,2,1)&gt;="0",MID($N44,2,1)&lt;="9"),MID($N44,2,1)=".")),1,IF(NOT(OR(AND(MID($N44,3,1)&gt;="0",MID($N44,3,1)&lt;="9"),MID($N44,3,1)=".")),2,IF(NOT(OR(AND(MID($N44,4,1)&gt;="0",MID($N44,4,1)&lt;="9"),MID($N44,4,1)=".")),3,IF(NOT(OR(AND(MID($N44,5,1)&gt;="0",MID($N44,5,1)&lt;="9"),MID($N44,5,1)=".")),4,IF(NOT(OR(AND(MID($N44,6,1)&gt;="0",MID($N44,6,1)&lt;="9"),MID($N44,6,1)=".")),5,6)))))))),0)))</f>
        <v>19</v>
      </c>
      <c r="P44" s="217">
        <f>IF(AND($M44&gt;0,$O44&gt;0),$O44/$M44-1,0)</f>
        <v>0.20865139949109412</v>
      </c>
      <c r="Q44" s="214" t="str">
        <f>IF($B44="","",TRIM('Master Data-2026'!L40))</f>
        <v>Immediate joiner</v>
      </c>
      <c r="R44" s="214">
        <f>IF($Q44="",0,IF(ISNUMBER(SEARCH("%",$Q44)),0,IFERROR(VALUE(LEFT($Q44,IF(NOT(OR(AND(MID($Q44,1,1)&gt;="0",MID($Q44,1,1)&lt;="9"),MID($Q44,1,1)=".")),0,IF(NOT(OR(AND(MID($Q44,2,1)&gt;="0",MID($Q44,2,1)&lt;="9"),MID($Q44,2,1)=".")),1,IF(NOT(OR(AND(MID($Q44,3,1)&gt;="0",MID($Q44,3,1)&lt;="9"),MID($Q44,3,1)=".")),2,IF(NOT(OR(AND(MID($Q44,4,1)&gt;="0",MID($Q44,4,1)&lt;="9"),MID($Q44,4,1)=".")),3,IF(NOT(OR(AND(MID($Q44,5,1)&gt;="0",MID($Q44,5,1)&lt;="9"),MID($Q44,5,1)=".")),4,IF(NOT(OR(AND(MID($Q44,6,1)&gt;="0",MID($Q44,6,1)&lt;="9"),MID($Q44,6,1)=".")),5,6)))))))),0)))</f>
        <v>0</v>
      </c>
      <c r="S44" s="218">
        <f>IF($Q44="",-1,IF(ISNUMBER(SEARCH("immediate",$Q44)),0,IF(ISNUMBER(SEARCH("month",$Q44)),IF($R44=0,-1,$R44*30),IF(ISNUMBER(SEARCH("day",$Q44)),IF($R44=0,-1,$R44),-1))))</f>
        <v>0</v>
      </c>
      <c r="T44" s="214" t="str">
        <f>IF($B44="","",IF($S44&lt;0,"Not recorded",IF($S44=0,"Immediate",IF($S44&lt;=30,"1-30 days",IF($S44&lt;=60,"31-60 days","60+ days")))))</f>
        <v>Immediate</v>
      </c>
      <c r="U44" s="214">
        <f>IF($B44="","",IFERROR(MATCH($B44,'Submission template'!$D$17:$D$300,0),""))</f>
      </c>
      <c r="V44" s="214">
        <f>IF($U44="","",IFERROR(TRIM(INDEX('Submission template'!$I$17:$I$300,$U44)),""))</f>
      </c>
      <c r="W44" s="219">
        <f>IF($V44="",0,IF(ISNUMBER(SEARCH("%",$V44)),0,IFERROR(VALUE(LEFT($V44,IF(NOT(OR(AND(MID($V44,1,1)&gt;="0",MID($V44,1,1)&lt;="9"),MID($V44,1,1)=".")),0,IF(NOT(OR(AND(MID($V44,2,1)&gt;="0",MID($V44,2,1)&lt;="9"),MID($V44,2,1)=".")),1,IF(NOT(OR(AND(MID($V44,3,1)&gt;="0",MID($V44,3,1)&lt;="9"),MID($V44,3,1)=".")),2,IF(NOT(OR(AND(MID($V44,4,1)&gt;="0",MID($V44,4,1)&lt;="9"),MID($V44,4,1)=".")),3,IF(NOT(OR(AND(MID($V44,5,1)&gt;="0",MID($V44,5,1)&lt;="9"),MID($V44,5,1)=".")),4,IF(NOT(OR(AND(MID($V44,6,1)&gt;="0",MID($V44,6,1)&lt;="9"),MID($V44,6,1)=".")),5,6)))))))),0)))</f>
        <v>0</v>
      </c>
      <c r="X44" s="214">
        <f>IF($U44="","",IFERROR(TRIM(INDEX('Submission template'!$J$17:$J$300,$U44)),""))</f>
      </c>
      <c r="Y44" s="214">
        <f>IF($U44="","",IFERROR(TRIM(INDEX('Submission template'!$K$17:$K$300,$U44)),""))</f>
      </c>
      <c r="Z44" s="214">
        <f>IF($U44="","",IFERROR(TRIM(INDEX('Submission template'!$M$17:$M$300,$U44)),""))</f>
      </c>
      <c r="AA44" s="214">
        <f>IF($U44="","",IFERROR(TRIM(INDEX('Submission template'!$O$17:$O$300,$U44)),""))</f>
      </c>
      <c r="AB44" s="214">
        <f>IF($U44="","",IFERROR(TRIM(INDEX('Submission template'!$S$17:$S$300,$U44)),""))</f>
      </c>
      <c r="AC44" s="214">
        <f>IF($B44="",0,IF($U44="",0,1))</f>
        <v>0</v>
      </c>
      <c r="AD44" s="214">
        <f>IF($B44="",0,IF(OR($H44=TargetLocation,AND($AA44&lt;&gt;"",ISNUMBER(SEARCH(TargetLocation,$AA44)))),1,0))</f>
        <v>1</v>
      </c>
      <c r="AE44" s="214">
        <f>IF($B44="",0,IF(AND(OR(SelRecruiter="All",$C44=SelRecruiter),OR(SelCity="All",$H44=SelCity),OR(SelStage="All",$I44=SelStage),OR(SelRequisition="All",$F44=SelRequisition)),1,0))</f>
        <v>1</v>
      </c>
      <c r="AF44" s="214">
        <f>IF($B44="","",COUNT($AF$5:AF43)+1)</f>
        <v>39</v>
      </c>
      <c r="AG44" s="214">
        <f>IF($C44="","",IF(COUNTIF($C$6:$C44,$C44)=1,COUNT($AG$5:AG43)+1,""))</f>
      </c>
      <c r="AH44" s="214">
        <f>IF($F44="","",IF(COUNTIF($F$6:$F44,$F44)=1,COUNT($AH$5:AH43)+1,""))</f>
      </c>
      <c r="AI44" s="214">
        <f>IF($H44="","",IF(COUNTIF($H$6:$H44,$H44)=1,COUNT($AI$5:AI43)+1,""))</f>
      </c>
      <c r="AJ44" s="214">
        <f>IF(OR($B44="",$J44=0),"",$J44*100000000+IF(ISNUMBER($D44),$D44,0)*1000+(170-$A44))</f>
        <v>146248131</v>
      </c>
      <c r="AK44" s="214">
        <f>IF(OR($B44="",$W44&lt;=0),"",ROUND($W44*10,0)*100000+(170-$A44))</f>
      </c>
      <c r="AL44" s="214">
        <f>IF(OR($B44="",$P44&lt;=0),"",ROUND($P44*10000,0)*1000+(170-$A44))</f>
        <v>2087131</v>
      </c>
      <c r="AM44" s="214">
        <f>IF(AND($W44&gt;0,$O44&gt;0),COUNT($AM$5:AM43)+1,"")</f>
      </c>
      <c r="AN44">
        <f>IF($B44="",0,IF($G44="",0,SUMPRODUCT(MAX(ISNUMBER(SEARCH(LocPattern,$G44))*LocIdx))))</f>
        <v>16</v>
      </c>
      <c r="BD44">
        <f>IFERROR(INDEX($W$6:$W$125,MATCH(39,$AM$6:$AM$125,0)),"")</f>
      </c>
      <c r="BE44">
        <f>IFERROR(INDEX($O$6:$O$125,MATCH(39,$AM$6:$AM$125,0)),"")</f>
      </c>
      <c r="BF44">
        <f>IFERROR(INDEX($B$6:$B$125,MATCH(39,$AM$6:$AM$125,0)),"")</f>
      </c>
      <c r="BL44" t="str">
        <f>IFERROR(INDEX($B$6:$B$125,MATCH(39,$AF$6:$AF$125,0)),"")</f>
        <v>Richard J</v>
      </c>
    </row>
    <row r="45">
      <c r="A45" s="220" t="n">
        <v>40</v>
      </c>
      <c r="B45" s="220" t="str">
        <f>IF(TRIM('Master Data-2026'!D41)="","",TRIM('Master Data-2026'!D41))</f>
        <v>PRABURAJ P</v>
      </c>
      <c r="C45" s="220" t="str">
        <f>IF($B45="","",TRIM('Master Data-2026'!A41))</f>
        <v>Kirthi</v>
      </c>
      <c r="D45" s="221">
        <f>IF($B45="","",IF('Master Data-2026'!B41="","",'Master Data-2026'!B41))</f>
        <v>46248</v>
      </c>
      <c r="E45" s="220" t="str">
        <f>IF($B45="","",TRIM('Master Data-2026'!C41))</f>
        <v>August</v>
      </c>
      <c r="F45" s="220">
        <f>IF($B45="","",TRIM('Master Data-2026'!G41))</f>
      </c>
      <c r="G45" s="220">
        <f>IF($B45="","",TRIM('Master Data-2026'!F41))</f>
      </c>
      <c r="H45" s="220" t="str">
        <f>IF($B45="","",IF($G45="","Not recorded",IF($AN45=0,"Other",INDEX(LocCity,$AN45))))</f>
        <v>Not recorded</v>
      </c>
      <c r="I45" s="220" t="str">
        <f>IF($B45="","",TRIM('Master Data-2026'!H41))</f>
        <v>Telephonic Screening</v>
      </c>
      <c r="J45" s="220">
        <f>IF($B45="",0,IFERROR(INDEX(StageOrderRef,MATCH($I45,StageNameRef,0)),0))</f>
        <v>1</v>
      </c>
      <c r="K45" s="220">
        <f>IF($B45="","",TRIM('Master Data-2026'!I41))</f>
      </c>
      <c r="L45" s="220">
        <f>IF($B45="","",TRIM('Master Data-2026'!J41))</f>
      </c>
      <c r="M45" s="222">
        <f>IF($L45="",0,IF(ISNUMBER(SEARCH("%",$L45)),0,IFERROR(VALUE(LEFT($L45,IF(NOT(OR(AND(MID($L45,1,1)&gt;="0",MID($L45,1,1)&lt;="9"),MID($L45,1,1)=".")),0,IF(NOT(OR(AND(MID($L45,2,1)&gt;="0",MID($L45,2,1)&lt;="9"),MID($L45,2,1)=".")),1,IF(NOT(OR(AND(MID($L45,3,1)&gt;="0",MID($L45,3,1)&lt;="9"),MID($L45,3,1)=".")),2,IF(NOT(OR(AND(MID($L45,4,1)&gt;="0",MID($L45,4,1)&lt;="9"),MID($L45,4,1)=".")),3,IF(NOT(OR(AND(MID($L45,5,1)&gt;="0",MID($L45,5,1)&lt;="9"),MID($L45,5,1)=".")),4,IF(NOT(OR(AND(MID($L45,6,1)&gt;="0",MID($L45,6,1)&lt;="9"),MID($L45,6,1)=".")),5,6)))))))),0)))</f>
        <v>0</v>
      </c>
      <c r="N45" s="220">
        <f>IF($B45="","",TRIM('Master Data-2026'!K41))</f>
      </c>
      <c r="O45" s="222">
        <f>IF($N45="",0,IF(ISNUMBER(SEARCH("%",$N45)),0,IFERROR(VALUE(LEFT($N45,IF(NOT(OR(AND(MID($N45,1,1)&gt;="0",MID($N45,1,1)&lt;="9"),MID($N45,1,1)=".")),0,IF(NOT(OR(AND(MID($N45,2,1)&gt;="0",MID($N45,2,1)&lt;="9"),MID($N45,2,1)=".")),1,IF(NOT(OR(AND(MID($N45,3,1)&gt;="0",MID($N45,3,1)&lt;="9"),MID($N45,3,1)=".")),2,IF(NOT(OR(AND(MID($N45,4,1)&gt;="0",MID($N45,4,1)&lt;="9"),MID($N45,4,1)=".")),3,IF(NOT(OR(AND(MID($N45,5,1)&gt;="0",MID($N45,5,1)&lt;="9"),MID($N45,5,1)=".")),4,IF(NOT(OR(AND(MID($N45,6,1)&gt;="0",MID($N45,6,1)&lt;="9"),MID($N45,6,1)=".")),5,6)))))))),0)))</f>
        <v>0</v>
      </c>
      <c r="P45" s="223">
        <f>IF(AND($M45&gt;0,$O45&gt;0),$O45/$M45-1,0)</f>
        <v>0</v>
      </c>
      <c r="Q45" s="220">
        <f>IF($B45="","",TRIM('Master Data-2026'!L41))</f>
      </c>
      <c r="R45" s="220">
        <f>IF($Q45="",0,IF(ISNUMBER(SEARCH("%",$Q45)),0,IFERROR(VALUE(LEFT($Q45,IF(NOT(OR(AND(MID($Q45,1,1)&gt;="0",MID($Q45,1,1)&lt;="9"),MID($Q45,1,1)=".")),0,IF(NOT(OR(AND(MID($Q45,2,1)&gt;="0",MID($Q45,2,1)&lt;="9"),MID($Q45,2,1)=".")),1,IF(NOT(OR(AND(MID($Q45,3,1)&gt;="0",MID($Q45,3,1)&lt;="9"),MID($Q45,3,1)=".")),2,IF(NOT(OR(AND(MID($Q45,4,1)&gt;="0",MID($Q45,4,1)&lt;="9"),MID($Q45,4,1)=".")),3,IF(NOT(OR(AND(MID($Q45,5,1)&gt;="0",MID($Q45,5,1)&lt;="9"),MID($Q45,5,1)=".")),4,IF(NOT(OR(AND(MID($Q45,6,1)&gt;="0",MID($Q45,6,1)&lt;="9"),MID($Q45,6,1)=".")),5,6)))))))),0)))</f>
        <v>0</v>
      </c>
      <c r="S45" s="224">
        <f>IF($Q45="",-1,IF(ISNUMBER(SEARCH("immediate",$Q45)),0,IF(ISNUMBER(SEARCH("month",$Q45)),IF($R45=0,-1,$R45*30),IF(ISNUMBER(SEARCH("day",$Q45)),IF($R45=0,-1,$R45),-1))))</f>
        <v>-1</v>
      </c>
      <c r="T45" s="220" t="str">
        <f>IF($B45="","",IF($S45&lt;0,"Not recorded",IF($S45=0,"Immediate",IF($S45&lt;=30,"1-30 days",IF($S45&lt;=60,"31-60 days","60+ days")))))</f>
        <v>Not recorded</v>
      </c>
      <c r="U45" s="220">
        <f>IF($B45="","",IFERROR(MATCH($B45,'Submission template'!$D$17:$D$300,0),""))</f>
      </c>
      <c r="V45" s="220">
        <f>IF($U45="","",IFERROR(TRIM(INDEX('Submission template'!$I$17:$I$300,$U45)),""))</f>
      </c>
      <c r="W45" s="225">
        <f>IF($V45="",0,IF(ISNUMBER(SEARCH("%",$V45)),0,IFERROR(VALUE(LEFT($V45,IF(NOT(OR(AND(MID($V45,1,1)&gt;="0",MID($V45,1,1)&lt;="9"),MID($V45,1,1)=".")),0,IF(NOT(OR(AND(MID($V45,2,1)&gt;="0",MID($V45,2,1)&lt;="9"),MID($V45,2,1)=".")),1,IF(NOT(OR(AND(MID($V45,3,1)&gt;="0",MID($V45,3,1)&lt;="9"),MID($V45,3,1)=".")),2,IF(NOT(OR(AND(MID($V45,4,1)&gt;="0",MID($V45,4,1)&lt;="9"),MID($V45,4,1)=".")),3,IF(NOT(OR(AND(MID($V45,5,1)&gt;="0",MID($V45,5,1)&lt;="9"),MID($V45,5,1)=".")),4,IF(NOT(OR(AND(MID($V45,6,1)&gt;="0",MID($V45,6,1)&lt;="9"),MID($V45,6,1)=".")),5,6)))))))),0)))</f>
        <v>0</v>
      </c>
      <c r="X45" s="220">
        <f>IF($U45="","",IFERROR(TRIM(INDEX('Submission template'!$J$17:$J$300,$U45)),""))</f>
      </c>
      <c r="Y45" s="220">
        <f>IF($U45="","",IFERROR(TRIM(INDEX('Submission template'!$K$17:$K$300,$U45)),""))</f>
      </c>
      <c r="Z45" s="220">
        <f>IF($U45="","",IFERROR(TRIM(INDEX('Submission template'!$M$17:$M$300,$U45)),""))</f>
      </c>
      <c r="AA45" s="220">
        <f>IF($U45="","",IFERROR(TRIM(INDEX('Submission template'!$O$17:$O$300,$U45)),""))</f>
      </c>
      <c r="AB45" s="220">
        <f>IF($U45="","",IFERROR(TRIM(INDEX('Submission template'!$S$17:$S$300,$U45)),""))</f>
      </c>
      <c r="AC45" s="220">
        <f>IF($B45="",0,IF($U45="",0,1))</f>
        <v>0</v>
      </c>
      <c r="AD45" s="220">
        <f>IF($B45="",0,IF(OR($H45=TargetLocation,AND($AA45&lt;&gt;"",ISNUMBER(SEARCH(TargetLocation,$AA45)))),1,0))</f>
        <v>0</v>
      </c>
      <c r="AE45" s="220">
        <f>IF($B45="",0,IF(AND(OR(SelRecruiter="All",$C45=SelRecruiter),OR(SelCity="All",$H45=SelCity),OR(SelStage="All",$I45=SelStage),OR(SelRequisition="All",$F45=SelRequisition)),1,0))</f>
        <v>1</v>
      </c>
      <c r="AF45" s="220">
        <f>IF($B45="","",COUNT($AF$5:AF44)+1)</f>
        <v>40</v>
      </c>
      <c r="AG45" s="220">
        <f>IF($C45="","",IF(COUNTIF($C$6:$C45,$C45)=1,COUNT($AG$5:AG44)+1,""))</f>
      </c>
      <c r="AH45" s="220">
        <f>IF($F45="","",IF(COUNTIF($F$6:$F45,$F45)=1,COUNT($AH$5:AH44)+1,""))</f>
      </c>
      <c r="AI45" s="220">
        <f>IF($H45="","",IF(COUNTIF($H$6:$H45,$H45)=1,COUNT($AI$5:AI44)+1,""))</f>
      </c>
      <c r="AJ45" s="220">
        <f>IF(OR($B45="",$J45=0),"",$J45*100000000+IF(ISNUMBER($D45),$D45,0)*1000+(170-$A45))</f>
        <v>146248130</v>
      </c>
      <c r="AK45" s="220">
        <f>IF(OR($B45="",$W45&lt;=0),"",ROUND($W45*10,0)*100000+(170-$A45))</f>
      </c>
      <c r="AL45" s="220">
        <f>IF(OR($B45="",$P45&lt;=0),"",ROUND($P45*10000,0)*1000+(170-$A45))</f>
      </c>
      <c r="AM45" s="220">
        <f>IF(AND($W45&gt;0,$O45&gt;0),COUNT($AM$5:AM44)+1,"")</f>
      </c>
      <c r="AN45">
        <f>IF($B45="",0,IF($G45="",0,SUMPRODUCT(MAX(ISNUMBER(SEARCH(LocPattern,$G45))*LocIdx))))</f>
        <v>0</v>
      </c>
      <c r="BD45">
        <f>IFERROR(INDEX($W$6:$W$125,MATCH(40,$AM$6:$AM$125,0)),"")</f>
      </c>
      <c r="BE45">
        <f>IFERROR(INDEX($O$6:$O$125,MATCH(40,$AM$6:$AM$125,0)),"")</f>
      </c>
      <c r="BF45">
        <f>IFERROR(INDEX($B$6:$B$125,MATCH(40,$AM$6:$AM$125,0)),"")</f>
      </c>
      <c r="BL45" t="str">
        <f>IFERROR(INDEX($B$6:$B$125,MATCH(40,$AF$6:$AF$125,0)),"")</f>
        <v>PRABURAJ P</v>
      </c>
    </row>
    <row r="46">
      <c r="A46" s="214" t="n">
        <v>41</v>
      </c>
      <c r="B46" s="214" t="str">
        <f>IF(TRIM('Master Data-2026'!D42)="","",TRIM('Master Data-2026'!D42))</f>
        <v>VIDHYA K</v>
      </c>
      <c r="C46" s="214" t="str">
        <f>IF($B46="","",TRIM('Master Data-2026'!A42))</f>
        <v>Kirthi</v>
      </c>
      <c r="D46" s="215">
        <f>IF($B46="","",IF('Master Data-2026'!B42="","",'Master Data-2026'!B42))</f>
        <v>46248</v>
      </c>
      <c r="E46" s="214" t="str">
        <f>IF($B46="","",TRIM('Master Data-2026'!C42))</f>
        <v>August</v>
      </c>
      <c r="F46" s="214" t="str">
        <f>IF($B46="","",TRIM('Master Data-2026'!G42))</f>
        <v>Full Stack Lead</v>
      </c>
      <c r="G46" s="214" t="str">
        <f>IF($B46="","",TRIM('Master Data-2026'!F42))</f>
        <v>Porur, Chennai</v>
      </c>
      <c r="H46" s="214" t="str">
        <f>IF($B46="","",IF($G46="","Not recorded",IF($AN46=0,"Other",INDEX(LocCity,$AN46))))</f>
        <v>Chennai</v>
      </c>
      <c r="I46" s="214" t="str">
        <f>IF($B46="","",TRIM('Master Data-2026'!H42))</f>
        <v>Telephonic Screening</v>
      </c>
      <c r="J46" s="214">
        <f>IF($B46="",0,IFERROR(INDEX(StageOrderRef,MATCH($I46,StageNameRef,0)),0))</f>
        <v>1</v>
      </c>
      <c r="K46" s="214" t="str">
        <f>IF($B46="","",TRIM('Master Data-2026'!I42))</f>
        <v>JD sent awaiting response</v>
      </c>
      <c r="L46" s="214" t="str">
        <f>IF($B46="","",TRIM('Master Data-2026'!J42))</f>
        <v>23 LPA</v>
      </c>
      <c r="M46" s="216">
        <f>IF($L46="",0,IF(ISNUMBER(SEARCH("%",$L46)),0,IFERROR(VALUE(LEFT($L46,IF(NOT(OR(AND(MID($L46,1,1)&gt;="0",MID($L46,1,1)&lt;="9"),MID($L46,1,1)=".")),0,IF(NOT(OR(AND(MID($L46,2,1)&gt;="0",MID($L46,2,1)&lt;="9"),MID($L46,2,1)=".")),1,IF(NOT(OR(AND(MID($L46,3,1)&gt;="0",MID($L46,3,1)&lt;="9"),MID($L46,3,1)=".")),2,IF(NOT(OR(AND(MID($L46,4,1)&gt;="0",MID($L46,4,1)&lt;="9"),MID($L46,4,1)=".")),3,IF(NOT(OR(AND(MID($L46,5,1)&gt;="0",MID($L46,5,1)&lt;="9"),MID($L46,5,1)=".")),4,IF(NOT(OR(AND(MID($L46,6,1)&gt;="0",MID($L46,6,1)&lt;="9"),MID($L46,6,1)=".")),5,6)))))))),0)))</f>
        <v>23</v>
      </c>
      <c r="N46" s="214" t="str">
        <f>IF($B46="","",TRIM('Master Data-2026'!K42))</f>
        <v>32 LPA (nego)</v>
      </c>
      <c r="O46" s="216">
        <f>IF($N46="",0,IF(ISNUMBER(SEARCH("%",$N46)),0,IFERROR(VALUE(LEFT($N46,IF(NOT(OR(AND(MID($N46,1,1)&gt;="0",MID($N46,1,1)&lt;="9"),MID($N46,1,1)=".")),0,IF(NOT(OR(AND(MID($N46,2,1)&gt;="0",MID($N46,2,1)&lt;="9"),MID($N46,2,1)=".")),1,IF(NOT(OR(AND(MID($N46,3,1)&gt;="0",MID($N46,3,1)&lt;="9"),MID($N46,3,1)=".")),2,IF(NOT(OR(AND(MID($N46,4,1)&gt;="0",MID($N46,4,1)&lt;="9"),MID($N46,4,1)=".")),3,IF(NOT(OR(AND(MID($N46,5,1)&gt;="0",MID($N46,5,1)&lt;="9"),MID($N46,5,1)=".")),4,IF(NOT(OR(AND(MID($N46,6,1)&gt;="0",MID($N46,6,1)&lt;="9"),MID($N46,6,1)=".")),5,6)))))))),0)))</f>
        <v>32</v>
      </c>
      <c r="P46" s="217">
        <f>IF(AND($M46&gt;0,$O46&gt;0),$O46/$M46-1,0)</f>
        <v>0.3913043478260869</v>
      </c>
      <c r="Q46" s="214" t="str">
        <f>IF($B46="","",TRIM('Master Data-2026'!L42))</f>
        <v>Serving Notice (LWD-Oct 20)</v>
      </c>
      <c r="R46" s="214">
        <f>IF($Q46="",0,IF(ISNUMBER(SEARCH("%",$Q46)),0,IFERROR(VALUE(LEFT($Q46,IF(NOT(OR(AND(MID($Q46,1,1)&gt;="0",MID($Q46,1,1)&lt;="9"),MID($Q46,1,1)=".")),0,IF(NOT(OR(AND(MID($Q46,2,1)&gt;="0",MID($Q46,2,1)&lt;="9"),MID($Q46,2,1)=".")),1,IF(NOT(OR(AND(MID($Q46,3,1)&gt;="0",MID($Q46,3,1)&lt;="9"),MID($Q46,3,1)=".")),2,IF(NOT(OR(AND(MID($Q46,4,1)&gt;="0",MID($Q46,4,1)&lt;="9"),MID($Q46,4,1)=".")),3,IF(NOT(OR(AND(MID($Q46,5,1)&gt;="0",MID($Q46,5,1)&lt;="9"),MID($Q46,5,1)=".")),4,IF(NOT(OR(AND(MID($Q46,6,1)&gt;="0",MID($Q46,6,1)&lt;="9"),MID($Q46,6,1)=".")),5,6)))))))),0)))</f>
        <v>0</v>
      </c>
      <c r="S46" s="218">
        <f>IF($Q46="",-1,IF(ISNUMBER(SEARCH("immediate",$Q46)),0,IF(ISNUMBER(SEARCH("month",$Q46)),IF($R46=0,-1,$R46*30),IF(ISNUMBER(SEARCH("day",$Q46)),IF($R46=0,-1,$R46),-1))))</f>
        <v>-1</v>
      </c>
      <c r="T46" s="214" t="str">
        <f>IF($B46="","",IF($S46&lt;0,"Not recorded",IF($S46=0,"Immediate",IF($S46&lt;=30,"1-30 days",IF($S46&lt;=60,"31-60 days","60+ days")))))</f>
        <v>Not recorded</v>
      </c>
      <c r="U46" s="214">
        <f>IF($B46="","",IFERROR(MATCH($B46,'Submission template'!$D$17:$D$300,0),""))</f>
      </c>
      <c r="V46" s="214">
        <f>IF($U46="","",IFERROR(TRIM(INDEX('Submission template'!$I$17:$I$300,$U46)),""))</f>
      </c>
      <c r="W46" s="219">
        <f>IF($V46="",0,IF(ISNUMBER(SEARCH("%",$V46)),0,IFERROR(VALUE(LEFT($V46,IF(NOT(OR(AND(MID($V46,1,1)&gt;="0",MID($V46,1,1)&lt;="9"),MID($V46,1,1)=".")),0,IF(NOT(OR(AND(MID($V46,2,1)&gt;="0",MID($V46,2,1)&lt;="9"),MID($V46,2,1)=".")),1,IF(NOT(OR(AND(MID($V46,3,1)&gt;="0",MID($V46,3,1)&lt;="9"),MID($V46,3,1)=".")),2,IF(NOT(OR(AND(MID($V46,4,1)&gt;="0",MID($V46,4,1)&lt;="9"),MID($V46,4,1)=".")),3,IF(NOT(OR(AND(MID($V46,5,1)&gt;="0",MID($V46,5,1)&lt;="9"),MID($V46,5,1)=".")),4,IF(NOT(OR(AND(MID($V46,6,1)&gt;="0",MID($V46,6,1)&lt;="9"),MID($V46,6,1)=".")),5,6)))))))),0)))</f>
        <v>0</v>
      </c>
      <c r="X46" s="214">
        <f>IF($U46="","",IFERROR(TRIM(INDEX('Submission template'!$J$17:$J$300,$U46)),""))</f>
      </c>
      <c r="Y46" s="214">
        <f>IF($U46="","",IFERROR(TRIM(INDEX('Submission template'!$K$17:$K$300,$U46)),""))</f>
      </c>
      <c r="Z46" s="214">
        <f>IF($U46="","",IFERROR(TRIM(INDEX('Submission template'!$M$17:$M$300,$U46)),""))</f>
      </c>
      <c r="AA46" s="214">
        <f>IF($U46="","",IFERROR(TRIM(INDEX('Submission template'!$O$17:$O$300,$U46)),""))</f>
      </c>
      <c r="AB46" s="214">
        <f>IF($U46="","",IFERROR(TRIM(INDEX('Submission template'!$S$17:$S$300,$U46)),""))</f>
      </c>
      <c r="AC46" s="214">
        <f>IF($B46="",0,IF($U46="",0,1))</f>
        <v>0</v>
      </c>
      <c r="AD46" s="214">
        <f>IF($B46="",0,IF(OR($H46=TargetLocation,AND($AA46&lt;&gt;"",ISNUMBER(SEARCH(TargetLocation,$AA46)))),1,0))</f>
        <v>1</v>
      </c>
      <c r="AE46" s="214">
        <f>IF($B46="",0,IF(AND(OR(SelRecruiter="All",$C46=SelRecruiter),OR(SelCity="All",$H46=SelCity),OR(SelStage="All",$I46=SelStage),OR(SelRequisition="All",$F46=SelRequisition)),1,0))</f>
        <v>1</v>
      </c>
      <c r="AF46" s="214">
        <f>IF($B46="","",COUNT($AF$5:AF45)+1)</f>
        <v>41</v>
      </c>
      <c r="AG46" s="214">
        <f>IF($C46="","",IF(COUNTIF($C$6:$C46,$C46)=1,COUNT($AG$5:AG45)+1,""))</f>
      </c>
      <c r="AH46" s="214">
        <f>IF($F46="","",IF(COUNTIF($F$6:$F46,$F46)=1,COUNT($AH$5:AH45)+1,""))</f>
      </c>
      <c r="AI46" s="214">
        <f>IF($H46="","",IF(COUNTIF($H$6:$H46,$H46)=1,COUNT($AI$5:AI45)+1,""))</f>
      </c>
      <c r="AJ46" s="214">
        <f>IF(OR($B46="",$J46=0),"",$J46*100000000+IF(ISNUMBER($D46),$D46,0)*1000+(170-$A46))</f>
        <v>146248129</v>
      </c>
      <c r="AK46" s="214">
        <f>IF(OR($B46="",$W46&lt;=0),"",ROUND($W46*10,0)*100000+(170-$A46))</f>
      </c>
      <c r="AL46" s="214">
        <f>IF(OR($B46="",$P46&lt;=0),"",ROUND($P46*10000,0)*1000+(170-$A46))</f>
        <v>3913129</v>
      </c>
      <c r="AM46" s="214">
        <f>IF(AND($W46&gt;0,$O46&gt;0),COUNT($AM$5:AM45)+1,"")</f>
      </c>
      <c r="AN46">
        <f>IF($B46="",0,IF($G46="",0,SUMPRODUCT(MAX(ISNUMBER(SEARCH(LocPattern,$G46))*LocIdx))))</f>
        <v>16</v>
      </c>
      <c r="BL46" t="str">
        <f>IFERROR(INDEX($B$6:$B$125,MATCH(41,$AF$6:$AF$125,0)),"")</f>
        <v>VIDHYA K</v>
      </c>
    </row>
    <row r="47">
      <c r="A47" s="220" t="n">
        <v>42</v>
      </c>
      <c r="B47" s="220" t="str">
        <f>IF(TRIM('Master Data-2026'!D43)="","",TRIM('Master Data-2026'!D43))</f>
        <v>Rohith</v>
      </c>
      <c r="C47" s="220" t="str">
        <f>IF($B47="","",TRIM('Master Data-2026'!A43))</f>
        <v>Vandana</v>
      </c>
      <c r="D47" s="221">
        <f>IF($B47="","",IF('Master Data-2026'!B43="","",'Master Data-2026'!B43))</f>
        <v>46248</v>
      </c>
      <c r="E47" s="220" t="str">
        <f>IF($B47="","",TRIM('Master Data-2026'!C43))</f>
        <v>August</v>
      </c>
      <c r="F47" s="220" t="str">
        <f>IF($B47="","",TRIM('Master Data-2026'!G43))</f>
        <v>Full Stack Developer</v>
      </c>
      <c r="G47" s="220" t="str">
        <f>IF($B47="","",TRIM('Master Data-2026'!F43))</f>
        <v>Bangalore</v>
      </c>
      <c r="H47" s="220" t="str">
        <f>IF($B47="","",IF($G47="","Not recorded",IF($AN47=0,"Other",INDEX(LocCity,$AN47))))</f>
        <v>Bangalore</v>
      </c>
      <c r="I47" s="220" t="str">
        <f>IF($B47="","",TRIM('Master Data-2026'!H43))</f>
        <v>ZN Submission</v>
      </c>
      <c r="J47" s="220">
        <f>IF($B47="",0,IFERROR(INDEX(StageOrderRef,MATCH($I47,StageNameRef,0)),0))</f>
        <v>2</v>
      </c>
      <c r="K47" s="220" t="str">
        <f>IF($B47="","",TRIM('Master Data-2026'!I43))</f>
        <v>JD sent awaiting for response</v>
      </c>
      <c r="L47" s="220" t="str">
        <f>IF($B47="","",TRIM('Master Data-2026'!J43))</f>
        <v>12LPA</v>
      </c>
      <c r="M47" s="222">
        <f>IF($L47="",0,IF(ISNUMBER(SEARCH("%",$L47)),0,IFERROR(VALUE(LEFT($L47,IF(NOT(OR(AND(MID($L47,1,1)&gt;="0",MID($L47,1,1)&lt;="9"),MID($L47,1,1)=".")),0,IF(NOT(OR(AND(MID($L47,2,1)&gt;="0",MID($L47,2,1)&lt;="9"),MID($L47,2,1)=".")),1,IF(NOT(OR(AND(MID($L47,3,1)&gt;="0",MID($L47,3,1)&lt;="9"),MID($L47,3,1)=".")),2,IF(NOT(OR(AND(MID($L47,4,1)&gt;="0",MID($L47,4,1)&lt;="9"),MID($L47,4,1)=".")),3,IF(NOT(OR(AND(MID($L47,5,1)&gt;="0",MID($L47,5,1)&lt;="9"),MID($L47,5,1)=".")),4,IF(NOT(OR(AND(MID($L47,6,1)&gt;="0",MID($L47,6,1)&lt;="9"),MID($L47,6,1)=".")),5,6)))))))),0)))</f>
        <v>12</v>
      </c>
      <c r="N47" s="220" t="str">
        <f>IF($B47="","",TRIM('Master Data-2026'!K43))</f>
        <v>16LPA</v>
      </c>
      <c r="O47" s="222">
        <f>IF($N47="",0,IF(ISNUMBER(SEARCH("%",$N47)),0,IFERROR(VALUE(LEFT($N47,IF(NOT(OR(AND(MID($N47,1,1)&gt;="0",MID($N47,1,1)&lt;="9"),MID($N47,1,1)=".")),0,IF(NOT(OR(AND(MID($N47,2,1)&gt;="0",MID($N47,2,1)&lt;="9"),MID($N47,2,1)=".")),1,IF(NOT(OR(AND(MID($N47,3,1)&gt;="0",MID($N47,3,1)&lt;="9"),MID($N47,3,1)=".")),2,IF(NOT(OR(AND(MID($N47,4,1)&gt;="0",MID($N47,4,1)&lt;="9"),MID($N47,4,1)=".")),3,IF(NOT(OR(AND(MID($N47,5,1)&gt;="0",MID($N47,5,1)&lt;="9"),MID($N47,5,1)=".")),4,IF(NOT(OR(AND(MID($N47,6,1)&gt;="0",MID($N47,6,1)&lt;="9"),MID($N47,6,1)=".")),5,6)))))))),0)))</f>
        <v>16</v>
      </c>
      <c r="P47" s="223">
        <f>IF(AND($M47&gt;0,$O47&gt;0),$O47/$M47-1,0)</f>
        <v>0.33333333333333326</v>
      </c>
      <c r="Q47" s="220" t="str">
        <f>IF($B47="","",TRIM('Master Data-2026'!L43))</f>
        <v>60 days(nego to 30 days)</v>
      </c>
      <c r="R47" s="220">
        <f>IF($Q47="",0,IF(ISNUMBER(SEARCH("%",$Q47)),0,IFERROR(VALUE(LEFT($Q47,IF(NOT(OR(AND(MID($Q47,1,1)&gt;="0",MID($Q47,1,1)&lt;="9"),MID($Q47,1,1)=".")),0,IF(NOT(OR(AND(MID($Q47,2,1)&gt;="0",MID($Q47,2,1)&lt;="9"),MID($Q47,2,1)=".")),1,IF(NOT(OR(AND(MID($Q47,3,1)&gt;="0",MID($Q47,3,1)&lt;="9"),MID($Q47,3,1)=".")),2,IF(NOT(OR(AND(MID($Q47,4,1)&gt;="0",MID($Q47,4,1)&lt;="9"),MID($Q47,4,1)=".")),3,IF(NOT(OR(AND(MID($Q47,5,1)&gt;="0",MID($Q47,5,1)&lt;="9"),MID($Q47,5,1)=".")),4,IF(NOT(OR(AND(MID($Q47,6,1)&gt;="0",MID($Q47,6,1)&lt;="9"),MID($Q47,6,1)=".")),5,6)))))))),0)))</f>
        <v>60</v>
      </c>
      <c r="S47" s="224">
        <f>IF($Q47="",-1,IF(ISNUMBER(SEARCH("immediate",$Q47)),0,IF(ISNUMBER(SEARCH("month",$Q47)),IF($R47=0,-1,$R47*30),IF(ISNUMBER(SEARCH("day",$Q47)),IF($R47=0,-1,$R47),-1))))</f>
        <v>60</v>
      </c>
      <c r="T47" s="220" t="str">
        <f>IF($B47="","",IF($S47&lt;0,"Not recorded",IF($S47=0,"Immediate",IF($S47&lt;=30,"1-30 days",IF($S47&lt;=60,"31-60 days","60+ days")))))</f>
        <v>31-60 days</v>
      </c>
      <c r="U47" s="220">
        <f>IF($B47="","",IFERROR(MATCH($B47,'Submission template'!$D$17:$D$300,0),""))</f>
        <v>24</v>
      </c>
      <c r="V47" s="220" t="str">
        <f>IF($U47="","",IFERROR(TRIM(INDEX('Submission template'!$I$17:$I$300,$U47)),""))</f>
        <v>4.3 Years</v>
      </c>
      <c r="W47" s="225">
        <f>IF($V47="",0,IF(ISNUMBER(SEARCH("%",$V47)),0,IFERROR(VALUE(LEFT($V47,IF(NOT(OR(AND(MID($V47,1,1)&gt;="0",MID($V47,1,1)&lt;="9"),MID($V47,1,1)=".")),0,IF(NOT(OR(AND(MID($V47,2,1)&gt;="0",MID($V47,2,1)&lt;="9"),MID($V47,2,1)=".")),1,IF(NOT(OR(AND(MID($V47,3,1)&gt;="0",MID($V47,3,1)&lt;="9"),MID($V47,3,1)=".")),2,IF(NOT(OR(AND(MID($V47,4,1)&gt;="0",MID($V47,4,1)&lt;="9"),MID($V47,4,1)=".")),3,IF(NOT(OR(AND(MID($V47,5,1)&gt;="0",MID($V47,5,1)&lt;="9"),MID($V47,5,1)=".")),4,IF(NOT(OR(AND(MID($V47,6,1)&gt;="0",MID($V47,6,1)&lt;="9"),MID($V47,6,1)=".")),5,6)))))))),0)))</f>
        <v>4.3</v>
      </c>
      <c r="X47" s="220" t="str">
        <f>IF($U47="","",IFERROR(TRIM(INDEX('Submission template'!$J$17:$J$300,$U47)),""))</f>
        <v>React 4.3 Y+Node 4.3Y</v>
      </c>
      <c r="Y47" s="220" t="str">
        <f>IF($U47="","",IFERROR(TRIM(INDEX('Submission template'!$K$17:$K$300,$U47)),""))</f>
        <v>NTT Data</v>
      </c>
      <c r="Z47" s="220" t="str">
        <f>IF($U47="","",IFERROR(TRIM(INDEX('Submission template'!$M$17:$M$300,$U47)),""))</f>
        <v>MERN Stack Developer</v>
      </c>
      <c r="AA47" s="220" t="str">
        <f>IF($U47="","",IFERROR(TRIM(INDEX('Submission template'!$O$17:$O$300,$U47)),""))</f>
        <v>Chennai</v>
      </c>
      <c r="AB47" s="220" t="str">
        <f>IF($U47="","",IFERROR(TRIM(INDEX('Submission template'!$S$17:$S$300,$U47)),""))</f>
        <v>Career Growth</v>
      </c>
      <c r="AC47" s="220">
        <f>IF($B47="",0,IF($U47="",0,1))</f>
        <v>1</v>
      </c>
      <c r="AD47" s="220">
        <f>IF($B47="",0,IF(OR($H47=TargetLocation,AND($AA47&lt;&gt;"",ISNUMBER(SEARCH(TargetLocation,$AA47)))),1,0))</f>
        <v>1</v>
      </c>
      <c r="AE47" s="220">
        <f>IF($B47="",0,IF(AND(OR(SelRecruiter="All",$C47=SelRecruiter),OR(SelCity="All",$H47=SelCity),OR(SelStage="All",$I47=SelStage),OR(SelRequisition="All",$F47=SelRequisition)),1,0))</f>
        <v>1</v>
      </c>
      <c r="AF47" s="220">
        <f>IF($B47="","",COUNT($AF$5:AF46)+1)</f>
        <v>42</v>
      </c>
      <c r="AG47" s="220">
        <f>IF($C47="","",IF(COUNTIF($C$6:$C47,$C47)=1,COUNT($AG$5:AG46)+1,""))</f>
      </c>
      <c r="AH47" s="220">
        <f>IF($F47="","",IF(COUNTIF($F$6:$F47,$F47)=1,COUNT($AH$5:AH46)+1,""))</f>
      </c>
      <c r="AI47" s="220">
        <f>IF($H47="","",IF(COUNTIF($H$6:$H47,$H47)=1,COUNT($AI$5:AI46)+1,""))</f>
      </c>
      <c r="AJ47" s="220">
        <f>IF(OR($B47="",$J47=0),"",$J47*100000000+IF(ISNUMBER($D47),$D47,0)*1000+(170-$A47))</f>
        <v>246248128</v>
      </c>
      <c r="AK47" s="220">
        <f>IF(OR($B47="",$W47&lt;=0),"",ROUND($W47*10,0)*100000+(170-$A47))</f>
        <v>4300128</v>
      </c>
      <c r="AL47" s="220">
        <f>IF(OR($B47="",$P47&lt;=0),"",ROUND($P47*10000,0)*1000+(170-$A47))</f>
        <v>3333128</v>
      </c>
      <c r="AM47" s="220">
        <f>IF(AND($W47&gt;0,$O47&gt;0),COUNT($AM$5:AM46)+1,"")</f>
        <v>19</v>
      </c>
      <c r="AN47">
        <f>IF($B47="",0,IF($G47="",0,SUMPRODUCT(MAX(ISNUMBER(SEARCH(LocPattern,$G47))*LocIdx))))</f>
        <v>18</v>
      </c>
      <c r="BL47" t="str">
        <f>IFERROR(INDEX($B$6:$B$125,MATCH(42,$AF$6:$AF$125,0)),"")</f>
        <v>Rohith</v>
      </c>
    </row>
    <row r="48">
      <c r="A48" s="214" t="n">
        <v>43</v>
      </c>
      <c r="B48" s="214" t="str">
        <f>IF(TRIM('Master Data-2026'!D44)="","",TRIM('Master Data-2026'!D44))</f>
        <v>Rajesh</v>
      </c>
      <c r="C48" s="214" t="str">
        <f>IF($B48="","",TRIM('Master Data-2026'!A44))</f>
        <v>Sarath</v>
      </c>
      <c r="D48" s="215">
        <f>IF($B48="","",IF('Master Data-2026'!B44="","",'Master Data-2026'!B44))</f>
        <v>46248</v>
      </c>
      <c r="E48" s="214" t="str">
        <f>IF($B48="","",TRIM('Master Data-2026'!C44))</f>
        <v>August</v>
      </c>
      <c r="F48" s="214" t="str">
        <f>IF($B48="","",TRIM('Master Data-2026'!G44))</f>
        <v>Full Stack Developer</v>
      </c>
      <c r="G48" s="214" t="str">
        <f>IF($B48="","",TRIM('Master Data-2026'!F44))</f>
        <v>Chennai</v>
      </c>
      <c r="H48" s="214" t="str">
        <f>IF($B48="","",IF($G48="","Not recorded",IF($AN48=0,"Other",INDEX(LocCity,$AN48))))</f>
        <v>Chennai</v>
      </c>
      <c r="I48" s="214" t="str">
        <f>IF($B48="","",TRIM('Master Data-2026'!H44))</f>
        <v>ZN Submission</v>
      </c>
      <c r="J48" s="214">
        <f>IF($B48="",0,IFERROR(INDEX(StageOrderRef,MATCH($I48,StageNameRef,0)),0))</f>
        <v>2</v>
      </c>
      <c r="K48" s="214" t="str">
        <f>IF($B48="","",TRIM('Master Data-2026'!I44))</f>
        <v>Client Review</v>
      </c>
      <c r="L48" s="214">
        <f>IF($B48="","",TRIM('Master Data-2026'!J44))</f>
      </c>
      <c r="M48" s="216">
        <f>IF($L48="",0,IF(ISNUMBER(SEARCH("%",$L48)),0,IFERROR(VALUE(LEFT($L48,IF(NOT(OR(AND(MID($L48,1,1)&gt;="0",MID($L48,1,1)&lt;="9"),MID($L48,1,1)=".")),0,IF(NOT(OR(AND(MID($L48,2,1)&gt;="0",MID($L48,2,1)&lt;="9"),MID($L48,2,1)=".")),1,IF(NOT(OR(AND(MID($L48,3,1)&gt;="0",MID($L48,3,1)&lt;="9"),MID($L48,3,1)=".")),2,IF(NOT(OR(AND(MID($L48,4,1)&gt;="0",MID($L48,4,1)&lt;="9"),MID($L48,4,1)=".")),3,IF(NOT(OR(AND(MID($L48,5,1)&gt;="0",MID($L48,5,1)&lt;="9"),MID($L48,5,1)=".")),4,IF(NOT(OR(AND(MID($L48,6,1)&gt;="0",MID($L48,6,1)&lt;="9"),MID($L48,6,1)=".")),5,6)))))))),0)))</f>
        <v>0</v>
      </c>
      <c r="N48" s="214">
        <f>IF($B48="","",TRIM('Master Data-2026'!K44))</f>
      </c>
      <c r="O48" s="216">
        <f>IF($N48="",0,IF(ISNUMBER(SEARCH("%",$N48)),0,IFERROR(VALUE(LEFT($N48,IF(NOT(OR(AND(MID($N48,1,1)&gt;="0",MID($N48,1,1)&lt;="9"),MID($N48,1,1)=".")),0,IF(NOT(OR(AND(MID($N48,2,1)&gt;="0",MID($N48,2,1)&lt;="9"),MID($N48,2,1)=".")),1,IF(NOT(OR(AND(MID($N48,3,1)&gt;="0",MID($N48,3,1)&lt;="9"),MID($N48,3,1)=".")),2,IF(NOT(OR(AND(MID($N48,4,1)&gt;="0",MID($N48,4,1)&lt;="9"),MID($N48,4,1)=".")),3,IF(NOT(OR(AND(MID($N48,5,1)&gt;="0",MID($N48,5,1)&lt;="9"),MID($N48,5,1)=".")),4,IF(NOT(OR(AND(MID($N48,6,1)&gt;="0",MID($N48,6,1)&lt;="9"),MID($N48,6,1)=".")),5,6)))))))),0)))</f>
        <v>0</v>
      </c>
      <c r="P48" s="217">
        <f>IF(AND($M48&gt;0,$O48&gt;0),$O48/$M48-1,0)</f>
        <v>0</v>
      </c>
      <c r="Q48" s="214">
        <f>IF($B48="","",TRIM('Master Data-2026'!L44))</f>
      </c>
      <c r="R48" s="214">
        <f>IF($Q48="",0,IF(ISNUMBER(SEARCH("%",$Q48)),0,IFERROR(VALUE(LEFT($Q48,IF(NOT(OR(AND(MID($Q48,1,1)&gt;="0",MID($Q48,1,1)&lt;="9"),MID($Q48,1,1)=".")),0,IF(NOT(OR(AND(MID($Q48,2,1)&gt;="0",MID($Q48,2,1)&lt;="9"),MID($Q48,2,1)=".")),1,IF(NOT(OR(AND(MID($Q48,3,1)&gt;="0",MID($Q48,3,1)&lt;="9"),MID($Q48,3,1)=".")),2,IF(NOT(OR(AND(MID($Q48,4,1)&gt;="0",MID($Q48,4,1)&lt;="9"),MID($Q48,4,1)=".")),3,IF(NOT(OR(AND(MID($Q48,5,1)&gt;="0",MID($Q48,5,1)&lt;="9"),MID($Q48,5,1)=".")),4,IF(NOT(OR(AND(MID($Q48,6,1)&gt;="0",MID($Q48,6,1)&lt;="9"),MID($Q48,6,1)=".")),5,6)))))))),0)))</f>
        <v>0</v>
      </c>
      <c r="S48" s="218">
        <f>IF($Q48="",-1,IF(ISNUMBER(SEARCH("immediate",$Q48)),0,IF(ISNUMBER(SEARCH("month",$Q48)),IF($R48=0,-1,$R48*30),IF(ISNUMBER(SEARCH("day",$Q48)),IF($R48=0,-1,$R48),-1))))</f>
        <v>-1</v>
      </c>
      <c r="T48" s="214" t="str">
        <f>IF($B48="","",IF($S48&lt;0,"Not recorded",IF($S48=0,"Immediate",IF($S48&lt;=30,"1-30 days",IF($S48&lt;=60,"31-60 days","60+ days")))))</f>
        <v>Not recorded</v>
      </c>
      <c r="U48" s="214">
        <f>IF($B48="","",IFERROR(MATCH($B48,'Submission template'!$D$17:$D$300,0),""))</f>
        <v>21</v>
      </c>
      <c r="V48" s="214" t="str">
        <f>IF($U48="","",IFERROR(TRIM(INDEX('Submission template'!$I$17:$I$300,$U48)),""))</f>
        <v>8 Years</v>
      </c>
      <c r="W48" s="219">
        <f>IF($V48="",0,IF(ISNUMBER(SEARCH("%",$V48)),0,IFERROR(VALUE(LEFT($V48,IF(NOT(OR(AND(MID($V48,1,1)&gt;="0",MID($V48,1,1)&lt;="9"),MID($V48,1,1)=".")),0,IF(NOT(OR(AND(MID($V48,2,1)&gt;="0",MID($V48,2,1)&lt;="9"),MID($V48,2,1)=".")),1,IF(NOT(OR(AND(MID($V48,3,1)&gt;="0",MID($V48,3,1)&lt;="9"),MID($V48,3,1)=".")),2,IF(NOT(OR(AND(MID($V48,4,1)&gt;="0",MID($V48,4,1)&lt;="9"),MID($V48,4,1)=".")),3,IF(NOT(OR(AND(MID($V48,5,1)&gt;="0",MID($V48,5,1)&lt;="9"),MID($V48,5,1)=".")),4,IF(NOT(OR(AND(MID($V48,6,1)&gt;="0",MID($V48,6,1)&lt;="9"),MID($V48,6,1)=".")),5,6)))))))),0)))</f>
        <v>8</v>
      </c>
      <c r="X48" s="214" t="str">
        <f>IF($U48="","",IFERROR(TRIM(INDEX('Submission template'!$J$17:$J$300,$U48)),""))</f>
        <v>React 4Y + Node 4Y</v>
      </c>
      <c r="Y48" s="214" t="str">
        <f>IF($U48="","",IFERROR(TRIM(INDEX('Submission template'!$K$17:$K$300,$U48)),""))</f>
        <v>Cegeka</v>
      </c>
      <c r="Z48" s="214" t="str">
        <f>IF($U48="","",IFERROR(TRIM(INDEX('Submission template'!$M$17:$M$300,$U48)),""))</f>
        <v>SSD</v>
      </c>
      <c r="AA48" s="214" t="str">
        <f>IF($U48="","",IFERROR(TRIM(INDEX('Submission template'!$O$17:$O$300,$U48)),""))</f>
        <v>Chennai</v>
      </c>
      <c r="AB48" s="214" t="str">
        <f>IF($U48="","",IFERROR(TRIM(INDEX('Submission template'!$S$17:$S$300,$U48)),""))</f>
        <v>Project Ended</v>
      </c>
      <c r="AC48" s="214">
        <f>IF($B48="",0,IF($U48="",0,1))</f>
        <v>1</v>
      </c>
      <c r="AD48" s="214">
        <f>IF($B48="",0,IF(OR($H48=TargetLocation,AND($AA48&lt;&gt;"",ISNUMBER(SEARCH(TargetLocation,$AA48)))),1,0))</f>
        <v>1</v>
      </c>
      <c r="AE48" s="214">
        <f>IF($B48="",0,IF(AND(OR(SelRecruiter="All",$C48=SelRecruiter),OR(SelCity="All",$H48=SelCity),OR(SelStage="All",$I48=SelStage),OR(SelRequisition="All",$F48=SelRequisition)),1,0))</f>
        <v>1</v>
      </c>
      <c r="AF48" s="214">
        <f>IF($B48="","",COUNT($AF$5:AF47)+1)</f>
        <v>43</v>
      </c>
      <c r="AG48" s="214">
        <f>IF($C48="","",IF(COUNTIF($C$6:$C48,$C48)=1,COUNT($AG$5:AG47)+1,""))</f>
      </c>
      <c r="AH48" s="214">
        <f>IF($F48="","",IF(COUNTIF($F$6:$F48,$F48)=1,COUNT($AH$5:AH47)+1,""))</f>
      </c>
      <c r="AI48" s="214">
        <f>IF($H48="","",IF(COUNTIF($H$6:$H48,$H48)=1,COUNT($AI$5:AI47)+1,""))</f>
      </c>
      <c r="AJ48" s="214">
        <f>IF(OR($B48="",$J48=0),"",$J48*100000000+IF(ISNUMBER($D48),$D48,0)*1000+(170-$A48))</f>
        <v>246248127</v>
      </c>
      <c r="AK48" s="214">
        <f>IF(OR($B48="",$W48&lt;=0),"",ROUND($W48*10,0)*100000+(170-$A48))</f>
        <v>8000127</v>
      </c>
      <c r="AL48" s="214">
        <f>IF(OR($B48="",$P48&lt;=0),"",ROUND($P48*10000,0)*1000+(170-$A48))</f>
      </c>
      <c r="AM48" s="214">
        <f>IF(AND($W48&gt;0,$O48&gt;0),COUNT($AM$5:AM47)+1,"")</f>
      </c>
      <c r="AN48">
        <f>IF($B48="",0,IF($G48="",0,SUMPRODUCT(MAX(ISNUMBER(SEARCH(LocPattern,$G48))*LocIdx))))</f>
        <v>16</v>
      </c>
      <c r="BL48" t="str">
        <f>IFERROR(INDEX($B$6:$B$125,MATCH(43,$AF$6:$AF$125,0)),"")</f>
        <v>Rajesh</v>
      </c>
    </row>
    <row r="49">
      <c r="A49" s="220" t="n">
        <v>44</v>
      </c>
      <c r="B49" s="220" t="str">
        <f>IF(TRIM('Master Data-2026'!D45)="","",TRIM('Master Data-2026'!D45))</f>
        <v>Shabana</v>
      </c>
      <c r="C49" s="220" t="str">
        <f>IF($B49="","",TRIM('Master Data-2026'!A45))</f>
        <v>Sarath</v>
      </c>
      <c r="D49" s="221">
        <f>IF($B49="","",IF('Master Data-2026'!B45="","",'Master Data-2026'!B45))</f>
        <v>46248</v>
      </c>
      <c r="E49" s="220" t="str">
        <f>IF($B49="","",TRIM('Master Data-2026'!C45))</f>
        <v>August</v>
      </c>
      <c r="F49" s="220" t="str">
        <f>IF($B49="","",TRIM('Master Data-2026'!G45))</f>
        <v>Full Stack Developer</v>
      </c>
      <c r="G49" s="220" t="str">
        <f>IF($B49="","",TRIM('Master Data-2026'!F45))</f>
        <v>Chennai</v>
      </c>
      <c r="H49" s="220" t="str">
        <f>IF($B49="","",IF($G49="","Not recorded",IF($AN49=0,"Other",INDEX(LocCity,$AN49))))</f>
        <v>Chennai</v>
      </c>
      <c r="I49" s="220" t="str">
        <f>IF($B49="","",TRIM('Master Data-2026'!H45))</f>
        <v>ZN Submission</v>
      </c>
      <c r="J49" s="220">
        <f>IF($B49="",0,IFERROR(INDEX(StageOrderRef,MATCH($I49,StageNameRef,0)),0))</f>
        <v>2</v>
      </c>
      <c r="K49" s="220" t="str">
        <f>IF($B49="","",TRIM('Master Data-2026'!I45))</f>
        <v>Client Review</v>
      </c>
      <c r="L49" s="220">
        <f>IF($B49="","",TRIM('Master Data-2026'!J45))</f>
      </c>
      <c r="M49" s="222">
        <f>IF($L49="",0,IF(ISNUMBER(SEARCH("%",$L49)),0,IFERROR(VALUE(LEFT($L49,IF(NOT(OR(AND(MID($L49,1,1)&gt;="0",MID($L49,1,1)&lt;="9"),MID($L49,1,1)=".")),0,IF(NOT(OR(AND(MID($L49,2,1)&gt;="0",MID($L49,2,1)&lt;="9"),MID($L49,2,1)=".")),1,IF(NOT(OR(AND(MID($L49,3,1)&gt;="0",MID($L49,3,1)&lt;="9"),MID($L49,3,1)=".")),2,IF(NOT(OR(AND(MID($L49,4,1)&gt;="0",MID($L49,4,1)&lt;="9"),MID($L49,4,1)=".")),3,IF(NOT(OR(AND(MID($L49,5,1)&gt;="0",MID($L49,5,1)&lt;="9"),MID($L49,5,1)=".")),4,IF(NOT(OR(AND(MID($L49,6,1)&gt;="0",MID($L49,6,1)&lt;="9"),MID($L49,6,1)=".")),5,6)))))))),0)))</f>
        <v>0</v>
      </c>
      <c r="N49" s="220">
        <f>IF($B49="","",TRIM('Master Data-2026'!K45))</f>
      </c>
      <c r="O49" s="222">
        <f>IF($N49="",0,IF(ISNUMBER(SEARCH("%",$N49)),0,IFERROR(VALUE(LEFT($N49,IF(NOT(OR(AND(MID($N49,1,1)&gt;="0",MID($N49,1,1)&lt;="9"),MID($N49,1,1)=".")),0,IF(NOT(OR(AND(MID($N49,2,1)&gt;="0",MID($N49,2,1)&lt;="9"),MID($N49,2,1)=".")),1,IF(NOT(OR(AND(MID($N49,3,1)&gt;="0",MID($N49,3,1)&lt;="9"),MID($N49,3,1)=".")),2,IF(NOT(OR(AND(MID($N49,4,1)&gt;="0",MID($N49,4,1)&lt;="9"),MID($N49,4,1)=".")),3,IF(NOT(OR(AND(MID($N49,5,1)&gt;="0",MID($N49,5,1)&lt;="9"),MID($N49,5,1)=".")),4,IF(NOT(OR(AND(MID($N49,6,1)&gt;="0",MID($N49,6,1)&lt;="9"),MID($N49,6,1)=".")),5,6)))))))),0)))</f>
        <v>0</v>
      </c>
      <c r="P49" s="223">
        <f>IF(AND($M49&gt;0,$O49&gt;0),$O49/$M49-1,0)</f>
        <v>0</v>
      </c>
      <c r="Q49" s="220">
        <f>IF($B49="","",TRIM('Master Data-2026'!L45))</f>
      </c>
      <c r="R49" s="220">
        <f>IF($Q49="",0,IF(ISNUMBER(SEARCH("%",$Q49)),0,IFERROR(VALUE(LEFT($Q49,IF(NOT(OR(AND(MID($Q49,1,1)&gt;="0",MID($Q49,1,1)&lt;="9"),MID($Q49,1,1)=".")),0,IF(NOT(OR(AND(MID($Q49,2,1)&gt;="0",MID($Q49,2,1)&lt;="9"),MID($Q49,2,1)=".")),1,IF(NOT(OR(AND(MID($Q49,3,1)&gt;="0",MID($Q49,3,1)&lt;="9"),MID($Q49,3,1)=".")),2,IF(NOT(OR(AND(MID($Q49,4,1)&gt;="0",MID($Q49,4,1)&lt;="9"),MID($Q49,4,1)=".")),3,IF(NOT(OR(AND(MID($Q49,5,1)&gt;="0",MID($Q49,5,1)&lt;="9"),MID($Q49,5,1)=".")),4,IF(NOT(OR(AND(MID($Q49,6,1)&gt;="0",MID($Q49,6,1)&lt;="9"),MID($Q49,6,1)=".")),5,6)))))))),0)))</f>
        <v>0</v>
      </c>
      <c r="S49" s="224">
        <f>IF($Q49="",-1,IF(ISNUMBER(SEARCH("immediate",$Q49)),0,IF(ISNUMBER(SEARCH("month",$Q49)),IF($R49=0,-1,$R49*30),IF(ISNUMBER(SEARCH("day",$Q49)),IF($R49=0,-1,$R49),-1))))</f>
        <v>-1</v>
      </c>
      <c r="T49" s="220" t="str">
        <f>IF($B49="","",IF($S49&lt;0,"Not recorded",IF($S49=0,"Immediate",IF($S49&lt;=30,"1-30 days",IF($S49&lt;=60,"31-60 days","60+ days")))))</f>
        <v>Not recorded</v>
      </c>
      <c r="U49" s="220">
        <f>IF($B49="","",IFERROR(MATCH($B49,'Submission template'!$D$17:$D$300,0),""))</f>
        <v>22</v>
      </c>
      <c r="V49" s="220" t="str">
        <f>IF($U49="","",IFERROR(TRIM(INDEX('Submission template'!$I$17:$I$300,$U49)),""))</f>
        <v>8 Years</v>
      </c>
      <c r="W49" s="225">
        <f>IF($V49="",0,IF(ISNUMBER(SEARCH("%",$V49)),0,IFERROR(VALUE(LEFT($V49,IF(NOT(OR(AND(MID($V49,1,1)&gt;="0",MID($V49,1,1)&lt;="9"),MID($V49,1,1)=".")),0,IF(NOT(OR(AND(MID($V49,2,1)&gt;="0",MID($V49,2,1)&lt;="9"),MID($V49,2,1)=".")),1,IF(NOT(OR(AND(MID($V49,3,1)&gt;="0",MID($V49,3,1)&lt;="9"),MID($V49,3,1)=".")),2,IF(NOT(OR(AND(MID($V49,4,1)&gt;="0",MID($V49,4,1)&lt;="9"),MID($V49,4,1)=".")),3,IF(NOT(OR(AND(MID($V49,5,1)&gt;="0",MID($V49,5,1)&lt;="9"),MID($V49,5,1)=".")),4,IF(NOT(OR(AND(MID($V49,6,1)&gt;="0",MID($V49,6,1)&lt;="9"),MID($V49,6,1)=".")),5,6)))))))),0)))</f>
        <v>8</v>
      </c>
      <c r="X49" s="220" t="str">
        <f>IF($U49="","",IFERROR(TRIM(INDEX('Submission template'!$J$17:$J$300,$U49)),""))</f>
        <v>React 6Y+ Node 6Y</v>
      </c>
      <c r="Y49" s="220" t="str">
        <f>IF($U49="","",IFERROR(TRIM(INDEX('Submission template'!$K$17:$K$300,$U49)),""))</f>
        <v>Synechron Technologies</v>
      </c>
      <c r="Z49" s="220" t="str">
        <f>IF($U49="","",IFERROR(TRIM(INDEX('Submission template'!$M$17:$M$300,$U49)),""))</f>
        <v>Senior Associate</v>
      </c>
      <c r="AA49" s="220" t="str">
        <f>IF($U49="","",IFERROR(TRIM(INDEX('Submission template'!$O$17:$O$300,$U49)),""))</f>
        <v>Chennai</v>
      </c>
      <c r="AB49" s="220" t="str">
        <f>IF($U49="","",IFERROR(TRIM(INDEX('Submission template'!$S$17:$S$300,$U49)),""))</f>
        <v>Project Ended</v>
      </c>
      <c r="AC49" s="220">
        <f>IF($B49="",0,IF($U49="",0,1))</f>
        <v>1</v>
      </c>
      <c r="AD49" s="220">
        <f>IF($B49="",0,IF(OR($H49=TargetLocation,AND($AA49&lt;&gt;"",ISNUMBER(SEARCH(TargetLocation,$AA49)))),1,0))</f>
        <v>1</v>
      </c>
      <c r="AE49" s="220">
        <f>IF($B49="",0,IF(AND(OR(SelRecruiter="All",$C49=SelRecruiter),OR(SelCity="All",$H49=SelCity),OR(SelStage="All",$I49=SelStage),OR(SelRequisition="All",$F49=SelRequisition)),1,0))</f>
        <v>1</v>
      </c>
      <c r="AF49" s="220">
        <f>IF($B49="","",COUNT($AF$5:AF48)+1)</f>
        <v>44</v>
      </c>
      <c r="AG49" s="220">
        <f>IF($C49="","",IF(COUNTIF($C$6:$C49,$C49)=1,COUNT($AG$5:AG48)+1,""))</f>
      </c>
      <c r="AH49" s="220">
        <f>IF($F49="","",IF(COUNTIF($F$6:$F49,$F49)=1,COUNT($AH$5:AH48)+1,""))</f>
      </c>
      <c r="AI49" s="220">
        <f>IF($H49="","",IF(COUNTIF($H$6:$H49,$H49)=1,COUNT($AI$5:AI48)+1,""))</f>
      </c>
      <c r="AJ49" s="220">
        <f>IF(OR($B49="",$J49=0),"",$J49*100000000+IF(ISNUMBER($D49),$D49,0)*1000+(170-$A49))</f>
        <v>246248126</v>
      </c>
      <c r="AK49" s="220">
        <f>IF(OR($B49="",$W49&lt;=0),"",ROUND($W49*10,0)*100000+(170-$A49))</f>
        <v>8000126</v>
      </c>
      <c r="AL49" s="220">
        <f>IF(OR($B49="",$P49&lt;=0),"",ROUND($P49*10000,0)*1000+(170-$A49))</f>
      </c>
      <c r="AM49" s="220">
        <f>IF(AND($W49&gt;0,$O49&gt;0),COUNT($AM$5:AM48)+1,"")</f>
      </c>
      <c r="AN49">
        <f>IF($B49="",0,IF($G49="",0,SUMPRODUCT(MAX(ISNUMBER(SEARCH(LocPattern,$G49))*LocIdx))))</f>
        <v>16</v>
      </c>
      <c r="BL49" t="str">
        <f>IFERROR(INDEX($B$6:$B$125,MATCH(44,$AF$6:$AF$125,0)),"")</f>
        <v>Shabana</v>
      </c>
    </row>
    <row r="50">
      <c r="A50" s="214" t="n">
        <v>45</v>
      </c>
      <c r="B50" s="214" t="str">
        <f>IF(TRIM('Master Data-2026'!D46)="","",TRIM('Master Data-2026'!D46))</f>
        <v>Ganesh Babu</v>
      </c>
      <c r="C50" s="214" t="str">
        <f>IF($B50="","",TRIM('Master Data-2026'!A46))</f>
        <v>Ananthy</v>
      </c>
      <c r="D50" s="215">
        <f>IF($B50="","",IF('Master Data-2026'!B46="","",'Master Data-2026'!B46))</f>
        <v>46248</v>
      </c>
      <c r="E50" s="214" t="str">
        <f>IF($B50="","",TRIM('Master Data-2026'!C46))</f>
        <v>August</v>
      </c>
      <c r="F50" s="214">
        <f>IF($B50="","",TRIM('Master Data-2026'!G46))</f>
      </c>
      <c r="G50" s="214">
        <f>IF($B50="","",TRIM('Master Data-2026'!F46))</f>
      </c>
      <c r="H50" s="214" t="str">
        <f>IF($B50="","",IF($G50="","Not recorded",IF($AN50=0,"Other",INDEX(LocCity,$AN50))))</f>
        <v>Not recorded</v>
      </c>
      <c r="I50" s="214" t="str">
        <f>IF($B50="","",TRIM('Master Data-2026'!H46))</f>
        <v>Telephonic Screening</v>
      </c>
      <c r="J50" s="214">
        <f>IF($B50="",0,IFERROR(INDEX(StageOrderRef,MATCH($I50,StageNameRef,0)),0))</f>
        <v>1</v>
      </c>
      <c r="K50" s="214">
        <f>IF($B50="","",TRIM('Master Data-2026'!I46))</f>
      </c>
      <c r="L50" s="214">
        <f>IF($B50="","",TRIM('Master Data-2026'!J46))</f>
      </c>
      <c r="M50" s="216">
        <f>IF($L50="",0,IF(ISNUMBER(SEARCH("%",$L50)),0,IFERROR(VALUE(LEFT($L50,IF(NOT(OR(AND(MID($L50,1,1)&gt;="0",MID($L50,1,1)&lt;="9"),MID($L50,1,1)=".")),0,IF(NOT(OR(AND(MID($L50,2,1)&gt;="0",MID($L50,2,1)&lt;="9"),MID($L50,2,1)=".")),1,IF(NOT(OR(AND(MID($L50,3,1)&gt;="0",MID($L50,3,1)&lt;="9"),MID($L50,3,1)=".")),2,IF(NOT(OR(AND(MID($L50,4,1)&gt;="0",MID($L50,4,1)&lt;="9"),MID($L50,4,1)=".")),3,IF(NOT(OR(AND(MID($L50,5,1)&gt;="0",MID($L50,5,1)&lt;="9"),MID($L50,5,1)=".")),4,IF(NOT(OR(AND(MID($L50,6,1)&gt;="0",MID($L50,6,1)&lt;="9"),MID($L50,6,1)=".")),5,6)))))))),0)))</f>
        <v>0</v>
      </c>
      <c r="N50" s="214">
        <f>IF($B50="","",TRIM('Master Data-2026'!K46))</f>
      </c>
      <c r="O50" s="216">
        <f>IF($N50="",0,IF(ISNUMBER(SEARCH("%",$N50)),0,IFERROR(VALUE(LEFT($N50,IF(NOT(OR(AND(MID($N50,1,1)&gt;="0",MID($N50,1,1)&lt;="9"),MID($N50,1,1)=".")),0,IF(NOT(OR(AND(MID($N50,2,1)&gt;="0",MID($N50,2,1)&lt;="9"),MID($N50,2,1)=".")),1,IF(NOT(OR(AND(MID($N50,3,1)&gt;="0",MID($N50,3,1)&lt;="9"),MID($N50,3,1)=".")),2,IF(NOT(OR(AND(MID($N50,4,1)&gt;="0",MID($N50,4,1)&lt;="9"),MID($N50,4,1)=".")),3,IF(NOT(OR(AND(MID($N50,5,1)&gt;="0",MID($N50,5,1)&lt;="9"),MID($N50,5,1)=".")),4,IF(NOT(OR(AND(MID($N50,6,1)&gt;="0",MID($N50,6,1)&lt;="9"),MID($N50,6,1)=".")),5,6)))))))),0)))</f>
        <v>0</v>
      </c>
      <c r="P50" s="217">
        <f>IF(AND($M50&gt;0,$O50&gt;0),$O50/$M50-1,0)</f>
        <v>0</v>
      </c>
      <c r="Q50" s="214">
        <f>IF($B50="","",TRIM('Master Data-2026'!L46))</f>
      </c>
      <c r="R50" s="214">
        <f>IF($Q50="",0,IF(ISNUMBER(SEARCH("%",$Q50)),0,IFERROR(VALUE(LEFT($Q50,IF(NOT(OR(AND(MID($Q50,1,1)&gt;="0",MID($Q50,1,1)&lt;="9"),MID($Q50,1,1)=".")),0,IF(NOT(OR(AND(MID($Q50,2,1)&gt;="0",MID($Q50,2,1)&lt;="9"),MID($Q50,2,1)=".")),1,IF(NOT(OR(AND(MID($Q50,3,1)&gt;="0",MID($Q50,3,1)&lt;="9"),MID($Q50,3,1)=".")),2,IF(NOT(OR(AND(MID($Q50,4,1)&gt;="0",MID($Q50,4,1)&lt;="9"),MID($Q50,4,1)=".")),3,IF(NOT(OR(AND(MID($Q50,5,1)&gt;="0",MID($Q50,5,1)&lt;="9"),MID($Q50,5,1)=".")),4,IF(NOT(OR(AND(MID($Q50,6,1)&gt;="0",MID($Q50,6,1)&lt;="9"),MID($Q50,6,1)=".")),5,6)))))))),0)))</f>
        <v>0</v>
      </c>
      <c r="S50" s="218">
        <f>IF($Q50="",-1,IF(ISNUMBER(SEARCH("immediate",$Q50)),0,IF(ISNUMBER(SEARCH("month",$Q50)),IF($R50=0,-1,$R50*30),IF(ISNUMBER(SEARCH("day",$Q50)),IF($R50=0,-1,$R50),-1))))</f>
        <v>-1</v>
      </c>
      <c r="T50" s="214" t="str">
        <f>IF($B50="","",IF($S50&lt;0,"Not recorded",IF($S50=0,"Immediate",IF($S50&lt;=30,"1-30 days",IF($S50&lt;=60,"31-60 days","60+ days")))))</f>
        <v>Not recorded</v>
      </c>
      <c r="U50" s="214">
        <f>IF($B50="","",IFERROR(MATCH($B50,'Submission template'!$D$17:$D$300,0),""))</f>
      </c>
      <c r="V50" s="214">
        <f>IF($U50="","",IFERROR(TRIM(INDEX('Submission template'!$I$17:$I$300,$U50)),""))</f>
      </c>
      <c r="W50" s="219">
        <f>IF($V50="",0,IF(ISNUMBER(SEARCH("%",$V50)),0,IFERROR(VALUE(LEFT($V50,IF(NOT(OR(AND(MID($V50,1,1)&gt;="0",MID($V50,1,1)&lt;="9"),MID($V50,1,1)=".")),0,IF(NOT(OR(AND(MID($V50,2,1)&gt;="0",MID($V50,2,1)&lt;="9"),MID($V50,2,1)=".")),1,IF(NOT(OR(AND(MID($V50,3,1)&gt;="0",MID($V50,3,1)&lt;="9"),MID($V50,3,1)=".")),2,IF(NOT(OR(AND(MID($V50,4,1)&gt;="0",MID($V50,4,1)&lt;="9"),MID($V50,4,1)=".")),3,IF(NOT(OR(AND(MID($V50,5,1)&gt;="0",MID($V50,5,1)&lt;="9"),MID($V50,5,1)=".")),4,IF(NOT(OR(AND(MID($V50,6,1)&gt;="0",MID($V50,6,1)&lt;="9"),MID($V50,6,1)=".")),5,6)))))))),0)))</f>
        <v>0</v>
      </c>
      <c r="X50" s="214">
        <f>IF($U50="","",IFERROR(TRIM(INDEX('Submission template'!$J$17:$J$300,$U50)),""))</f>
      </c>
      <c r="Y50" s="214">
        <f>IF($U50="","",IFERROR(TRIM(INDEX('Submission template'!$K$17:$K$300,$U50)),""))</f>
      </c>
      <c r="Z50" s="214">
        <f>IF($U50="","",IFERROR(TRIM(INDEX('Submission template'!$M$17:$M$300,$U50)),""))</f>
      </c>
      <c r="AA50" s="214">
        <f>IF($U50="","",IFERROR(TRIM(INDEX('Submission template'!$O$17:$O$300,$U50)),""))</f>
      </c>
      <c r="AB50" s="214">
        <f>IF($U50="","",IFERROR(TRIM(INDEX('Submission template'!$S$17:$S$300,$U50)),""))</f>
      </c>
      <c r="AC50" s="214">
        <f>IF($B50="",0,IF($U50="",0,1))</f>
        <v>0</v>
      </c>
      <c r="AD50" s="214">
        <f>IF($B50="",0,IF(OR($H50=TargetLocation,AND($AA50&lt;&gt;"",ISNUMBER(SEARCH(TargetLocation,$AA50)))),1,0))</f>
        <v>0</v>
      </c>
      <c r="AE50" s="214">
        <f>IF($B50="",0,IF(AND(OR(SelRecruiter="All",$C50=SelRecruiter),OR(SelCity="All",$H50=SelCity),OR(SelStage="All",$I50=SelStage),OR(SelRequisition="All",$F50=SelRequisition)),1,0))</f>
        <v>1</v>
      </c>
      <c r="AF50" s="214">
        <f>IF($B50="","",COUNT($AF$5:AF49)+1)</f>
        <v>45</v>
      </c>
      <c r="AG50" s="214">
        <f>IF($C50="","",IF(COUNTIF($C$6:$C50,$C50)=1,COUNT($AG$5:AG49)+1,""))</f>
      </c>
      <c r="AH50" s="214">
        <f>IF($F50="","",IF(COUNTIF($F$6:$F50,$F50)=1,COUNT($AH$5:AH49)+1,""))</f>
      </c>
      <c r="AI50" s="214">
        <f>IF($H50="","",IF(COUNTIF($H$6:$H50,$H50)=1,COUNT($AI$5:AI49)+1,""))</f>
      </c>
      <c r="AJ50" s="214">
        <f>IF(OR($B50="",$J50=0),"",$J50*100000000+IF(ISNUMBER($D50),$D50,0)*1000+(170-$A50))</f>
        <v>146248125</v>
      </c>
      <c r="AK50" s="214">
        <f>IF(OR($B50="",$W50&lt;=0),"",ROUND($W50*10,0)*100000+(170-$A50))</f>
      </c>
      <c r="AL50" s="214">
        <f>IF(OR($B50="",$P50&lt;=0),"",ROUND($P50*10000,0)*1000+(170-$A50))</f>
      </c>
      <c r="AM50" s="214">
        <f>IF(AND($W50&gt;0,$O50&gt;0),COUNT($AM$5:AM49)+1,"")</f>
      </c>
      <c r="AN50">
        <f>IF($B50="",0,IF($G50="",0,SUMPRODUCT(MAX(ISNUMBER(SEARCH(LocPattern,$G50))*LocIdx))))</f>
        <v>0</v>
      </c>
      <c r="BL50" t="str">
        <f>IFERROR(INDEX($B$6:$B$125,MATCH(45,$AF$6:$AF$125,0)),"")</f>
        <v>Ganesh Babu</v>
      </c>
    </row>
    <row r="51">
      <c r="A51" s="220" t="n">
        <v>46</v>
      </c>
      <c r="B51" s="220" t="str">
        <f>IF(TRIM('Master Data-2026'!D47)="","",TRIM('Master Data-2026'!D47))</f>
        <v>Mohan Kumar Nulu</v>
      </c>
      <c r="C51" s="220" t="str">
        <f>IF($B51="","",TRIM('Master Data-2026'!A47))</f>
        <v>Vandana</v>
      </c>
      <c r="D51" s="221">
        <f>IF($B51="","",IF('Master Data-2026'!B47="","",'Master Data-2026'!B47))</f>
        <v>46248</v>
      </c>
      <c r="E51" s="220" t="str">
        <f>IF($B51="","",TRIM('Master Data-2026'!C47))</f>
        <v>August</v>
      </c>
      <c r="F51" s="220" t="str">
        <f>IF($B51="","",TRIM('Master Data-2026'!G47))</f>
        <v>Full Stack Developer</v>
      </c>
      <c r="G51" s="220">
        <f>IF($B51="","",TRIM('Master Data-2026'!F47))</f>
      </c>
      <c r="H51" s="220" t="str">
        <f>IF($B51="","",IF($G51="","Not recorded",IF($AN51=0,"Other",INDEX(LocCity,$AN51))))</f>
        <v>Not recorded</v>
      </c>
      <c r="I51" s="220" t="str">
        <f>IF($B51="","",TRIM('Master Data-2026'!H47))</f>
        <v>Telephonic Screening</v>
      </c>
      <c r="J51" s="220">
        <f>IF($B51="",0,IFERROR(INDEX(StageOrderRef,MATCH($I51,StageNameRef,0)),0))</f>
        <v>1</v>
      </c>
      <c r="K51" s="220" t="str">
        <f>IF($B51="","",TRIM('Master Data-2026'!I47))</f>
        <v>No response dropped a message</v>
      </c>
      <c r="L51" s="220">
        <f>IF($B51="","",TRIM('Master Data-2026'!J47))</f>
      </c>
      <c r="M51" s="222">
        <f>IF($L51="",0,IF(ISNUMBER(SEARCH("%",$L51)),0,IFERROR(VALUE(LEFT($L51,IF(NOT(OR(AND(MID($L51,1,1)&gt;="0",MID($L51,1,1)&lt;="9"),MID($L51,1,1)=".")),0,IF(NOT(OR(AND(MID($L51,2,1)&gt;="0",MID($L51,2,1)&lt;="9"),MID($L51,2,1)=".")),1,IF(NOT(OR(AND(MID($L51,3,1)&gt;="0",MID($L51,3,1)&lt;="9"),MID($L51,3,1)=".")),2,IF(NOT(OR(AND(MID($L51,4,1)&gt;="0",MID($L51,4,1)&lt;="9"),MID($L51,4,1)=".")),3,IF(NOT(OR(AND(MID($L51,5,1)&gt;="0",MID($L51,5,1)&lt;="9"),MID($L51,5,1)=".")),4,IF(NOT(OR(AND(MID($L51,6,1)&gt;="0",MID($L51,6,1)&lt;="9"),MID($L51,6,1)=".")),5,6)))))))),0)))</f>
        <v>0</v>
      </c>
      <c r="N51" s="220">
        <f>IF($B51="","",TRIM('Master Data-2026'!K47))</f>
      </c>
      <c r="O51" s="222">
        <f>IF($N51="",0,IF(ISNUMBER(SEARCH("%",$N51)),0,IFERROR(VALUE(LEFT($N51,IF(NOT(OR(AND(MID($N51,1,1)&gt;="0",MID($N51,1,1)&lt;="9"),MID($N51,1,1)=".")),0,IF(NOT(OR(AND(MID($N51,2,1)&gt;="0",MID($N51,2,1)&lt;="9"),MID($N51,2,1)=".")),1,IF(NOT(OR(AND(MID($N51,3,1)&gt;="0",MID($N51,3,1)&lt;="9"),MID($N51,3,1)=".")),2,IF(NOT(OR(AND(MID($N51,4,1)&gt;="0",MID($N51,4,1)&lt;="9"),MID($N51,4,1)=".")),3,IF(NOT(OR(AND(MID($N51,5,1)&gt;="0",MID($N51,5,1)&lt;="9"),MID($N51,5,1)=".")),4,IF(NOT(OR(AND(MID($N51,6,1)&gt;="0",MID($N51,6,1)&lt;="9"),MID($N51,6,1)=".")),5,6)))))))),0)))</f>
        <v>0</v>
      </c>
      <c r="P51" s="223">
        <f>IF(AND($M51&gt;0,$O51&gt;0),$O51/$M51-1,0)</f>
        <v>0</v>
      </c>
      <c r="Q51" s="220">
        <f>IF($B51="","",TRIM('Master Data-2026'!L47))</f>
      </c>
      <c r="R51" s="220">
        <f>IF($Q51="",0,IF(ISNUMBER(SEARCH("%",$Q51)),0,IFERROR(VALUE(LEFT($Q51,IF(NOT(OR(AND(MID($Q51,1,1)&gt;="0",MID($Q51,1,1)&lt;="9"),MID($Q51,1,1)=".")),0,IF(NOT(OR(AND(MID($Q51,2,1)&gt;="0",MID($Q51,2,1)&lt;="9"),MID($Q51,2,1)=".")),1,IF(NOT(OR(AND(MID($Q51,3,1)&gt;="0",MID($Q51,3,1)&lt;="9"),MID($Q51,3,1)=".")),2,IF(NOT(OR(AND(MID($Q51,4,1)&gt;="0",MID($Q51,4,1)&lt;="9"),MID($Q51,4,1)=".")),3,IF(NOT(OR(AND(MID($Q51,5,1)&gt;="0",MID($Q51,5,1)&lt;="9"),MID($Q51,5,1)=".")),4,IF(NOT(OR(AND(MID($Q51,6,1)&gt;="0",MID($Q51,6,1)&lt;="9"),MID($Q51,6,1)=".")),5,6)))))))),0)))</f>
        <v>0</v>
      </c>
      <c r="S51" s="224">
        <f>IF($Q51="",-1,IF(ISNUMBER(SEARCH("immediate",$Q51)),0,IF(ISNUMBER(SEARCH("month",$Q51)),IF($R51=0,-1,$R51*30),IF(ISNUMBER(SEARCH("day",$Q51)),IF($R51=0,-1,$R51),-1))))</f>
        <v>-1</v>
      </c>
      <c r="T51" s="220" t="str">
        <f>IF($B51="","",IF($S51&lt;0,"Not recorded",IF($S51=0,"Immediate",IF($S51&lt;=30,"1-30 days",IF($S51&lt;=60,"31-60 days","60+ days")))))</f>
        <v>Not recorded</v>
      </c>
      <c r="U51" s="220">
        <f>IF($B51="","",IFERROR(MATCH($B51,'Submission template'!$D$17:$D$300,0),""))</f>
      </c>
      <c r="V51" s="220">
        <f>IF($U51="","",IFERROR(TRIM(INDEX('Submission template'!$I$17:$I$300,$U51)),""))</f>
      </c>
      <c r="W51" s="225">
        <f>IF($V51="",0,IF(ISNUMBER(SEARCH("%",$V51)),0,IFERROR(VALUE(LEFT($V51,IF(NOT(OR(AND(MID($V51,1,1)&gt;="0",MID($V51,1,1)&lt;="9"),MID($V51,1,1)=".")),0,IF(NOT(OR(AND(MID($V51,2,1)&gt;="0",MID($V51,2,1)&lt;="9"),MID($V51,2,1)=".")),1,IF(NOT(OR(AND(MID($V51,3,1)&gt;="0",MID($V51,3,1)&lt;="9"),MID($V51,3,1)=".")),2,IF(NOT(OR(AND(MID($V51,4,1)&gt;="0",MID($V51,4,1)&lt;="9"),MID($V51,4,1)=".")),3,IF(NOT(OR(AND(MID($V51,5,1)&gt;="0",MID($V51,5,1)&lt;="9"),MID($V51,5,1)=".")),4,IF(NOT(OR(AND(MID($V51,6,1)&gt;="0",MID($V51,6,1)&lt;="9"),MID($V51,6,1)=".")),5,6)))))))),0)))</f>
        <v>0</v>
      </c>
      <c r="X51" s="220">
        <f>IF($U51="","",IFERROR(TRIM(INDEX('Submission template'!$J$17:$J$300,$U51)),""))</f>
      </c>
      <c r="Y51" s="220">
        <f>IF($U51="","",IFERROR(TRIM(INDEX('Submission template'!$K$17:$K$300,$U51)),""))</f>
      </c>
      <c r="Z51" s="220">
        <f>IF($U51="","",IFERROR(TRIM(INDEX('Submission template'!$M$17:$M$300,$U51)),""))</f>
      </c>
      <c r="AA51" s="220">
        <f>IF($U51="","",IFERROR(TRIM(INDEX('Submission template'!$O$17:$O$300,$U51)),""))</f>
      </c>
      <c r="AB51" s="220">
        <f>IF($U51="","",IFERROR(TRIM(INDEX('Submission template'!$S$17:$S$300,$U51)),""))</f>
      </c>
      <c r="AC51" s="220">
        <f>IF($B51="",0,IF($U51="",0,1))</f>
        <v>0</v>
      </c>
      <c r="AD51" s="220">
        <f>IF($B51="",0,IF(OR($H51=TargetLocation,AND($AA51&lt;&gt;"",ISNUMBER(SEARCH(TargetLocation,$AA51)))),1,0))</f>
        <v>0</v>
      </c>
      <c r="AE51" s="220">
        <f>IF($B51="",0,IF(AND(OR(SelRecruiter="All",$C51=SelRecruiter),OR(SelCity="All",$H51=SelCity),OR(SelStage="All",$I51=SelStage),OR(SelRequisition="All",$F51=SelRequisition)),1,0))</f>
        <v>1</v>
      </c>
      <c r="AF51" s="220">
        <f>IF($B51="","",COUNT($AF$5:AF50)+1)</f>
        <v>46</v>
      </c>
      <c r="AG51" s="220">
        <f>IF($C51="","",IF(COUNTIF($C$6:$C51,$C51)=1,COUNT($AG$5:AG50)+1,""))</f>
      </c>
      <c r="AH51" s="220">
        <f>IF($F51="","",IF(COUNTIF($F$6:$F51,$F51)=1,COUNT($AH$5:AH50)+1,""))</f>
      </c>
      <c r="AI51" s="220">
        <f>IF($H51="","",IF(COUNTIF($H$6:$H51,$H51)=1,COUNT($AI$5:AI50)+1,""))</f>
      </c>
      <c r="AJ51" s="220">
        <f>IF(OR($B51="",$J51=0),"",$J51*100000000+IF(ISNUMBER($D51),$D51,0)*1000+(170-$A51))</f>
        <v>146248124</v>
      </c>
      <c r="AK51" s="220">
        <f>IF(OR($B51="",$W51&lt;=0),"",ROUND($W51*10,0)*100000+(170-$A51))</f>
      </c>
      <c r="AL51" s="220">
        <f>IF(OR($B51="",$P51&lt;=0),"",ROUND($P51*10000,0)*1000+(170-$A51))</f>
      </c>
      <c r="AM51" s="220">
        <f>IF(AND($W51&gt;0,$O51&gt;0),COUNT($AM$5:AM50)+1,"")</f>
      </c>
      <c r="AN51">
        <f>IF($B51="",0,IF($G51="",0,SUMPRODUCT(MAX(ISNUMBER(SEARCH(LocPattern,$G51))*LocIdx))))</f>
        <v>0</v>
      </c>
      <c r="BL51" t="str">
        <f>IFERROR(INDEX($B$6:$B$125,MATCH(46,$AF$6:$AF$125,0)),"")</f>
        <v>Mohan Kumar Nulu</v>
      </c>
    </row>
    <row r="52">
      <c r="A52" s="214" t="n">
        <v>47</v>
      </c>
      <c r="B52" s="214" t="str">
        <f>IF(TRIM('Master Data-2026'!D48)="","",TRIM('Master Data-2026'!D48))</f>
        <v>Pasupathi</v>
      </c>
      <c r="C52" s="214" t="str">
        <f>IF($B52="","",TRIM('Master Data-2026'!A48))</f>
        <v>Sarath</v>
      </c>
      <c r="D52" s="215">
        <f>IF($B52="","",IF('Master Data-2026'!B48="","",'Master Data-2026'!B48))</f>
        <v>46248</v>
      </c>
      <c r="E52" s="214" t="str">
        <f>IF($B52="","",TRIM('Master Data-2026'!C48))</f>
        <v>August</v>
      </c>
      <c r="F52" s="214" t="str">
        <f>IF($B52="","",TRIM('Master Data-2026'!G48))</f>
        <v>Full Stack Developer</v>
      </c>
      <c r="G52" s="214" t="str">
        <f>IF($B52="","",TRIM('Master Data-2026'!F48))</f>
        <v>Chennai</v>
      </c>
      <c r="H52" s="214" t="str">
        <f>IF($B52="","",IF($G52="","Not recorded",IF($AN52=0,"Other",INDEX(LocCity,$AN52))))</f>
        <v>Chennai</v>
      </c>
      <c r="I52" s="214" t="str">
        <f>IF($B52="","",TRIM('Master Data-2026'!H48))</f>
        <v>ZN Submission</v>
      </c>
      <c r="J52" s="214">
        <f>IF($B52="",0,IFERROR(INDEX(StageOrderRef,MATCH($I52,StageNameRef,0)),0))</f>
        <v>2</v>
      </c>
      <c r="K52" s="214" t="str">
        <f>IF($B52="","",TRIM('Master Data-2026'!I48))</f>
        <v>Client Review</v>
      </c>
      <c r="L52" s="214">
        <f>IF($B52="","",TRIM('Master Data-2026'!J48))</f>
      </c>
      <c r="M52" s="216">
        <f>IF($L52="",0,IF(ISNUMBER(SEARCH("%",$L52)),0,IFERROR(VALUE(LEFT($L52,IF(NOT(OR(AND(MID($L52,1,1)&gt;="0",MID($L52,1,1)&lt;="9"),MID($L52,1,1)=".")),0,IF(NOT(OR(AND(MID($L52,2,1)&gt;="0",MID($L52,2,1)&lt;="9"),MID($L52,2,1)=".")),1,IF(NOT(OR(AND(MID($L52,3,1)&gt;="0",MID($L52,3,1)&lt;="9"),MID($L52,3,1)=".")),2,IF(NOT(OR(AND(MID($L52,4,1)&gt;="0",MID($L52,4,1)&lt;="9"),MID($L52,4,1)=".")),3,IF(NOT(OR(AND(MID($L52,5,1)&gt;="0",MID($L52,5,1)&lt;="9"),MID($L52,5,1)=".")),4,IF(NOT(OR(AND(MID($L52,6,1)&gt;="0",MID($L52,6,1)&lt;="9"),MID($L52,6,1)=".")),5,6)))))))),0)))</f>
        <v>0</v>
      </c>
      <c r="N52" s="214">
        <f>IF($B52="","",TRIM('Master Data-2026'!K48))</f>
      </c>
      <c r="O52" s="216">
        <f>IF($N52="",0,IF(ISNUMBER(SEARCH("%",$N52)),0,IFERROR(VALUE(LEFT($N52,IF(NOT(OR(AND(MID($N52,1,1)&gt;="0",MID($N52,1,1)&lt;="9"),MID($N52,1,1)=".")),0,IF(NOT(OR(AND(MID($N52,2,1)&gt;="0",MID($N52,2,1)&lt;="9"),MID($N52,2,1)=".")),1,IF(NOT(OR(AND(MID($N52,3,1)&gt;="0",MID($N52,3,1)&lt;="9"),MID($N52,3,1)=".")),2,IF(NOT(OR(AND(MID($N52,4,1)&gt;="0",MID($N52,4,1)&lt;="9"),MID($N52,4,1)=".")),3,IF(NOT(OR(AND(MID($N52,5,1)&gt;="0",MID($N52,5,1)&lt;="9"),MID($N52,5,1)=".")),4,IF(NOT(OR(AND(MID($N52,6,1)&gt;="0",MID($N52,6,1)&lt;="9"),MID($N52,6,1)=".")),5,6)))))))),0)))</f>
        <v>0</v>
      </c>
      <c r="P52" s="217">
        <f>IF(AND($M52&gt;0,$O52&gt;0),$O52/$M52-1,0)</f>
        <v>0</v>
      </c>
      <c r="Q52" s="214">
        <f>IF($B52="","",TRIM('Master Data-2026'!L48))</f>
      </c>
      <c r="R52" s="214">
        <f>IF($Q52="",0,IF(ISNUMBER(SEARCH("%",$Q52)),0,IFERROR(VALUE(LEFT($Q52,IF(NOT(OR(AND(MID($Q52,1,1)&gt;="0",MID($Q52,1,1)&lt;="9"),MID($Q52,1,1)=".")),0,IF(NOT(OR(AND(MID($Q52,2,1)&gt;="0",MID($Q52,2,1)&lt;="9"),MID($Q52,2,1)=".")),1,IF(NOT(OR(AND(MID($Q52,3,1)&gt;="0",MID($Q52,3,1)&lt;="9"),MID($Q52,3,1)=".")),2,IF(NOT(OR(AND(MID($Q52,4,1)&gt;="0",MID($Q52,4,1)&lt;="9"),MID($Q52,4,1)=".")),3,IF(NOT(OR(AND(MID($Q52,5,1)&gt;="0",MID($Q52,5,1)&lt;="9"),MID($Q52,5,1)=".")),4,IF(NOT(OR(AND(MID($Q52,6,1)&gt;="0",MID($Q52,6,1)&lt;="9"),MID($Q52,6,1)=".")),5,6)))))))),0)))</f>
        <v>0</v>
      </c>
      <c r="S52" s="218">
        <f>IF($Q52="",-1,IF(ISNUMBER(SEARCH("immediate",$Q52)),0,IF(ISNUMBER(SEARCH("month",$Q52)),IF($R52=0,-1,$R52*30),IF(ISNUMBER(SEARCH("day",$Q52)),IF($R52=0,-1,$R52),-1))))</f>
        <v>-1</v>
      </c>
      <c r="T52" s="214" t="str">
        <f>IF($B52="","",IF($S52&lt;0,"Not recorded",IF($S52=0,"Immediate",IF($S52&lt;=30,"1-30 days",IF($S52&lt;=60,"31-60 days","60+ days")))))</f>
        <v>Not recorded</v>
      </c>
      <c r="U52" s="214">
        <f>IF($B52="","",IFERROR(MATCH($B52,'Submission template'!$D$17:$D$300,0),""))</f>
        <v>23</v>
      </c>
      <c r="V52" s="214" t="str">
        <f>IF($U52="","",IFERROR(TRIM(INDEX('Submission template'!$I$17:$I$300,$U52)),""))</f>
        <v>7 Years</v>
      </c>
      <c r="W52" s="219">
        <f>IF($V52="",0,IF(ISNUMBER(SEARCH("%",$V52)),0,IFERROR(VALUE(LEFT($V52,IF(NOT(OR(AND(MID($V52,1,1)&gt;="0",MID($V52,1,1)&lt;="9"),MID($V52,1,1)=".")),0,IF(NOT(OR(AND(MID($V52,2,1)&gt;="0",MID($V52,2,1)&lt;="9"),MID($V52,2,1)=".")),1,IF(NOT(OR(AND(MID($V52,3,1)&gt;="0",MID($V52,3,1)&lt;="9"),MID($V52,3,1)=".")),2,IF(NOT(OR(AND(MID($V52,4,1)&gt;="0",MID($V52,4,1)&lt;="9"),MID($V52,4,1)=".")),3,IF(NOT(OR(AND(MID($V52,5,1)&gt;="0",MID($V52,5,1)&lt;="9"),MID($V52,5,1)=".")),4,IF(NOT(OR(AND(MID($V52,6,1)&gt;="0",MID($V52,6,1)&lt;="9"),MID($V52,6,1)=".")),5,6)))))))),0)))</f>
        <v>7</v>
      </c>
      <c r="X52" s="214" t="str">
        <f>IF($U52="","",IFERROR(TRIM(INDEX('Submission template'!$J$17:$J$300,$U52)),""))</f>
        <v>React 6Y+Node 5Y</v>
      </c>
      <c r="Y52" s="214" t="str">
        <f>IF($U52="","",IFERROR(TRIM(INDEX('Submission template'!$K$17:$K$300,$U52)),""))</f>
        <v>Incedo</v>
      </c>
      <c r="Z52" s="214" t="str">
        <f>IF($U52="","",IFERROR(TRIM(INDEX('Submission template'!$M$17:$M$300,$U52)),""))</f>
        <v>Technical Lead</v>
      </c>
      <c r="AA52" s="214" t="str">
        <f>IF($U52="","",IFERROR(TRIM(INDEX('Submission template'!$O$17:$O$300,$U52)),""))</f>
        <v>Chennai</v>
      </c>
      <c r="AB52" s="214" t="str">
        <f>IF($U52="","",IFERROR(TRIM(INDEX('Submission template'!$S$17:$S$300,$U52)),""))</f>
        <v>Project contract ending</v>
      </c>
      <c r="AC52" s="214">
        <f>IF($B52="",0,IF($U52="",0,1))</f>
        <v>1</v>
      </c>
      <c r="AD52" s="214">
        <f>IF($B52="",0,IF(OR($H52=TargetLocation,AND($AA52&lt;&gt;"",ISNUMBER(SEARCH(TargetLocation,$AA52)))),1,0))</f>
        <v>1</v>
      </c>
      <c r="AE52" s="214">
        <f>IF($B52="",0,IF(AND(OR(SelRecruiter="All",$C52=SelRecruiter),OR(SelCity="All",$H52=SelCity),OR(SelStage="All",$I52=SelStage),OR(SelRequisition="All",$F52=SelRequisition)),1,0))</f>
        <v>1</v>
      </c>
      <c r="AF52" s="214">
        <f>IF($B52="","",COUNT($AF$5:AF51)+1)</f>
        <v>47</v>
      </c>
      <c r="AG52" s="214">
        <f>IF($C52="","",IF(COUNTIF($C$6:$C52,$C52)=1,COUNT($AG$5:AG51)+1,""))</f>
      </c>
      <c r="AH52" s="214">
        <f>IF($F52="","",IF(COUNTIF($F$6:$F52,$F52)=1,COUNT($AH$5:AH51)+1,""))</f>
      </c>
      <c r="AI52" s="214">
        <f>IF($H52="","",IF(COUNTIF($H$6:$H52,$H52)=1,COUNT($AI$5:AI51)+1,""))</f>
      </c>
      <c r="AJ52" s="214">
        <f>IF(OR($B52="",$J52=0),"",$J52*100000000+IF(ISNUMBER($D52),$D52,0)*1000+(170-$A52))</f>
        <v>246248123</v>
      </c>
      <c r="AK52" s="214">
        <f>IF(OR($B52="",$W52&lt;=0),"",ROUND($W52*10,0)*100000+(170-$A52))</f>
        <v>7000123</v>
      </c>
      <c r="AL52" s="214">
        <f>IF(OR($B52="",$P52&lt;=0),"",ROUND($P52*10000,0)*1000+(170-$A52))</f>
      </c>
      <c r="AM52" s="214">
        <f>IF(AND($W52&gt;0,$O52&gt;0),COUNT($AM$5:AM51)+1,"")</f>
      </c>
      <c r="AN52">
        <f>IF($B52="",0,IF($G52="",0,SUMPRODUCT(MAX(ISNUMBER(SEARCH(LocPattern,$G52))*LocIdx))))</f>
        <v>16</v>
      </c>
      <c r="BL52" t="str">
        <f>IFERROR(INDEX($B$6:$B$125,MATCH(47,$AF$6:$AF$125,0)),"")</f>
        <v>Pasupathi</v>
      </c>
    </row>
    <row r="53">
      <c r="A53" s="220" t="n">
        <v>48</v>
      </c>
      <c r="B53" s="220" t="str">
        <f>IF(TRIM('Master Data-2026'!D49)="","",TRIM('Master Data-2026'!D49))</f>
        <v>Sivakrishna</v>
      </c>
      <c r="C53" s="220" t="str">
        <f>IF($B53="","",TRIM('Master Data-2026'!A49))</f>
        <v>Vandana</v>
      </c>
      <c r="D53" s="221">
        <f>IF($B53="","",IF('Master Data-2026'!B49="","",'Master Data-2026'!B49))</f>
        <v>46248</v>
      </c>
      <c r="E53" s="220" t="str">
        <f>IF($B53="","",TRIM('Master Data-2026'!C49))</f>
        <v>August</v>
      </c>
      <c r="F53" s="220" t="str">
        <f>IF($B53="","",TRIM('Master Data-2026'!G49))</f>
        <v>Full Stack Developer</v>
      </c>
      <c r="G53" s="220" t="str">
        <f>IF($B53="","",TRIM('Master Data-2026'!F49))</f>
        <v>Hyderabad</v>
      </c>
      <c r="H53" s="220" t="str">
        <f>IF($B53="","",IF($G53="","Not recorded",IF($AN53=0,"Other",INDEX(LocCity,$AN53))))</f>
        <v>Hyderabad</v>
      </c>
      <c r="I53" s="220" t="str">
        <f>IF($B53="","",TRIM('Master Data-2026'!H49))</f>
        <v>Telephonic Screening</v>
      </c>
      <c r="J53" s="220">
        <f>IF($B53="",0,IFERROR(INDEX(StageOrderRef,MATCH($I53,StageNameRef,0)),0))</f>
        <v>1</v>
      </c>
      <c r="K53" s="220" t="str">
        <f>IF($B53="","",TRIM('Master Data-2026'!I49))</f>
        <v>Looking for opportunities in hyd,and one offer in pipeline yet to attend hr discussion</v>
      </c>
      <c r="L53" s="220">
        <f>IF($B53="","",TRIM('Master Data-2026'!J49))</f>
      </c>
      <c r="M53" s="222">
        <f>IF($L53="",0,IF(ISNUMBER(SEARCH("%",$L53)),0,IFERROR(VALUE(LEFT($L53,IF(NOT(OR(AND(MID($L53,1,1)&gt;="0",MID($L53,1,1)&lt;="9"),MID($L53,1,1)=".")),0,IF(NOT(OR(AND(MID($L53,2,1)&gt;="0",MID($L53,2,1)&lt;="9"),MID($L53,2,1)=".")),1,IF(NOT(OR(AND(MID($L53,3,1)&gt;="0",MID($L53,3,1)&lt;="9"),MID($L53,3,1)=".")),2,IF(NOT(OR(AND(MID($L53,4,1)&gt;="0",MID($L53,4,1)&lt;="9"),MID($L53,4,1)=".")),3,IF(NOT(OR(AND(MID($L53,5,1)&gt;="0",MID($L53,5,1)&lt;="9"),MID($L53,5,1)=".")),4,IF(NOT(OR(AND(MID($L53,6,1)&gt;="0",MID($L53,6,1)&lt;="9"),MID($L53,6,1)=".")),5,6)))))))),0)))</f>
        <v>0</v>
      </c>
      <c r="N53" s="220">
        <f>IF($B53="","",TRIM('Master Data-2026'!K49))</f>
      </c>
      <c r="O53" s="222">
        <f>IF($N53="",0,IF(ISNUMBER(SEARCH("%",$N53)),0,IFERROR(VALUE(LEFT($N53,IF(NOT(OR(AND(MID($N53,1,1)&gt;="0",MID($N53,1,1)&lt;="9"),MID($N53,1,1)=".")),0,IF(NOT(OR(AND(MID($N53,2,1)&gt;="0",MID($N53,2,1)&lt;="9"),MID($N53,2,1)=".")),1,IF(NOT(OR(AND(MID($N53,3,1)&gt;="0",MID($N53,3,1)&lt;="9"),MID($N53,3,1)=".")),2,IF(NOT(OR(AND(MID($N53,4,1)&gt;="0",MID($N53,4,1)&lt;="9"),MID($N53,4,1)=".")),3,IF(NOT(OR(AND(MID($N53,5,1)&gt;="0",MID($N53,5,1)&lt;="9"),MID($N53,5,1)=".")),4,IF(NOT(OR(AND(MID($N53,6,1)&gt;="0",MID($N53,6,1)&lt;="9"),MID($N53,6,1)=".")),5,6)))))))),0)))</f>
        <v>0</v>
      </c>
      <c r="P53" s="223">
        <f>IF(AND($M53&gt;0,$O53&gt;0),$O53/$M53-1,0)</f>
        <v>0</v>
      </c>
      <c r="Q53" s="220">
        <f>IF($B53="","",TRIM('Master Data-2026'!L49))</f>
      </c>
      <c r="R53" s="220">
        <f>IF($Q53="",0,IF(ISNUMBER(SEARCH("%",$Q53)),0,IFERROR(VALUE(LEFT($Q53,IF(NOT(OR(AND(MID($Q53,1,1)&gt;="0",MID($Q53,1,1)&lt;="9"),MID($Q53,1,1)=".")),0,IF(NOT(OR(AND(MID($Q53,2,1)&gt;="0",MID($Q53,2,1)&lt;="9"),MID($Q53,2,1)=".")),1,IF(NOT(OR(AND(MID($Q53,3,1)&gt;="0",MID($Q53,3,1)&lt;="9"),MID($Q53,3,1)=".")),2,IF(NOT(OR(AND(MID($Q53,4,1)&gt;="0",MID($Q53,4,1)&lt;="9"),MID($Q53,4,1)=".")),3,IF(NOT(OR(AND(MID($Q53,5,1)&gt;="0",MID($Q53,5,1)&lt;="9"),MID($Q53,5,1)=".")),4,IF(NOT(OR(AND(MID($Q53,6,1)&gt;="0",MID($Q53,6,1)&lt;="9"),MID($Q53,6,1)=".")),5,6)))))))),0)))</f>
        <v>0</v>
      </c>
      <c r="S53" s="224">
        <f>IF($Q53="",-1,IF(ISNUMBER(SEARCH("immediate",$Q53)),0,IF(ISNUMBER(SEARCH("month",$Q53)),IF($R53=0,-1,$R53*30),IF(ISNUMBER(SEARCH("day",$Q53)),IF($R53=0,-1,$R53),-1))))</f>
        <v>-1</v>
      </c>
      <c r="T53" s="220" t="str">
        <f>IF($B53="","",IF($S53&lt;0,"Not recorded",IF($S53=0,"Immediate",IF($S53&lt;=30,"1-30 days",IF($S53&lt;=60,"31-60 days","60+ days")))))</f>
        <v>Not recorded</v>
      </c>
      <c r="U53" s="220">
        <f>IF($B53="","",IFERROR(MATCH($B53,'Submission template'!$D$17:$D$300,0),""))</f>
      </c>
      <c r="V53" s="220">
        <f>IF($U53="","",IFERROR(TRIM(INDEX('Submission template'!$I$17:$I$300,$U53)),""))</f>
      </c>
      <c r="W53" s="225">
        <f>IF($V53="",0,IF(ISNUMBER(SEARCH("%",$V53)),0,IFERROR(VALUE(LEFT($V53,IF(NOT(OR(AND(MID($V53,1,1)&gt;="0",MID($V53,1,1)&lt;="9"),MID($V53,1,1)=".")),0,IF(NOT(OR(AND(MID($V53,2,1)&gt;="0",MID($V53,2,1)&lt;="9"),MID($V53,2,1)=".")),1,IF(NOT(OR(AND(MID($V53,3,1)&gt;="0",MID($V53,3,1)&lt;="9"),MID($V53,3,1)=".")),2,IF(NOT(OR(AND(MID($V53,4,1)&gt;="0",MID($V53,4,1)&lt;="9"),MID($V53,4,1)=".")),3,IF(NOT(OR(AND(MID($V53,5,1)&gt;="0",MID($V53,5,1)&lt;="9"),MID($V53,5,1)=".")),4,IF(NOT(OR(AND(MID($V53,6,1)&gt;="0",MID($V53,6,1)&lt;="9"),MID($V53,6,1)=".")),5,6)))))))),0)))</f>
        <v>0</v>
      </c>
      <c r="X53" s="220">
        <f>IF($U53="","",IFERROR(TRIM(INDEX('Submission template'!$J$17:$J$300,$U53)),""))</f>
      </c>
      <c r="Y53" s="220">
        <f>IF($U53="","",IFERROR(TRIM(INDEX('Submission template'!$K$17:$K$300,$U53)),""))</f>
      </c>
      <c r="Z53" s="220">
        <f>IF($U53="","",IFERROR(TRIM(INDEX('Submission template'!$M$17:$M$300,$U53)),""))</f>
      </c>
      <c r="AA53" s="220">
        <f>IF($U53="","",IFERROR(TRIM(INDEX('Submission template'!$O$17:$O$300,$U53)),""))</f>
      </c>
      <c r="AB53" s="220">
        <f>IF($U53="","",IFERROR(TRIM(INDEX('Submission template'!$S$17:$S$300,$U53)),""))</f>
      </c>
      <c r="AC53" s="220">
        <f>IF($B53="",0,IF($U53="",0,1))</f>
        <v>0</v>
      </c>
      <c r="AD53" s="220">
        <f>IF($B53="",0,IF(OR($H53=TargetLocation,AND($AA53&lt;&gt;"",ISNUMBER(SEARCH(TargetLocation,$AA53)))),1,0))</f>
        <v>0</v>
      </c>
      <c r="AE53" s="220">
        <f>IF($B53="",0,IF(AND(OR(SelRecruiter="All",$C53=SelRecruiter),OR(SelCity="All",$H53=SelCity),OR(SelStage="All",$I53=SelStage),OR(SelRequisition="All",$F53=SelRequisition)),1,0))</f>
        <v>1</v>
      </c>
      <c r="AF53" s="220">
        <f>IF($B53="","",COUNT($AF$5:AF52)+1)</f>
        <v>48</v>
      </c>
      <c r="AG53" s="220">
        <f>IF($C53="","",IF(COUNTIF($C$6:$C53,$C53)=1,COUNT($AG$5:AG52)+1,""))</f>
      </c>
      <c r="AH53" s="220">
        <f>IF($F53="","",IF(COUNTIF($F$6:$F53,$F53)=1,COUNT($AH$5:AH52)+1,""))</f>
      </c>
      <c r="AI53" s="220">
        <f>IF($H53="","",IF(COUNTIF($H$6:$H53,$H53)=1,COUNT($AI$5:AI52)+1,""))</f>
        <v>9</v>
      </c>
      <c r="AJ53" s="220">
        <f>IF(OR($B53="",$J53=0),"",$J53*100000000+IF(ISNUMBER($D53),$D53,0)*1000+(170-$A53))</f>
        <v>146248122</v>
      </c>
      <c r="AK53" s="220">
        <f>IF(OR($B53="",$W53&lt;=0),"",ROUND($W53*10,0)*100000+(170-$A53))</f>
      </c>
      <c r="AL53" s="220">
        <f>IF(OR($B53="",$P53&lt;=0),"",ROUND($P53*10000,0)*1000+(170-$A53))</f>
      </c>
      <c r="AM53" s="220">
        <f>IF(AND($W53&gt;0,$O53&gt;0),COUNT($AM$5:AM52)+1,"")</f>
      </c>
      <c r="AN53">
        <f>IF($B53="",0,IF($G53="",0,SUMPRODUCT(MAX(ISNUMBER(SEARCH(LocPattern,$G53))*LocIdx))))</f>
        <v>19</v>
      </c>
      <c r="BL53" t="str">
        <f>IFERROR(INDEX($B$6:$B$125,MATCH(48,$AF$6:$AF$125,0)),"")</f>
        <v>Sivakrishna</v>
      </c>
    </row>
    <row r="54">
      <c r="A54" s="214" t="n">
        <v>49</v>
      </c>
      <c r="B54" s="214" t="str">
        <f>IF(TRIM('Master Data-2026'!D50)="","",TRIM('Master Data-2026'!D50))</f>
        <v>Girinath Selvendran</v>
      </c>
      <c r="C54" s="214" t="str">
        <f>IF($B54="","",TRIM('Master Data-2026'!A50))</f>
        <v>Vandana</v>
      </c>
      <c r="D54" s="215">
        <f>IF($B54="","",IF('Master Data-2026'!B50="","",'Master Data-2026'!B50))</f>
        <v>46248</v>
      </c>
      <c r="E54" s="214" t="str">
        <f>IF($B54="","",TRIM('Master Data-2026'!C50))</f>
        <v>August</v>
      </c>
      <c r="F54" s="214" t="str">
        <f>IF($B54="","",TRIM('Master Data-2026'!G50))</f>
        <v>Full Stack Developer</v>
      </c>
      <c r="G54" s="214" t="str">
        <f>IF($B54="","",TRIM('Master Data-2026'!F50))</f>
        <v>Bangalore</v>
      </c>
      <c r="H54" s="214" t="str">
        <f>IF($B54="","",IF($G54="","Not recorded",IF($AN54=0,"Other",INDEX(LocCity,$AN54))))</f>
        <v>Bangalore</v>
      </c>
      <c r="I54" s="214" t="str">
        <f>IF($B54="","",TRIM('Master Data-2026'!H50))</f>
        <v>Telephonic Screening</v>
      </c>
      <c r="J54" s="214">
        <f>IF($B54="",0,IFERROR(INDEX(StageOrderRef,MATCH($I54,StageNameRef,0)),0))</f>
        <v>1</v>
      </c>
      <c r="K54" s="214" t="str">
        <f>IF($B54="","",TRIM('Master Data-2026'!I50))</f>
        <v>Jd sent awaiting for response</v>
      </c>
      <c r="L54" s="214" t="str">
        <f>IF($B54="","",TRIM('Master Data-2026'!J50))</f>
        <v>12.6lpa</v>
      </c>
      <c r="M54" s="216">
        <f>IF($L54="",0,IF(ISNUMBER(SEARCH("%",$L54)),0,IFERROR(VALUE(LEFT($L54,IF(NOT(OR(AND(MID($L54,1,1)&gt;="0",MID($L54,1,1)&lt;="9"),MID($L54,1,1)=".")),0,IF(NOT(OR(AND(MID($L54,2,1)&gt;="0",MID($L54,2,1)&lt;="9"),MID($L54,2,1)=".")),1,IF(NOT(OR(AND(MID($L54,3,1)&gt;="0",MID($L54,3,1)&lt;="9"),MID($L54,3,1)=".")),2,IF(NOT(OR(AND(MID($L54,4,1)&gt;="0",MID($L54,4,1)&lt;="9"),MID($L54,4,1)=".")),3,IF(NOT(OR(AND(MID($L54,5,1)&gt;="0",MID($L54,5,1)&lt;="9"),MID($L54,5,1)=".")),4,IF(NOT(OR(AND(MID($L54,6,1)&gt;="0",MID($L54,6,1)&lt;="9"),MID($L54,6,1)=".")),5,6)))))))),0)))</f>
        <v>12.6</v>
      </c>
      <c r="N54" s="214" t="str">
        <f>IF($B54="","",TRIM('Master Data-2026'!K50))</f>
        <v>20lpa</v>
      </c>
      <c r="O54" s="216">
        <f>IF($N54="",0,IF(ISNUMBER(SEARCH("%",$N54)),0,IFERROR(VALUE(LEFT($N54,IF(NOT(OR(AND(MID($N54,1,1)&gt;="0",MID($N54,1,1)&lt;="9"),MID($N54,1,1)=".")),0,IF(NOT(OR(AND(MID($N54,2,1)&gt;="0",MID($N54,2,1)&lt;="9"),MID($N54,2,1)=".")),1,IF(NOT(OR(AND(MID($N54,3,1)&gt;="0",MID($N54,3,1)&lt;="9"),MID($N54,3,1)=".")),2,IF(NOT(OR(AND(MID($N54,4,1)&gt;="0",MID($N54,4,1)&lt;="9"),MID($N54,4,1)=".")),3,IF(NOT(OR(AND(MID($N54,5,1)&gt;="0",MID($N54,5,1)&lt;="9"),MID($N54,5,1)=".")),4,IF(NOT(OR(AND(MID($N54,6,1)&gt;="0",MID($N54,6,1)&lt;="9"),MID($N54,6,1)=".")),5,6)))))))),0)))</f>
        <v>20</v>
      </c>
      <c r="P54" s="217">
        <f>IF(AND($M54&gt;0,$O54&gt;0),$O54/$M54-1,0)</f>
        <v>0.5873015873015874</v>
      </c>
      <c r="Q54" s="214" t="str">
        <f>IF($B54="","",TRIM('Master Data-2026'!L50))</f>
        <v>13 sep (nego)</v>
      </c>
      <c r="R54" s="214">
        <f>IF($Q54="",0,IF(ISNUMBER(SEARCH("%",$Q54)),0,IFERROR(VALUE(LEFT($Q54,IF(NOT(OR(AND(MID($Q54,1,1)&gt;="0",MID($Q54,1,1)&lt;="9"),MID($Q54,1,1)=".")),0,IF(NOT(OR(AND(MID($Q54,2,1)&gt;="0",MID($Q54,2,1)&lt;="9"),MID($Q54,2,1)=".")),1,IF(NOT(OR(AND(MID($Q54,3,1)&gt;="0",MID($Q54,3,1)&lt;="9"),MID($Q54,3,1)=".")),2,IF(NOT(OR(AND(MID($Q54,4,1)&gt;="0",MID($Q54,4,1)&lt;="9"),MID($Q54,4,1)=".")),3,IF(NOT(OR(AND(MID($Q54,5,1)&gt;="0",MID($Q54,5,1)&lt;="9"),MID($Q54,5,1)=".")),4,IF(NOT(OR(AND(MID($Q54,6,1)&gt;="0",MID($Q54,6,1)&lt;="9"),MID($Q54,6,1)=".")),5,6)))))))),0)))</f>
        <v>13</v>
      </c>
      <c r="S54" s="218">
        <f>IF($Q54="",-1,IF(ISNUMBER(SEARCH("immediate",$Q54)),0,IF(ISNUMBER(SEARCH("month",$Q54)),IF($R54=0,-1,$R54*30),IF(ISNUMBER(SEARCH("day",$Q54)),IF($R54=0,-1,$R54),-1))))</f>
        <v>-1</v>
      </c>
      <c r="T54" s="214" t="str">
        <f>IF($B54="","",IF($S54&lt;0,"Not recorded",IF($S54=0,"Immediate",IF($S54&lt;=30,"1-30 days",IF($S54&lt;=60,"31-60 days","60+ days")))))</f>
        <v>Not recorded</v>
      </c>
      <c r="U54" s="214">
        <f>IF($B54="","",IFERROR(MATCH($B54,'Submission template'!$D$17:$D$300,0),""))</f>
      </c>
      <c r="V54" s="214">
        <f>IF($U54="","",IFERROR(TRIM(INDEX('Submission template'!$I$17:$I$300,$U54)),""))</f>
      </c>
      <c r="W54" s="219">
        <f>IF($V54="",0,IF(ISNUMBER(SEARCH("%",$V54)),0,IFERROR(VALUE(LEFT($V54,IF(NOT(OR(AND(MID($V54,1,1)&gt;="0",MID($V54,1,1)&lt;="9"),MID($V54,1,1)=".")),0,IF(NOT(OR(AND(MID($V54,2,1)&gt;="0",MID($V54,2,1)&lt;="9"),MID($V54,2,1)=".")),1,IF(NOT(OR(AND(MID($V54,3,1)&gt;="0",MID($V54,3,1)&lt;="9"),MID($V54,3,1)=".")),2,IF(NOT(OR(AND(MID($V54,4,1)&gt;="0",MID($V54,4,1)&lt;="9"),MID($V54,4,1)=".")),3,IF(NOT(OR(AND(MID($V54,5,1)&gt;="0",MID($V54,5,1)&lt;="9"),MID($V54,5,1)=".")),4,IF(NOT(OR(AND(MID($V54,6,1)&gt;="0",MID($V54,6,1)&lt;="9"),MID($V54,6,1)=".")),5,6)))))))),0)))</f>
        <v>0</v>
      </c>
      <c r="X54" s="214">
        <f>IF($U54="","",IFERROR(TRIM(INDEX('Submission template'!$J$17:$J$300,$U54)),""))</f>
      </c>
      <c r="Y54" s="214">
        <f>IF($U54="","",IFERROR(TRIM(INDEX('Submission template'!$K$17:$K$300,$U54)),""))</f>
      </c>
      <c r="Z54" s="214">
        <f>IF($U54="","",IFERROR(TRIM(INDEX('Submission template'!$M$17:$M$300,$U54)),""))</f>
      </c>
      <c r="AA54" s="214">
        <f>IF($U54="","",IFERROR(TRIM(INDEX('Submission template'!$O$17:$O$300,$U54)),""))</f>
      </c>
      <c r="AB54" s="214">
        <f>IF($U54="","",IFERROR(TRIM(INDEX('Submission template'!$S$17:$S$300,$U54)),""))</f>
      </c>
      <c r="AC54" s="214">
        <f>IF($B54="",0,IF($U54="",0,1))</f>
        <v>0</v>
      </c>
      <c r="AD54" s="214">
        <f>IF($B54="",0,IF(OR($H54=TargetLocation,AND($AA54&lt;&gt;"",ISNUMBER(SEARCH(TargetLocation,$AA54)))),1,0))</f>
        <v>0</v>
      </c>
      <c r="AE54" s="214">
        <f>IF($B54="",0,IF(AND(OR(SelRecruiter="All",$C54=SelRecruiter),OR(SelCity="All",$H54=SelCity),OR(SelStage="All",$I54=SelStage),OR(SelRequisition="All",$F54=SelRequisition)),1,0))</f>
        <v>1</v>
      </c>
      <c r="AF54" s="214">
        <f>IF($B54="","",COUNT($AF$5:AF53)+1)</f>
        <v>49</v>
      </c>
      <c r="AG54" s="214">
        <f>IF($C54="","",IF(COUNTIF($C$6:$C54,$C54)=1,COUNT($AG$5:AG53)+1,""))</f>
      </c>
      <c r="AH54" s="214">
        <f>IF($F54="","",IF(COUNTIF($F$6:$F54,$F54)=1,COUNT($AH$5:AH53)+1,""))</f>
      </c>
      <c r="AI54" s="214">
        <f>IF($H54="","",IF(COUNTIF($H$6:$H54,$H54)=1,COUNT($AI$5:AI53)+1,""))</f>
      </c>
      <c r="AJ54" s="214">
        <f>IF(OR($B54="",$J54=0),"",$J54*100000000+IF(ISNUMBER($D54),$D54,0)*1000+(170-$A54))</f>
        <v>146248121</v>
      </c>
      <c r="AK54" s="214">
        <f>IF(OR($B54="",$W54&lt;=0),"",ROUND($W54*10,0)*100000+(170-$A54))</f>
      </c>
      <c r="AL54" s="214">
        <f>IF(OR($B54="",$P54&lt;=0),"",ROUND($P54*10000,0)*1000+(170-$A54))</f>
        <v>5873121</v>
      </c>
      <c r="AM54" s="214">
        <f>IF(AND($W54&gt;0,$O54&gt;0),COUNT($AM$5:AM53)+1,"")</f>
      </c>
      <c r="AN54">
        <f>IF($B54="",0,IF($G54="",0,SUMPRODUCT(MAX(ISNUMBER(SEARCH(LocPattern,$G54))*LocIdx))))</f>
        <v>18</v>
      </c>
      <c r="BL54" t="str">
        <f>IFERROR(INDEX($B$6:$B$125,MATCH(49,$AF$6:$AF$125,0)),"")</f>
        <v>Girinath Selvendran</v>
      </c>
    </row>
    <row r="55">
      <c r="A55" s="220" t="n">
        <v>50</v>
      </c>
      <c r="B55" s="220" t="str">
        <f>IF(TRIM('Master Data-2026'!D51)="","",TRIM('Master Data-2026'!D51))</f>
        <v>Antany Tom Felix</v>
      </c>
      <c r="C55" s="220" t="str">
        <f>IF($B55="","",TRIM('Master Data-2026'!A51))</f>
        <v>Ananthy</v>
      </c>
      <c r="D55" s="221">
        <f>IF($B55="","",IF('Master Data-2026'!B51="","",'Master Data-2026'!B51))</f>
        <v>46248</v>
      </c>
      <c r="E55" s="220" t="str">
        <f>IF($B55="","",TRIM('Master Data-2026'!C51))</f>
        <v>August</v>
      </c>
      <c r="F55" s="220" t="str">
        <f>IF($B55="","",TRIM('Master Data-2026'!G51))</f>
        <v>Full Stack Developer</v>
      </c>
      <c r="G55" s="220" t="str">
        <f>IF($B55="","",TRIM('Master Data-2026'!F51))</f>
        <v>Madurai</v>
      </c>
      <c r="H55" s="220" t="str">
        <f>IF($B55="","",IF($G55="","Not recorded",IF($AN55=0,"Other",INDEX(LocCity,$AN55))))</f>
        <v>Madurai</v>
      </c>
      <c r="I55" s="220" t="str">
        <f>IF($B55="","",TRIM('Master Data-2026'!H51))</f>
        <v>Telephonic Screening</v>
      </c>
      <c r="J55" s="220">
        <f>IF($B55="",0,IFERROR(INDEX(StageOrderRef,MATCH($I55,StageNameRef,0)),0))</f>
        <v>1</v>
      </c>
      <c r="K55" s="220">
        <f>IF($B55="","",TRIM('Master Data-2026'!I51))</f>
      </c>
      <c r="L55" s="220">
        <f>IF($B55="","",TRIM('Master Data-2026'!J51))</f>
      </c>
      <c r="M55" s="222">
        <f>IF($L55="",0,IF(ISNUMBER(SEARCH("%",$L55)),0,IFERROR(VALUE(LEFT($L55,IF(NOT(OR(AND(MID($L55,1,1)&gt;="0",MID($L55,1,1)&lt;="9"),MID($L55,1,1)=".")),0,IF(NOT(OR(AND(MID($L55,2,1)&gt;="0",MID($L55,2,1)&lt;="9"),MID($L55,2,1)=".")),1,IF(NOT(OR(AND(MID($L55,3,1)&gt;="0",MID($L55,3,1)&lt;="9"),MID($L55,3,1)=".")),2,IF(NOT(OR(AND(MID($L55,4,1)&gt;="0",MID($L55,4,1)&lt;="9"),MID($L55,4,1)=".")),3,IF(NOT(OR(AND(MID($L55,5,1)&gt;="0",MID($L55,5,1)&lt;="9"),MID($L55,5,1)=".")),4,IF(NOT(OR(AND(MID($L55,6,1)&gt;="0",MID($L55,6,1)&lt;="9"),MID($L55,6,1)=".")),5,6)))))))),0)))</f>
        <v>0</v>
      </c>
      <c r="N55" s="220">
        <f>IF($B55="","",TRIM('Master Data-2026'!K51))</f>
      </c>
      <c r="O55" s="222">
        <f>IF($N55="",0,IF(ISNUMBER(SEARCH("%",$N55)),0,IFERROR(VALUE(LEFT($N55,IF(NOT(OR(AND(MID($N55,1,1)&gt;="0",MID($N55,1,1)&lt;="9"),MID($N55,1,1)=".")),0,IF(NOT(OR(AND(MID($N55,2,1)&gt;="0",MID($N55,2,1)&lt;="9"),MID($N55,2,1)=".")),1,IF(NOT(OR(AND(MID($N55,3,1)&gt;="0",MID($N55,3,1)&lt;="9"),MID($N55,3,1)=".")),2,IF(NOT(OR(AND(MID($N55,4,1)&gt;="0",MID($N55,4,1)&lt;="9"),MID($N55,4,1)=".")),3,IF(NOT(OR(AND(MID($N55,5,1)&gt;="0",MID($N55,5,1)&lt;="9"),MID($N55,5,1)=".")),4,IF(NOT(OR(AND(MID($N55,6,1)&gt;="0",MID($N55,6,1)&lt;="9"),MID($N55,6,1)=".")),5,6)))))))),0)))</f>
        <v>0</v>
      </c>
      <c r="P55" s="223">
        <f>IF(AND($M55&gt;0,$O55&gt;0),$O55/$M55-1,0)</f>
        <v>0</v>
      </c>
      <c r="Q55" s="220">
        <f>IF($B55="","",TRIM('Master Data-2026'!L51))</f>
      </c>
      <c r="R55" s="220">
        <f>IF($Q55="",0,IF(ISNUMBER(SEARCH("%",$Q55)),0,IFERROR(VALUE(LEFT($Q55,IF(NOT(OR(AND(MID($Q55,1,1)&gt;="0",MID($Q55,1,1)&lt;="9"),MID($Q55,1,1)=".")),0,IF(NOT(OR(AND(MID($Q55,2,1)&gt;="0",MID($Q55,2,1)&lt;="9"),MID($Q55,2,1)=".")),1,IF(NOT(OR(AND(MID($Q55,3,1)&gt;="0",MID($Q55,3,1)&lt;="9"),MID($Q55,3,1)=".")),2,IF(NOT(OR(AND(MID($Q55,4,1)&gt;="0",MID($Q55,4,1)&lt;="9"),MID($Q55,4,1)=".")),3,IF(NOT(OR(AND(MID($Q55,5,1)&gt;="0",MID($Q55,5,1)&lt;="9"),MID($Q55,5,1)=".")),4,IF(NOT(OR(AND(MID($Q55,6,1)&gt;="0",MID($Q55,6,1)&lt;="9"),MID($Q55,6,1)=".")),5,6)))))))),0)))</f>
        <v>0</v>
      </c>
      <c r="S55" s="224">
        <f>IF($Q55="",-1,IF(ISNUMBER(SEARCH("immediate",$Q55)),0,IF(ISNUMBER(SEARCH("month",$Q55)),IF($R55=0,-1,$R55*30),IF(ISNUMBER(SEARCH("day",$Q55)),IF($R55=0,-1,$R55),-1))))</f>
        <v>-1</v>
      </c>
      <c r="T55" s="220" t="str">
        <f>IF($B55="","",IF($S55&lt;0,"Not recorded",IF($S55=0,"Immediate",IF($S55&lt;=30,"1-30 days",IF($S55&lt;=60,"31-60 days","60+ days")))))</f>
        <v>Not recorded</v>
      </c>
      <c r="U55" s="220">
        <f>IF($B55="","",IFERROR(MATCH($B55,'Submission template'!$D$17:$D$300,0),""))</f>
      </c>
      <c r="V55" s="220">
        <f>IF($U55="","",IFERROR(TRIM(INDEX('Submission template'!$I$17:$I$300,$U55)),""))</f>
      </c>
      <c r="W55" s="225">
        <f>IF($V55="",0,IF(ISNUMBER(SEARCH("%",$V55)),0,IFERROR(VALUE(LEFT($V55,IF(NOT(OR(AND(MID($V55,1,1)&gt;="0",MID($V55,1,1)&lt;="9"),MID($V55,1,1)=".")),0,IF(NOT(OR(AND(MID($V55,2,1)&gt;="0",MID($V55,2,1)&lt;="9"),MID($V55,2,1)=".")),1,IF(NOT(OR(AND(MID($V55,3,1)&gt;="0",MID($V55,3,1)&lt;="9"),MID($V55,3,1)=".")),2,IF(NOT(OR(AND(MID($V55,4,1)&gt;="0",MID($V55,4,1)&lt;="9"),MID($V55,4,1)=".")),3,IF(NOT(OR(AND(MID($V55,5,1)&gt;="0",MID($V55,5,1)&lt;="9"),MID($V55,5,1)=".")),4,IF(NOT(OR(AND(MID($V55,6,1)&gt;="0",MID($V55,6,1)&lt;="9"),MID($V55,6,1)=".")),5,6)))))))),0)))</f>
        <v>0</v>
      </c>
      <c r="X55" s="220">
        <f>IF($U55="","",IFERROR(TRIM(INDEX('Submission template'!$J$17:$J$300,$U55)),""))</f>
      </c>
      <c r="Y55" s="220">
        <f>IF($U55="","",IFERROR(TRIM(INDEX('Submission template'!$K$17:$K$300,$U55)),""))</f>
      </c>
      <c r="Z55" s="220">
        <f>IF($U55="","",IFERROR(TRIM(INDEX('Submission template'!$M$17:$M$300,$U55)),""))</f>
      </c>
      <c r="AA55" s="220">
        <f>IF($U55="","",IFERROR(TRIM(INDEX('Submission template'!$O$17:$O$300,$U55)),""))</f>
      </c>
      <c r="AB55" s="220">
        <f>IF($U55="","",IFERROR(TRIM(INDEX('Submission template'!$S$17:$S$300,$U55)),""))</f>
      </c>
      <c r="AC55" s="220">
        <f>IF($B55="",0,IF($U55="",0,1))</f>
        <v>0</v>
      </c>
      <c r="AD55" s="220">
        <f>IF($B55="",0,IF(OR($H55=TargetLocation,AND($AA55&lt;&gt;"",ISNUMBER(SEARCH(TargetLocation,$AA55)))),1,0))</f>
        <v>0</v>
      </c>
      <c r="AE55" s="220">
        <f>IF($B55="",0,IF(AND(OR(SelRecruiter="All",$C55=SelRecruiter),OR(SelCity="All",$H55=SelCity),OR(SelStage="All",$I55=SelStage),OR(SelRequisition="All",$F55=SelRequisition)),1,0))</f>
        <v>1</v>
      </c>
      <c r="AF55" s="220">
        <f>IF($B55="","",COUNT($AF$5:AF54)+1)</f>
        <v>50</v>
      </c>
      <c r="AG55" s="220">
        <f>IF($C55="","",IF(COUNTIF($C$6:$C55,$C55)=1,COUNT($AG$5:AG54)+1,""))</f>
      </c>
      <c r="AH55" s="220">
        <f>IF($F55="","",IF(COUNTIF($F$6:$F55,$F55)=1,COUNT($AH$5:AH54)+1,""))</f>
      </c>
      <c r="AI55" s="220">
        <f>IF($H55="","",IF(COUNTIF($H$6:$H55,$H55)=1,COUNT($AI$5:AI54)+1,""))</f>
        <v>10</v>
      </c>
      <c r="AJ55" s="220">
        <f>IF(OR($B55="",$J55=0),"",$J55*100000000+IF(ISNUMBER($D55),$D55,0)*1000+(170-$A55))</f>
        <v>146248120</v>
      </c>
      <c r="AK55" s="220">
        <f>IF(OR($B55="",$W55&lt;=0),"",ROUND($W55*10,0)*100000+(170-$A55))</f>
      </c>
      <c r="AL55" s="220">
        <f>IF(OR($B55="",$P55&lt;=0),"",ROUND($P55*10000,0)*1000+(170-$A55))</f>
      </c>
      <c r="AM55" s="220">
        <f>IF(AND($W55&gt;0,$O55&gt;0),COUNT($AM$5:AM54)+1,"")</f>
      </c>
      <c r="AN55">
        <f>IF($B55="",0,IF($G55="",0,SUMPRODUCT(MAX(ISNUMBER(SEARCH(LocPattern,$G55))*LocIdx))))</f>
        <v>21</v>
      </c>
      <c r="BL55" t="str">
        <f>IFERROR(INDEX($B$6:$B$125,MATCH(50,$AF$6:$AF$125,0)),"")</f>
        <v>Antany Tom Felix</v>
      </c>
    </row>
    <row r="56">
      <c r="A56" s="214" t="n">
        <v>51</v>
      </c>
      <c r="B56" s="214" t="str">
        <f>IF(TRIM('Master Data-2026'!D52)="","",TRIM('Master Data-2026'!D52))</f>
        <v>Arun K</v>
      </c>
      <c r="C56" s="214" t="str">
        <f>IF($B56="","",TRIM('Master Data-2026'!A52))</f>
        <v>Kirthi</v>
      </c>
      <c r="D56" s="215">
        <f>IF($B56="","",IF('Master Data-2026'!B52="","",'Master Data-2026'!B52))</f>
        <v>46248</v>
      </c>
      <c r="E56" s="214" t="str">
        <f>IF($B56="","",TRIM('Master Data-2026'!C52))</f>
        <v>August</v>
      </c>
      <c r="F56" s="214" t="str">
        <f>IF($B56="","",TRIM('Master Data-2026'!G52))</f>
        <v>Full Stack Developer</v>
      </c>
      <c r="G56" s="214" t="str">
        <f>IF($B56="","",TRIM('Master Data-2026'!F52))</f>
        <v>Velachery, Chennai</v>
      </c>
      <c r="H56" s="214" t="str">
        <f>IF($B56="","",IF($G56="","Not recorded",IF($AN56=0,"Other",INDEX(LocCity,$AN56))))</f>
        <v>Chennai</v>
      </c>
      <c r="I56" s="214" t="str">
        <f>IF($B56="","",TRIM('Master Data-2026'!H52))</f>
        <v>Telephonic Screening</v>
      </c>
      <c r="J56" s="214">
        <f>IF($B56="",0,IFERROR(INDEX(StageOrderRef,MATCH($I56,StageNameRef,0)),0))</f>
        <v>1</v>
      </c>
      <c r="K56" s="214">
        <f>IF($B56="","",TRIM('Master Data-2026'!I52))</f>
      </c>
      <c r="L56" s="214" t="str">
        <f>IF($B56="","",TRIM('Master Data-2026'!J52))</f>
        <v>5 LPA</v>
      </c>
      <c r="M56" s="216">
        <f>IF($L56="",0,IF(ISNUMBER(SEARCH("%",$L56)),0,IFERROR(VALUE(LEFT($L56,IF(NOT(OR(AND(MID($L56,1,1)&gt;="0",MID($L56,1,1)&lt;="9"),MID($L56,1,1)=".")),0,IF(NOT(OR(AND(MID($L56,2,1)&gt;="0",MID($L56,2,1)&lt;="9"),MID($L56,2,1)=".")),1,IF(NOT(OR(AND(MID($L56,3,1)&gt;="0",MID($L56,3,1)&lt;="9"),MID($L56,3,1)=".")),2,IF(NOT(OR(AND(MID($L56,4,1)&gt;="0",MID($L56,4,1)&lt;="9"),MID($L56,4,1)=".")),3,IF(NOT(OR(AND(MID($L56,5,1)&gt;="0",MID($L56,5,1)&lt;="9"),MID($L56,5,1)=".")),4,IF(NOT(OR(AND(MID($L56,6,1)&gt;="0",MID($L56,6,1)&lt;="9"),MID($L56,6,1)=".")),5,6)))))))),0)))</f>
        <v>5</v>
      </c>
      <c r="N56" s="214" t="str">
        <f>IF($B56="","",TRIM('Master Data-2026'!K52))</f>
        <v>10 LPA</v>
      </c>
      <c r="O56" s="216">
        <f>IF($N56="",0,IF(ISNUMBER(SEARCH("%",$N56)),0,IFERROR(VALUE(LEFT($N56,IF(NOT(OR(AND(MID($N56,1,1)&gt;="0",MID($N56,1,1)&lt;="9"),MID($N56,1,1)=".")),0,IF(NOT(OR(AND(MID($N56,2,1)&gt;="0",MID($N56,2,1)&lt;="9"),MID($N56,2,1)=".")),1,IF(NOT(OR(AND(MID($N56,3,1)&gt;="0",MID($N56,3,1)&lt;="9"),MID($N56,3,1)=".")),2,IF(NOT(OR(AND(MID($N56,4,1)&gt;="0",MID($N56,4,1)&lt;="9"),MID($N56,4,1)=".")),3,IF(NOT(OR(AND(MID($N56,5,1)&gt;="0",MID($N56,5,1)&lt;="9"),MID($N56,5,1)=".")),4,IF(NOT(OR(AND(MID($N56,6,1)&gt;="0",MID($N56,6,1)&lt;="9"),MID($N56,6,1)=".")),5,6)))))))),0)))</f>
        <v>10</v>
      </c>
      <c r="P56" s="217">
        <f>IF(AND($M56&gt;0,$O56&gt;0),$O56/$M56-1,0)</f>
        <v>1</v>
      </c>
      <c r="Q56" s="214" t="str">
        <f>IF($B56="","",TRIM('Master Data-2026'!L52))</f>
        <v>60 days (nego)</v>
      </c>
      <c r="R56" s="214">
        <f>IF($Q56="",0,IF(ISNUMBER(SEARCH("%",$Q56)),0,IFERROR(VALUE(LEFT($Q56,IF(NOT(OR(AND(MID($Q56,1,1)&gt;="0",MID($Q56,1,1)&lt;="9"),MID($Q56,1,1)=".")),0,IF(NOT(OR(AND(MID($Q56,2,1)&gt;="0",MID($Q56,2,1)&lt;="9"),MID($Q56,2,1)=".")),1,IF(NOT(OR(AND(MID($Q56,3,1)&gt;="0",MID($Q56,3,1)&lt;="9"),MID($Q56,3,1)=".")),2,IF(NOT(OR(AND(MID($Q56,4,1)&gt;="0",MID($Q56,4,1)&lt;="9"),MID($Q56,4,1)=".")),3,IF(NOT(OR(AND(MID($Q56,5,1)&gt;="0",MID($Q56,5,1)&lt;="9"),MID($Q56,5,1)=".")),4,IF(NOT(OR(AND(MID($Q56,6,1)&gt;="0",MID($Q56,6,1)&lt;="9"),MID($Q56,6,1)=".")),5,6)))))))),0)))</f>
        <v>60</v>
      </c>
      <c r="S56" s="218">
        <f>IF($Q56="",-1,IF(ISNUMBER(SEARCH("immediate",$Q56)),0,IF(ISNUMBER(SEARCH("month",$Q56)),IF($R56=0,-1,$R56*30),IF(ISNUMBER(SEARCH("day",$Q56)),IF($R56=0,-1,$R56),-1))))</f>
        <v>60</v>
      </c>
      <c r="T56" s="214" t="str">
        <f>IF($B56="","",IF($S56&lt;0,"Not recorded",IF($S56=0,"Immediate",IF($S56&lt;=30,"1-30 days",IF($S56&lt;=60,"31-60 days","60+ days")))))</f>
        <v>31-60 days</v>
      </c>
      <c r="U56" s="214">
        <f>IF($B56="","",IFERROR(MATCH($B56,'Submission template'!$D$17:$D$300,0),""))</f>
      </c>
      <c r="V56" s="214">
        <f>IF($U56="","",IFERROR(TRIM(INDEX('Submission template'!$I$17:$I$300,$U56)),""))</f>
      </c>
      <c r="W56" s="219">
        <f>IF($V56="",0,IF(ISNUMBER(SEARCH("%",$V56)),0,IFERROR(VALUE(LEFT($V56,IF(NOT(OR(AND(MID($V56,1,1)&gt;="0",MID($V56,1,1)&lt;="9"),MID($V56,1,1)=".")),0,IF(NOT(OR(AND(MID($V56,2,1)&gt;="0",MID($V56,2,1)&lt;="9"),MID($V56,2,1)=".")),1,IF(NOT(OR(AND(MID($V56,3,1)&gt;="0",MID($V56,3,1)&lt;="9"),MID($V56,3,1)=".")),2,IF(NOT(OR(AND(MID($V56,4,1)&gt;="0",MID($V56,4,1)&lt;="9"),MID($V56,4,1)=".")),3,IF(NOT(OR(AND(MID($V56,5,1)&gt;="0",MID($V56,5,1)&lt;="9"),MID($V56,5,1)=".")),4,IF(NOT(OR(AND(MID($V56,6,1)&gt;="0",MID($V56,6,1)&lt;="9"),MID($V56,6,1)=".")),5,6)))))))),0)))</f>
        <v>0</v>
      </c>
      <c r="X56" s="214">
        <f>IF($U56="","",IFERROR(TRIM(INDEX('Submission template'!$J$17:$J$300,$U56)),""))</f>
      </c>
      <c r="Y56" s="214">
        <f>IF($U56="","",IFERROR(TRIM(INDEX('Submission template'!$K$17:$K$300,$U56)),""))</f>
      </c>
      <c r="Z56" s="214">
        <f>IF($U56="","",IFERROR(TRIM(INDEX('Submission template'!$M$17:$M$300,$U56)),""))</f>
      </c>
      <c r="AA56" s="214">
        <f>IF($U56="","",IFERROR(TRIM(INDEX('Submission template'!$O$17:$O$300,$U56)),""))</f>
      </c>
      <c r="AB56" s="214">
        <f>IF($U56="","",IFERROR(TRIM(INDEX('Submission template'!$S$17:$S$300,$U56)),""))</f>
      </c>
      <c r="AC56" s="214">
        <f>IF($B56="",0,IF($U56="",0,1))</f>
        <v>0</v>
      </c>
      <c r="AD56" s="214">
        <f>IF($B56="",0,IF(OR($H56=TargetLocation,AND($AA56&lt;&gt;"",ISNUMBER(SEARCH(TargetLocation,$AA56)))),1,0))</f>
        <v>1</v>
      </c>
      <c r="AE56" s="214">
        <f>IF($B56="",0,IF(AND(OR(SelRecruiter="All",$C56=SelRecruiter),OR(SelCity="All",$H56=SelCity),OR(SelStage="All",$I56=SelStage),OR(SelRequisition="All",$F56=SelRequisition)),1,0))</f>
        <v>1</v>
      </c>
      <c r="AF56" s="214">
        <f>IF($B56="","",COUNT($AF$5:AF55)+1)</f>
        <v>51</v>
      </c>
      <c r="AG56" s="214">
        <f>IF($C56="","",IF(COUNTIF($C$6:$C56,$C56)=1,COUNT($AG$5:AG55)+1,""))</f>
      </c>
      <c r="AH56" s="214">
        <f>IF($F56="","",IF(COUNTIF($F$6:$F56,$F56)=1,COUNT($AH$5:AH55)+1,""))</f>
      </c>
      <c r="AI56" s="214">
        <f>IF($H56="","",IF(COUNTIF($H$6:$H56,$H56)=1,COUNT($AI$5:AI55)+1,""))</f>
      </c>
      <c r="AJ56" s="214">
        <f>IF(OR($B56="",$J56=0),"",$J56*100000000+IF(ISNUMBER($D56),$D56,0)*1000+(170-$A56))</f>
        <v>146248119</v>
      </c>
      <c r="AK56" s="214">
        <f>IF(OR($B56="",$W56&lt;=0),"",ROUND($W56*10,0)*100000+(170-$A56))</f>
      </c>
      <c r="AL56" s="214">
        <f>IF(OR($B56="",$P56&lt;=0),"",ROUND($P56*10000,0)*1000+(170-$A56))</f>
        <v>10000119</v>
      </c>
      <c r="AM56" s="214">
        <f>IF(AND($W56&gt;0,$O56&gt;0),COUNT($AM$5:AM55)+1,"")</f>
      </c>
      <c r="AN56">
        <f>IF($B56="",0,IF($G56="",0,SUMPRODUCT(MAX(ISNUMBER(SEARCH(LocPattern,$G56))*LocIdx))))</f>
        <v>16</v>
      </c>
      <c r="BL56" t="str">
        <f>IFERROR(INDEX($B$6:$B$125,MATCH(51,$AF$6:$AF$125,0)),"")</f>
        <v>Arun K</v>
      </c>
    </row>
    <row r="57">
      <c r="A57" s="220" t="n">
        <v>52</v>
      </c>
      <c r="B57" s="220" t="str">
        <f>IF(TRIM('Master Data-2026'!D53)="","",TRIM('Master Data-2026'!D53))</f>
        <v>Ankit Mahajan</v>
      </c>
      <c r="C57" s="220" t="str">
        <f>IF($B57="","",TRIM('Master Data-2026'!A53))</f>
        <v>Sarath</v>
      </c>
      <c r="D57" s="221">
        <f>IF($B57="","",IF('Master Data-2026'!B53="","",'Master Data-2026'!B53))</f>
        <v>46256</v>
      </c>
      <c r="E57" s="220" t="str">
        <f>IF($B57="","",TRIM('Master Data-2026'!C53))</f>
        <v>August</v>
      </c>
      <c r="F57" s="220" t="str">
        <f>IF($B57="","",TRIM('Master Data-2026'!G53))</f>
        <v>Voyage Optimization Specialist</v>
      </c>
      <c r="G57" s="220" t="str">
        <f>IF($B57="","",TRIM('Master Data-2026'!F53))</f>
        <v>Mumbai</v>
      </c>
      <c r="H57" s="220" t="str">
        <f>IF($B57="","",IF($G57="","Not recorded",IF($AN57=0,"Other",INDEX(LocCity,$AN57))))</f>
        <v>Mumbai</v>
      </c>
      <c r="I57" s="220" t="str">
        <f>IF($B57="","",TRIM('Master Data-2026'!H53))</f>
        <v>ZN Interview</v>
      </c>
      <c r="J57" s="220">
        <f>IF($B57="",0,IFERROR(INDEX(StageOrderRef,MATCH($I57,StageNameRef,0)),0))</f>
        <v>3</v>
      </c>
      <c r="K57" s="220" t="str">
        <f>IF($B57="","",TRIM('Master Data-2026'!I53))</f>
        <v>L1 Scheduled on 25th Aug</v>
      </c>
      <c r="L57" s="220" t="str">
        <f>IF($B57="","",TRIM('Master Data-2026'!J53))</f>
        <v>17 LPA</v>
      </c>
      <c r="M57" s="222">
        <f>IF($L57="",0,IF(ISNUMBER(SEARCH("%",$L57)),0,IFERROR(VALUE(LEFT($L57,IF(NOT(OR(AND(MID($L57,1,1)&gt;="0",MID($L57,1,1)&lt;="9"),MID($L57,1,1)=".")),0,IF(NOT(OR(AND(MID($L57,2,1)&gt;="0",MID($L57,2,1)&lt;="9"),MID($L57,2,1)=".")),1,IF(NOT(OR(AND(MID($L57,3,1)&gt;="0",MID($L57,3,1)&lt;="9"),MID($L57,3,1)=".")),2,IF(NOT(OR(AND(MID($L57,4,1)&gt;="0",MID($L57,4,1)&lt;="9"),MID($L57,4,1)=".")),3,IF(NOT(OR(AND(MID($L57,5,1)&gt;="0",MID($L57,5,1)&lt;="9"),MID($L57,5,1)=".")),4,IF(NOT(OR(AND(MID($L57,6,1)&gt;="0",MID($L57,6,1)&lt;="9"),MID($L57,6,1)=".")),5,6)))))))),0)))</f>
        <v>17</v>
      </c>
      <c r="N57" s="220" t="str">
        <f>IF($B57="","",TRIM('Master Data-2026'!K53))</f>
        <v>25 LPA</v>
      </c>
      <c r="O57" s="222">
        <f>IF($N57="",0,IF(ISNUMBER(SEARCH("%",$N57)),0,IFERROR(VALUE(LEFT($N57,IF(NOT(OR(AND(MID($N57,1,1)&gt;="0",MID($N57,1,1)&lt;="9"),MID($N57,1,1)=".")),0,IF(NOT(OR(AND(MID($N57,2,1)&gt;="0",MID($N57,2,1)&lt;="9"),MID($N57,2,1)=".")),1,IF(NOT(OR(AND(MID($N57,3,1)&gt;="0",MID($N57,3,1)&lt;="9"),MID($N57,3,1)=".")),2,IF(NOT(OR(AND(MID($N57,4,1)&gt;="0",MID($N57,4,1)&lt;="9"),MID($N57,4,1)=".")),3,IF(NOT(OR(AND(MID($N57,5,1)&gt;="0",MID($N57,5,1)&lt;="9"),MID($N57,5,1)=".")),4,IF(NOT(OR(AND(MID($N57,6,1)&gt;="0",MID($N57,6,1)&lt;="9"),MID($N57,6,1)=".")),5,6)))))))),0)))</f>
        <v>25</v>
      </c>
      <c r="P57" s="223">
        <f>IF(AND($M57&gt;0,$O57&gt;0),$O57/$M57-1,0)</f>
        <v>0.47058823529411775</v>
      </c>
      <c r="Q57" s="220" t="str">
        <f>IF($B57="","",TRIM('Master Data-2026'!L53))</f>
        <v>2 Months(Negotiable)</v>
      </c>
      <c r="R57" s="220">
        <f>IF($Q57="",0,IF(ISNUMBER(SEARCH("%",$Q57)),0,IFERROR(VALUE(LEFT($Q57,IF(NOT(OR(AND(MID($Q57,1,1)&gt;="0",MID($Q57,1,1)&lt;="9"),MID($Q57,1,1)=".")),0,IF(NOT(OR(AND(MID($Q57,2,1)&gt;="0",MID($Q57,2,1)&lt;="9"),MID($Q57,2,1)=".")),1,IF(NOT(OR(AND(MID($Q57,3,1)&gt;="0",MID($Q57,3,1)&lt;="9"),MID($Q57,3,1)=".")),2,IF(NOT(OR(AND(MID($Q57,4,1)&gt;="0",MID($Q57,4,1)&lt;="9"),MID($Q57,4,1)=".")),3,IF(NOT(OR(AND(MID($Q57,5,1)&gt;="0",MID($Q57,5,1)&lt;="9"),MID($Q57,5,1)=".")),4,IF(NOT(OR(AND(MID($Q57,6,1)&gt;="0",MID($Q57,6,1)&lt;="9"),MID($Q57,6,1)=".")),5,6)))))))),0)))</f>
        <v>2</v>
      </c>
      <c r="S57" s="224">
        <f>IF($Q57="",-1,IF(ISNUMBER(SEARCH("immediate",$Q57)),0,IF(ISNUMBER(SEARCH("month",$Q57)),IF($R57=0,-1,$R57*30),IF(ISNUMBER(SEARCH("day",$Q57)),IF($R57=0,-1,$R57),-1))))</f>
        <v>60</v>
      </c>
      <c r="T57" s="220" t="str">
        <f>IF($B57="","",IF($S57&lt;0,"Not recorded",IF($S57=0,"Immediate",IF($S57&lt;=30,"1-30 days",IF($S57&lt;=60,"31-60 days","60+ days")))))</f>
        <v>31-60 days</v>
      </c>
      <c r="U57" s="220">
        <f>IF($B57="","",IFERROR(MATCH($B57,'Submission template'!$D$17:$D$300,0),""))</f>
        <v>26</v>
      </c>
      <c r="V57" s="220" t="str">
        <f>IF($U57="","",IFERROR(TRIM(INDEX('Submission template'!$I$17:$I$300,$U57)),""))</f>
        <v>8 Years</v>
      </c>
      <c r="W57" s="225">
        <f>IF($V57="",0,IF(ISNUMBER(SEARCH("%",$V57)),0,IFERROR(VALUE(LEFT($V57,IF(NOT(OR(AND(MID($V57,1,1)&gt;="0",MID($V57,1,1)&lt;="9"),MID($V57,1,1)=".")),0,IF(NOT(OR(AND(MID($V57,2,1)&gt;="0",MID($V57,2,1)&lt;="9"),MID($V57,2,1)=".")),1,IF(NOT(OR(AND(MID($V57,3,1)&gt;="0",MID($V57,3,1)&lt;="9"),MID($V57,3,1)=".")),2,IF(NOT(OR(AND(MID($V57,4,1)&gt;="0",MID($V57,4,1)&lt;="9"),MID($V57,4,1)=".")),3,IF(NOT(OR(AND(MID($V57,5,1)&gt;="0",MID($V57,5,1)&lt;="9"),MID($V57,5,1)=".")),4,IF(NOT(OR(AND(MID($V57,6,1)&gt;="0",MID($V57,6,1)&lt;="9"),MID($V57,6,1)=".")),5,6)))))))),0)))</f>
        <v>8</v>
      </c>
      <c r="X57" s="220" t="str">
        <f>IF($U57="","",IFERROR(TRIM(INDEX('Submission template'!$J$17:$J$300,$U57)),""))</f>
        <v>8 Years</v>
      </c>
      <c r="Y57" s="220" t="str">
        <f>IF($U57="","",IFERROR(TRIM(INDEX('Submission template'!$K$17:$K$300,$U57)),""))</f>
        <v>Samsara Group</v>
      </c>
      <c r="Z57" s="220" t="str">
        <f>IF($U57="","",IFERROR(TRIM(INDEX('Submission template'!$M$17:$M$300,$U57)),""))</f>
        <v>Manager-Shop Broking</v>
      </c>
      <c r="AA57" s="220" t="str">
        <f>IF($U57="","",IFERROR(TRIM(INDEX('Submission template'!$O$17:$O$300,$U57)),""))</f>
        <v>Mumbai</v>
      </c>
      <c r="AB57" s="220" t="str">
        <f>IF($U57="","",IFERROR(TRIM(INDEX('Submission template'!$S$17:$S$300,$U57)),""))</f>
        <v>Career Growth</v>
      </c>
      <c r="AC57" s="220">
        <f>IF($B57="",0,IF($U57="",0,1))</f>
        <v>1</v>
      </c>
      <c r="AD57" s="220">
        <f>IF($B57="",0,IF(OR($H57=TargetLocation,AND($AA57&lt;&gt;"",ISNUMBER(SEARCH(TargetLocation,$AA57)))),1,0))</f>
        <v>0</v>
      </c>
      <c r="AE57" s="220">
        <f>IF($B57="",0,IF(AND(OR(SelRecruiter="All",$C57=SelRecruiter),OR(SelCity="All",$H57=SelCity),OR(SelStage="All",$I57=SelStage),OR(SelRequisition="All",$F57=SelRequisition)),1,0))</f>
        <v>1</v>
      </c>
      <c r="AF57" s="220">
        <f>IF($B57="","",COUNT($AF$5:AF56)+1)</f>
        <v>52</v>
      </c>
      <c r="AG57" s="220">
        <f>IF($C57="","",IF(COUNTIF($C$6:$C57,$C57)=1,COUNT($AG$5:AG56)+1,""))</f>
      </c>
      <c r="AH57" s="220">
        <f>IF($F57="","",IF(COUNTIF($F$6:$F57,$F57)=1,COUNT($AH$5:AH56)+1,""))</f>
        <v>3</v>
      </c>
      <c r="AI57" s="220">
        <f>IF($H57="","",IF(COUNTIF($H$6:$H57,$H57)=1,COUNT($AI$5:AI56)+1,""))</f>
        <v>11</v>
      </c>
      <c r="AJ57" s="220">
        <f>IF(OR($B57="",$J57=0),"",$J57*100000000+IF(ISNUMBER($D57),$D57,0)*1000+(170-$A57))</f>
        <v>346256118</v>
      </c>
      <c r="AK57" s="220">
        <f>IF(OR($B57="",$W57&lt;=0),"",ROUND($W57*10,0)*100000+(170-$A57))</f>
        <v>8000118</v>
      </c>
      <c r="AL57" s="220">
        <f>IF(OR($B57="",$P57&lt;=0),"",ROUND($P57*10000,0)*1000+(170-$A57))</f>
        <v>4706118</v>
      </c>
      <c r="AM57" s="220">
        <f>IF(AND($W57&gt;0,$O57&gt;0),COUNT($AM$5:AM56)+1,"")</f>
        <v>20</v>
      </c>
      <c r="AN57">
        <f>IF($B57="",0,IF($G57="",0,SUMPRODUCT(MAX(ISNUMBER(SEARCH(LocPattern,$G57))*LocIdx))))</f>
        <v>30</v>
      </c>
      <c r="BL57" t="str">
        <f>IFERROR(INDEX($B$6:$B$125,MATCH(52,$AF$6:$AF$125,0)),"")</f>
        <v>Ankit Mahajan</v>
      </c>
    </row>
    <row r="58">
      <c r="A58" s="214" t="n">
        <v>53</v>
      </c>
      <c r="B58" s="214">
        <f>IF(TRIM('Master Data-2026'!D54)="","",TRIM('Master Data-2026'!D54))</f>
      </c>
      <c r="C58" s="214">
        <f>IF($B58="","",TRIM('Master Data-2026'!A54))</f>
      </c>
      <c r="D58" s="215">
        <f>IF($B58="","",IF('Master Data-2026'!B54="","",'Master Data-2026'!B54))</f>
      </c>
      <c r="E58" s="214">
        <f>IF($B58="","",TRIM('Master Data-2026'!C54))</f>
      </c>
      <c r="F58" s="214">
        <f>IF($B58="","",TRIM('Master Data-2026'!G54))</f>
      </c>
      <c r="G58" s="214">
        <f>IF($B58="","",TRIM('Master Data-2026'!F54))</f>
      </c>
      <c r="H58" s="214">
        <f>IF($B58="","",IF($G58="","Not recorded",IF($AN58=0,"Other",INDEX(LocCity,$AN58))))</f>
      </c>
      <c r="I58" s="214">
        <f>IF($B58="","",TRIM('Master Data-2026'!H54))</f>
      </c>
      <c r="J58" s="214">
        <f>IF($B58="",0,IFERROR(INDEX(StageOrderRef,MATCH($I58,StageNameRef,0)),0))</f>
        <v>0</v>
      </c>
      <c r="K58" s="214">
        <f>IF($B58="","",TRIM('Master Data-2026'!I54))</f>
      </c>
      <c r="L58" s="214">
        <f>IF($B58="","",TRIM('Master Data-2026'!J54))</f>
      </c>
      <c r="M58" s="216">
        <f>IF($L58="",0,IF(ISNUMBER(SEARCH("%",$L58)),0,IFERROR(VALUE(LEFT($L58,IF(NOT(OR(AND(MID($L58,1,1)&gt;="0",MID($L58,1,1)&lt;="9"),MID($L58,1,1)=".")),0,IF(NOT(OR(AND(MID($L58,2,1)&gt;="0",MID($L58,2,1)&lt;="9"),MID($L58,2,1)=".")),1,IF(NOT(OR(AND(MID($L58,3,1)&gt;="0",MID($L58,3,1)&lt;="9"),MID($L58,3,1)=".")),2,IF(NOT(OR(AND(MID($L58,4,1)&gt;="0",MID($L58,4,1)&lt;="9"),MID($L58,4,1)=".")),3,IF(NOT(OR(AND(MID($L58,5,1)&gt;="0",MID($L58,5,1)&lt;="9"),MID($L58,5,1)=".")),4,IF(NOT(OR(AND(MID($L58,6,1)&gt;="0",MID($L58,6,1)&lt;="9"),MID($L58,6,1)=".")),5,6)))))))),0)))</f>
        <v>0</v>
      </c>
      <c r="N58" s="214">
        <f>IF($B58="","",TRIM('Master Data-2026'!K54))</f>
      </c>
      <c r="O58" s="216">
        <f>IF($N58="",0,IF(ISNUMBER(SEARCH("%",$N58)),0,IFERROR(VALUE(LEFT($N58,IF(NOT(OR(AND(MID($N58,1,1)&gt;="0",MID($N58,1,1)&lt;="9"),MID($N58,1,1)=".")),0,IF(NOT(OR(AND(MID($N58,2,1)&gt;="0",MID($N58,2,1)&lt;="9"),MID($N58,2,1)=".")),1,IF(NOT(OR(AND(MID($N58,3,1)&gt;="0",MID($N58,3,1)&lt;="9"),MID($N58,3,1)=".")),2,IF(NOT(OR(AND(MID($N58,4,1)&gt;="0",MID($N58,4,1)&lt;="9"),MID($N58,4,1)=".")),3,IF(NOT(OR(AND(MID($N58,5,1)&gt;="0",MID($N58,5,1)&lt;="9"),MID($N58,5,1)=".")),4,IF(NOT(OR(AND(MID($N58,6,1)&gt;="0",MID($N58,6,1)&lt;="9"),MID($N58,6,1)=".")),5,6)))))))),0)))</f>
        <v>0</v>
      </c>
      <c r="P58" s="217">
        <f>IF(AND($M58&gt;0,$O58&gt;0),$O58/$M58-1,0)</f>
        <v>0</v>
      </c>
      <c r="Q58" s="214">
        <f>IF($B58="","",TRIM('Master Data-2026'!L54))</f>
      </c>
      <c r="R58" s="214">
        <f>IF($Q58="",0,IF(ISNUMBER(SEARCH("%",$Q58)),0,IFERROR(VALUE(LEFT($Q58,IF(NOT(OR(AND(MID($Q58,1,1)&gt;="0",MID($Q58,1,1)&lt;="9"),MID($Q58,1,1)=".")),0,IF(NOT(OR(AND(MID($Q58,2,1)&gt;="0",MID($Q58,2,1)&lt;="9"),MID($Q58,2,1)=".")),1,IF(NOT(OR(AND(MID($Q58,3,1)&gt;="0",MID($Q58,3,1)&lt;="9"),MID($Q58,3,1)=".")),2,IF(NOT(OR(AND(MID($Q58,4,1)&gt;="0",MID($Q58,4,1)&lt;="9"),MID($Q58,4,1)=".")),3,IF(NOT(OR(AND(MID($Q58,5,1)&gt;="0",MID($Q58,5,1)&lt;="9"),MID($Q58,5,1)=".")),4,IF(NOT(OR(AND(MID($Q58,6,1)&gt;="0",MID($Q58,6,1)&lt;="9"),MID($Q58,6,1)=".")),5,6)))))))),0)))</f>
        <v>0</v>
      </c>
      <c r="S58" s="218">
        <f>IF($Q58="",-1,IF(ISNUMBER(SEARCH("immediate",$Q58)),0,IF(ISNUMBER(SEARCH("month",$Q58)),IF($R58=0,-1,$R58*30),IF(ISNUMBER(SEARCH("day",$Q58)),IF($R58=0,-1,$R58),-1))))</f>
        <v>-1</v>
      </c>
      <c r="T58" s="214">
        <f>IF($B58="","",IF($S58&lt;0,"Not recorded",IF($S58=0,"Immediate",IF($S58&lt;=30,"1-30 days",IF($S58&lt;=60,"31-60 days","60+ days")))))</f>
      </c>
      <c r="U58" s="214">
        <f>IF($B58="","",IFERROR(MATCH($B58,'Submission template'!$D$17:$D$300,0),""))</f>
      </c>
      <c r="V58" s="214">
        <f>IF($U58="","",IFERROR(TRIM(INDEX('Submission template'!$I$17:$I$300,$U58)),""))</f>
      </c>
      <c r="W58" s="219">
        <f>IF($V58="",0,IF(ISNUMBER(SEARCH("%",$V58)),0,IFERROR(VALUE(LEFT($V58,IF(NOT(OR(AND(MID($V58,1,1)&gt;="0",MID($V58,1,1)&lt;="9"),MID($V58,1,1)=".")),0,IF(NOT(OR(AND(MID($V58,2,1)&gt;="0",MID($V58,2,1)&lt;="9"),MID($V58,2,1)=".")),1,IF(NOT(OR(AND(MID($V58,3,1)&gt;="0",MID($V58,3,1)&lt;="9"),MID($V58,3,1)=".")),2,IF(NOT(OR(AND(MID($V58,4,1)&gt;="0",MID($V58,4,1)&lt;="9"),MID($V58,4,1)=".")),3,IF(NOT(OR(AND(MID($V58,5,1)&gt;="0",MID($V58,5,1)&lt;="9"),MID($V58,5,1)=".")),4,IF(NOT(OR(AND(MID($V58,6,1)&gt;="0",MID($V58,6,1)&lt;="9"),MID($V58,6,1)=".")),5,6)))))))),0)))</f>
        <v>0</v>
      </c>
      <c r="X58" s="214">
        <f>IF($U58="","",IFERROR(TRIM(INDEX('Submission template'!$J$17:$J$300,$U58)),""))</f>
      </c>
      <c r="Y58" s="214">
        <f>IF($U58="","",IFERROR(TRIM(INDEX('Submission template'!$K$17:$K$300,$U58)),""))</f>
      </c>
      <c r="Z58" s="214">
        <f>IF($U58="","",IFERROR(TRIM(INDEX('Submission template'!$M$17:$M$300,$U58)),""))</f>
      </c>
      <c r="AA58" s="214">
        <f>IF($U58="","",IFERROR(TRIM(INDEX('Submission template'!$O$17:$O$300,$U58)),""))</f>
      </c>
      <c r="AB58" s="214">
        <f>IF($U58="","",IFERROR(TRIM(INDEX('Submission template'!$S$17:$S$300,$U58)),""))</f>
      </c>
      <c r="AC58" s="214">
        <f>IF($B58="",0,IF($U58="",0,1))</f>
        <v>0</v>
      </c>
      <c r="AD58" s="214">
        <f>IF($B58="",0,IF(OR($H58=TargetLocation,AND($AA58&lt;&gt;"",ISNUMBER(SEARCH(TargetLocation,$AA58)))),1,0))</f>
        <v>0</v>
      </c>
      <c r="AE58" s="214">
        <f>IF($B58="",0,IF(AND(OR(SelRecruiter="All",$C58=SelRecruiter),OR(SelCity="All",$H58=SelCity),OR(SelStage="All",$I58=SelStage),OR(SelRequisition="All",$F58=SelRequisition)),1,0))</f>
        <v>0</v>
      </c>
      <c r="AF58" s="214">
        <f>IF($B58="","",COUNT($AF$5:AF57)+1)</f>
      </c>
      <c r="AG58" s="214">
        <f>IF($C58="","",IF(COUNTIF($C$6:$C58,$C58)=1,COUNT($AG$5:AG57)+1,""))</f>
      </c>
      <c r="AH58" s="214">
        <f>IF($F58="","",IF(COUNTIF($F$6:$F58,$F58)=1,COUNT($AH$5:AH57)+1,""))</f>
      </c>
      <c r="AI58" s="214">
        <f>IF($H58="","",IF(COUNTIF($H$6:$H58,$H58)=1,COUNT($AI$5:AI57)+1,""))</f>
      </c>
      <c r="AJ58" s="214">
        <f>IF(OR($B58="",$J58=0),"",$J58*100000000+IF(ISNUMBER($D58),$D58,0)*1000+(170-$A58))</f>
      </c>
      <c r="AK58" s="214">
        <f>IF(OR($B58="",$W58&lt;=0),"",ROUND($W58*10,0)*100000+(170-$A58))</f>
      </c>
      <c r="AL58" s="214">
        <f>IF(OR($B58="",$P58&lt;=0),"",ROUND($P58*10000,0)*1000+(170-$A58))</f>
      </c>
      <c r="AM58" s="214">
        <f>IF(AND($W58&gt;0,$O58&gt;0),COUNT($AM$5:AM57)+1,"")</f>
      </c>
      <c r="AN58">
        <f>IF($B58="",0,IF($G58="",0,SUMPRODUCT(MAX(ISNUMBER(SEARCH(LocPattern,$G58))*LocIdx))))</f>
        <v>0</v>
      </c>
      <c r="BL58">
        <f>IFERROR(INDEX($B$6:$B$125,MATCH(53,$AF$6:$AF$125,0)),"")</f>
      </c>
    </row>
    <row r="59">
      <c r="A59" s="220" t="n">
        <v>54</v>
      </c>
      <c r="B59" s="220">
        <f>IF(TRIM('Master Data-2026'!D55)="","",TRIM('Master Data-2026'!D55))</f>
      </c>
      <c r="C59" s="220">
        <f>IF($B59="","",TRIM('Master Data-2026'!A55))</f>
      </c>
      <c r="D59" s="221">
        <f>IF($B59="","",IF('Master Data-2026'!B55="","",'Master Data-2026'!B55))</f>
      </c>
      <c r="E59" s="220">
        <f>IF($B59="","",TRIM('Master Data-2026'!C55))</f>
      </c>
      <c r="F59" s="220">
        <f>IF($B59="","",TRIM('Master Data-2026'!G55))</f>
      </c>
      <c r="G59" s="220">
        <f>IF($B59="","",TRIM('Master Data-2026'!F55))</f>
      </c>
      <c r="H59" s="220">
        <f>IF($B59="","",IF($G59="","Not recorded",IF($AN59=0,"Other",INDEX(LocCity,$AN59))))</f>
      </c>
      <c r="I59" s="220">
        <f>IF($B59="","",TRIM('Master Data-2026'!H55))</f>
      </c>
      <c r="J59" s="220">
        <f>IF($B59="",0,IFERROR(INDEX(StageOrderRef,MATCH($I59,StageNameRef,0)),0))</f>
        <v>0</v>
      </c>
      <c r="K59" s="220">
        <f>IF($B59="","",TRIM('Master Data-2026'!I55))</f>
      </c>
      <c r="L59" s="220">
        <f>IF($B59="","",TRIM('Master Data-2026'!J55))</f>
      </c>
      <c r="M59" s="222">
        <f>IF($L59="",0,IF(ISNUMBER(SEARCH("%",$L59)),0,IFERROR(VALUE(LEFT($L59,IF(NOT(OR(AND(MID($L59,1,1)&gt;="0",MID($L59,1,1)&lt;="9"),MID($L59,1,1)=".")),0,IF(NOT(OR(AND(MID($L59,2,1)&gt;="0",MID($L59,2,1)&lt;="9"),MID($L59,2,1)=".")),1,IF(NOT(OR(AND(MID($L59,3,1)&gt;="0",MID($L59,3,1)&lt;="9"),MID($L59,3,1)=".")),2,IF(NOT(OR(AND(MID($L59,4,1)&gt;="0",MID($L59,4,1)&lt;="9"),MID($L59,4,1)=".")),3,IF(NOT(OR(AND(MID($L59,5,1)&gt;="0",MID($L59,5,1)&lt;="9"),MID($L59,5,1)=".")),4,IF(NOT(OR(AND(MID($L59,6,1)&gt;="0",MID($L59,6,1)&lt;="9"),MID($L59,6,1)=".")),5,6)))))))),0)))</f>
        <v>0</v>
      </c>
      <c r="N59" s="220">
        <f>IF($B59="","",TRIM('Master Data-2026'!K55))</f>
      </c>
      <c r="O59" s="222">
        <f>IF($N59="",0,IF(ISNUMBER(SEARCH("%",$N59)),0,IFERROR(VALUE(LEFT($N59,IF(NOT(OR(AND(MID($N59,1,1)&gt;="0",MID($N59,1,1)&lt;="9"),MID($N59,1,1)=".")),0,IF(NOT(OR(AND(MID($N59,2,1)&gt;="0",MID($N59,2,1)&lt;="9"),MID($N59,2,1)=".")),1,IF(NOT(OR(AND(MID($N59,3,1)&gt;="0",MID($N59,3,1)&lt;="9"),MID($N59,3,1)=".")),2,IF(NOT(OR(AND(MID($N59,4,1)&gt;="0",MID($N59,4,1)&lt;="9"),MID($N59,4,1)=".")),3,IF(NOT(OR(AND(MID($N59,5,1)&gt;="0",MID($N59,5,1)&lt;="9"),MID($N59,5,1)=".")),4,IF(NOT(OR(AND(MID($N59,6,1)&gt;="0",MID($N59,6,1)&lt;="9"),MID($N59,6,1)=".")),5,6)))))))),0)))</f>
        <v>0</v>
      </c>
      <c r="P59" s="223">
        <f>IF(AND($M59&gt;0,$O59&gt;0),$O59/$M59-1,0)</f>
        <v>0</v>
      </c>
      <c r="Q59" s="220">
        <f>IF($B59="","",TRIM('Master Data-2026'!L55))</f>
      </c>
      <c r="R59" s="220">
        <f>IF($Q59="",0,IF(ISNUMBER(SEARCH("%",$Q59)),0,IFERROR(VALUE(LEFT($Q59,IF(NOT(OR(AND(MID($Q59,1,1)&gt;="0",MID($Q59,1,1)&lt;="9"),MID($Q59,1,1)=".")),0,IF(NOT(OR(AND(MID($Q59,2,1)&gt;="0",MID($Q59,2,1)&lt;="9"),MID($Q59,2,1)=".")),1,IF(NOT(OR(AND(MID($Q59,3,1)&gt;="0",MID($Q59,3,1)&lt;="9"),MID($Q59,3,1)=".")),2,IF(NOT(OR(AND(MID($Q59,4,1)&gt;="0",MID($Q59,4,1)&lt;="9"),MID($Q59,4,1)=".")),3,IF(NOT(OR(AND(MID($Q59,5,1)&gt;="0",MID($Q59,5,1)&lt;="9"),MID($Q59,5,1)=".")),4,IF(NOT(OR(AND(MID($Q59,6,1)&gt;="0",MID($Q59,6,1)&lt;="9"),MID($Q59,6,1)=".")),5,6)))))))),0)))</f>
        <v>0</v>
      </c>
      <c r="S59" s="224">
        <f>IF($Q59="",-1,IF(ISNUMBER(SEARCH("immediate",$Q59)),0,IF(ISNUMBER(SEARCH("month",$Q59)),IF($R59=0,-1,$R59*30),IF(ISNUMBER(SEARCH("day",$Q59)),IF($R59=0,-1,$R59),-1))))</f>
        <v>-1</v>
      </c>
      <c r="T59" s="220">
        <f>IF($B59="","",IF($S59&lt;0,"Not recorded",IF($S59=0,"Immediate",IF($S59&lt;=30,"1-30 days",IF($S59&lt;=60,"31-60 days","60+ days")))))</f>
      </c>
      <c r="U59" s="220">
        <f>IF($B59="","",IFERROR(MATCH($B59,'Submission template'!$D$17:$D$300,0),""))</f>
      </c>
      <c r="V59" s="220">
        <f>IF($U59="","",IFERROR(TRIM(INDEX('Submission template'!$I$17:$I$300,$U59)),""))</f>
      </c>
      <c r="W59" s="225">
        <f>IF($V59="",0,IF(ISNUMBER(SEARCH("%",$V59)),0,IFERROR(VALUE(LEFT($V59,IF(NOT(OR(AND(MID($V59,1,1)&gt;="0",MID($V59,1,1)&lt;="9"),MID($V59,1,1)=".")),0,IF(NOT(OR(AND(MID($V59,2,1)&gt;="0",MID($V59,2,1)&lt;="9"),MID($V59,2,1)=".")),1,IF(NOT(OR(AND(MID($V59,3,1)&gt;="0",MID($V59,3,1)&lt;="9"),MID($V59,3,1)=".")),2,IF(NOT(OR(AND(MID($V59,4,1)&gt;="0",MID($V59,4,1)&lt;="9"),MID($V59,4,1)=".")),3,IF(NOT(OR(AND(MID($V59,5,1)&gt;="0",MID($V59,5,1)&lt;="9"),MID($V59,5,1)=".")),4,IF(NOT(OR(AND(MID($V59,6,1)&gt;="0",MID($V59,6,1)&lt;="9"),MID($V59,6,1)=".")),5,6)))))))),0)))</f>
        <v>0</v>
      </c>
      <c r="X59" s="220">
        <f>IF($U59="","",IFERROR(TRIM(INDEX('Submission template'!$J$17:$J$300,$U59)),""))</f>
      </c>
      <c r="Y59" s="220">
        <f>IF($U59="","",IFERROR(TRIM(INDEX('Submission template'!$K$17:$K$300,$U59)),""))</f>
      </c>
      <c r="Z59" s="220">
        <f>IF($U59="","",IFERROR(TRIM(INDEX('Submission template'!$M$17:$M$300,$U59)),""))</f>
      </c>
      <c r="AA59" s="220">
        <f>IF($U59="","",IFERROR(TRIM(INDEX('Submission template'!$O$17:$O$300,$U59)),""))</f>
      </c>
      <c r="AB59" s="220">
        <f>IF($U59="","",IFERROR(TRIM(INDEX('Submission template'!$S$17:$S$300,$U59)),""))</f>
      </c>
      <c r="AC59" s="220">
        <f>IF($B59="",0,IF($U59="",0,1))</f>
        <v>0</v>
      </c>
      <c r="AD59" s="220">
        <f>IF($B59="",0,IF(OR($H59=TargetLocation,AND($AA59&lt;&gt;"",ISNUMBER(SEARCH(TargetLocation,$AA59)))),1,0))</f>
        <v>0</v>
      </c>
      <c r="AE59" s="220">
        <f>IF($B59="",0,IF(AND(OR(SelRecruiter="All",$C59=SelRecruiter),OR(SelCity="All",$H59=SelCity),OR(SelStage="All",$I59=SelStage),OR(SelRequisition="All",$F59=SelRequisition)),1,0))</f>
        <v>0</v>
      </c>
      <c r="AF59" s="220">
        <f>IF($B59="","",COUNT($AF$5:AF58)+1)</f>
      </c>
      <c r="AG59" s="220">
        <f>IF($C59="","",IF(COUNTIF($C$6:$C59,$C59)=1,COUNT($AG$5:AG58)+1,""))</f>
      </c>
      <c r="AH59" s="220">
        <f>IF($F59="","",IF(COUNTIF($F$6:$F59,$F59)=1,COUNT($AH$5:AH58)+1,""))</f>
      </c>
      <c r="AI59" s="220">
        <f>IF($H59="","",IF(COUNTIF($H$6:$H59,$H59)=1,COUNT($AI$5:AI58)+1,""))</f>
      </c>
      <c r="AJ59" s="220">
        <f>IF(OR($B59="",$J59=0),"",$J59*100000000+IF(ISNUMBER($D59),$D59,0)*1000+(170-$A59))</f>
      </c>
      <c r="AK59" s="220">
        <f>IF(OR($B59="",$W59&lt;=0),"",ROUND($W59*10,0)*100000+(170-$A59))</f>
      </c>
      <c r="AL59" s="220">
        <f>IF(OR($B59="",$P59&lt;=0),"",ROUND($P59*10000,0)*1000+(170-$A59))</f>
      </c>
      <c r="AM59" s="220">
        <f>IF(AND($W59&gt;0,$O59&gt;0),COUNT($AM$5:AM58)+1,"")</f>
      </c>
      <c r="AN59">
        <f>IF($B59="",0,IF($G59="",0,SUMPRODUCT(MAX(ISNUMBER(SEARCH(LocPattern,$G59))*LocIdx))))</f>
        <v>0</v>
      </c>
      <c r="BL59">
        <f>IFERROR(INDEX($B$6:$B$125,MATCH(54,$AF$6:$AF$125,0)),"")</f>
      </c>
    </row>
    <row r="60">
      <c r="A60" s="214" t="n">
        <v>55</v>
      </c>
      <c r="B60" s="214">
        <f>IF(TRIM('Master Data-2026'!D56)="","",TRIM('Master Data-2026'!D56))</f>
      </c>
      <c r="C60" s="214">
        <f>IF($B60="","",TRIM('Master Data-2026'!A56))</f>
      </c>
      <c r="D60" s="215">
        <f>IF($B60="","",IF('Master Data-2026'!B56="","",'Master Data-2026'!B56))</f>
      </c>
      <c r="E60" s="214">
        <f>IF($B60="","",TRIM('Master Data-2026'!C56))</f>
      </c>
      <c r="F60" s="214">
        <f>IF($B60="","",TRIM('Master Data-2026'!G56))</f>
      </c>
      <c r="G60" s="214">
        <f>IF($B60="","",TRIM('Master Data-2026'!F56))</f>
      </c>
      <c r="H60" s="214">
        <f>IF($B60="","",IF($G60="","Not recorded",IF($AN60=0,"Other",INDEX(LocCity,$AN60))))</f>
      </c>
      <c r="I60" s="214">
        <f>IF($B60="","",TRIM('Master Data-2026'!H56))</f>
      </c>
      <c r="J60" s="214">
        <f>IF($B60="",0,IFERROR(INDEX(StageOrderRef,MATCH($I60,StageNameRef,0)),0))</f>
        <v>0</v>
      </c>
      <c r="K60" s="214">
        <f>IF($B60="","",TRIM('Master Data-2026'!I56))</f>
      </c>
      <c r="L60" s="214">
        <f>IF($B60="","",TRIM('Master Data-2026'!J56))</f>
      </c>
      <c r="M60" s="216">
        <f>IF($L60="",0,IF(ISNUMBER(SEARCH("%",$L60)),0,IFERROR(VALUE(LEFT($L60,IF(NOT(OR(AND(MID($L60,1,1)&gt;="0",MID($L60,1,1)&lt;="9"),MID($L60,1,1)=".")),0,IF(NOT(OR(AND(MID($L60,2,1)&gt;="0",MID($L60,2,1)&lt;="9"),MID($L60,2,1)=".")),1,IF(NOT(OR(AND(MID($L60,3,1)&gt;="0",MID($L60,3,1)&lt;="9"),MID($L60,3,1)=".")),2,IF(NOT(OR(AND(MID($L60,4,1)&gt;="0",MID($L60,4,1)&lt;="9"),MID($L60,4,1)=".")),3,IF(NOT(OR(AND(MID($L60,5,1)&gt;="0",MID($L60,5,1)&lt;="9"),MID($L60,5,1)=".")),4,IF(NOT(OR(AND(MID($L60,6,1)&gt;="0",MID($L60,6,1)&lt;="9"),MID($L60,6,1)=".")),5,6)))))))),0)))</f>
        <v>0</v>
      </c>
      <c r="N60" s="214">
        <f>IF($B60="","",TRIM('Master Data-2026'!K56))</f>
      </c>
      <c r="O60" s="216">
        <f>IF($N60="",0,IF(ISNUMBER(SEARCH("%",$N60)),0,IFERROR(VALUE(LEFT($N60,IF(NOT(OR(AND(MID($N60,1,1)&gt;="0",MID($N60,1,1)&lt;="9"),MID($N60,1,1)=".")),0,IF(NOT(OR(AND(MID($N60,2,1)&gt;="0",MID($N60,2,1)&lt;="9"),MID($N60,2,1)=".")),1,IF(NOT(OR(AND(MID($N60,3,1)&gt;="0",MID($N60,3,1)&lt;="9"),MID($N60,3,1)=".")),2,IF(NOT(OR(AND(MID($N60,4,1)&gt;="0",MID($N60,4,1)&lt;="9"),MID($N60,4,1)=".")),3,IF(NOT(OR(AND(MID($N60,5,1)&gt;="0",MID($N60,5,1)&lt;="9"),MID($N60,5,1)=".")),4,IF(NOT(OR(AND(MID($N60,6,1)&gt;="0",MID($N60,6,1)&lt;="9"),MID($N60,6,1)=".")),5,6)))))))),0)))</f>
        <v>0</v>
      </c>
      <c r="P60" s="217">
        <f>IF(AND($M60&gt;0,$O60&gt;0),$O60/$M60-1,0)</f>
        <v>0</v>
      </c>
      <c r="Q60" s="214">
        <f>IF($B60="","",TRIM('Master Data-2026'!L56))</f>
      </c>
      <c r="R60" s="214">
        <f>IF($Q60="",0,IF(ISNUMBER(SEARCH("%",$Q60)),0,IFERROR(VALUE(LEFT($Q60,IF(NOT(OR(AND(MID($Q60,1,1)&gt;="0",MID($Q60,1,1)&lt;="9"),MID($Q60,1,1)=".")),0,IF(NOT(OR(AND(MID($Q60,2,1)&gt;="0",MID($Q60,2,1)&lt;="9"),MID($Q60,2,1)=".")),1,IF(NOT(OR(AND(MID($Q60,3,1)&gt;="0",MID($Q60,3,1)&lt;="9"),MID($Q60,3,1)=".")),2,IF(NOT(OR(AND(MID($Q60,4,1)&gt;="0",MID($Q60,4,1)&lt;="9"),MID($Q60,4,1)=".")),3,IF(NOT(OR(AND(MID($Q60,5,1)&gt;="0",MID($Q60,5,1)&lt;="9"),MID($Q60,5,1)=".")),4,IF(NOT(OR(AND(MID($Q60,6,1)&gt;="0",MID($Q60,6,1)&lt;="9"),MID($Q60,6,1)=".")),5,6)))))))),0)))</f>
        <v>0</v>
      </c>
      <c r="S60" s="218">
        <f>IF($Q60="",-1,IF(ISNUMBER(SEARCH("immediate",$Q60)),0,IF(ISNUMBER(SEARCH("month",$Q60)),IF($R60=0,-1,$R60*30),IF(ISNUMBER(SEARCH("day",$Q60)),IF($R60=0,-1,$R60),-1))))</f>
        <v>-1</v>
      </c>
      <c r="T60" s="214">
        <f>IF($B60="","",IF($S60&lt;0,"Not recorded",IF($S60=0,"Immediate",IF($S60&lt;=30,"1-30 days",IF($S60&lt;=60,"31-60 days","60+ days")))))</f>
      </c>
      <c r="U60" s="214">
        <f>IF($B60="","",IFERROR(MATCH($B60,'Submission template'!$D$17:$D$300,0),""))</f>
      </c>
      <c r="V60" s="214">
        <f>IF($U60="","",IFERROR(TRIM(INDEX('Submission template'!$I$17:$I$300,$U60)),""))</f>
      </c>
      <c r="W60" s="219">
        <f>IF($V60="",0,IF(ISNUMBER(SEARCH("%",$V60)),0,IFERROR(VALUE(LEFT($V60,IF(NOT(OR(AND(MID($V60,1,1)&gt;="0",MID($V60,1,1)&lt;="9"),MID($V60,1,1)=".")),0,IF(NOT(OR(AND(MID($V60,2,1)&gt;="0",MID($V60,2,1)&lt;="9"),MID($V60,2,1)=".")),1,IF(NOT(OR(AND(MID($V60,3,1)&gt;="0",MID($V60,3,1)&lt;="9"),MID($V60,3,1)=".")),2,IF(NOT(OR(AND(MID($V60,4,1)&gt;="0",MID($V60,4,1)&lt;="9"),MID($V60,4,1)=".")),3,IF(NOT(OR(AND(MID($V60,5,1)&gt;="0",MID($V60,5,1)&lt;="9"),MID($V60,5,1)=".")),4,IF(NOT(OR(AND(MID($V60,6,1)&gt;="0",MID($V60,6,1)&lt;="9"),MID($V60,6,1)=".")),5,6)))))))),0)))</f>
        <v>0</v>
      </c>
      <c r="X60" s="214">
        <f>IF($U60="","",IFERROR(TRIM(INDEX('Submission template'!$J$17:$J$300,$U60)),""))</f>
      </c>
      <c r="Y60" s="214">
        <f>IF($U60="","",IFERROR(TRIM(INDEX('Submission template'!$K$17:$K$300,$U60)),""))</f>
      </c>
      <c r="Z60" s="214">
        <f>IF($U60="","",IFERROR(TRIM(INDEX('Submission template'!$M$17:$M$300,$U60)),""))</f>
      </c>
      <c r="AA60" s="214">
        <f>IF($U60="","",IFERROR(TRIM(INDEX('Submission template'!$O$17:$O$300,$U60)),""))</f>
      </c>
      <c r="AB60" s="214">
        <f>IF($U60="","",IFERROR(TRIM(INDEX('Submission template'!$S$17:$S$300,$U60)),""))</f>
      </c>
      <c r="AC60" s="214">
        <f>IF($B60="",0,IF($U60="",0,1))</f>
        <v>0</v>
      </c>
      <c r="AD60" s="214">
        <f>IF($B60="",0,IF(OR($H60=TargetLocation,AND($AA60&lt;&gt;"",ISNUMBER(SEARCH(TargetLocation,$AA60)))),1,0))</f>
        <v>0</v>
      </c>
      <c r="AE60" s="214">
        <f>IF($B60="",0,IF(AND(OR(SelRecruiter="All",$C60=SelRecruiter),OR(SelCity="All",$H60=SelCity),OR(SelStage="All",$I60=SelStage),OR(SelRequisition="All",$F60=SelRequisition)),1,0))</f>
        <v>0</v>
      </c>
      <c r="AF60" s="214">
        <f>IF($B60="","",COUNT($AF$5:AF59)+1)</f>
      </c>
      <c r="AG60" s="214">
        <f>IF($C60="","",IF(COUNTIF($C$6:$C60,$C60)=1,COUNT($AG$5:AG59)+1,""))</f>
      </c>
      <c r="AH60" s="214">
        <f>IF($F60="","",IF(COUNTIF($F$6:$F60,$F60)=1,COUNT($AH$5:AH59)+1,""))</f>
      </c>
      <c r="AI60" s="214">
        <f>IF($H60="","",IF(COUNTIF($H$6:$H60,$H60)=1,COUNT($AI$5:AI59)+1,""))</f>
      </c>
      <c r="AJ60" s="214">
        <f>IF(OR($B60="",$J60=0),"",$J60*100000000+IF(ISNUMBER($D60),$D60,0)*1000+(170-$A60))</f>
      </c>
      <c r="AK60" s="214">
        <f>IF(OR($B60="",$W60&lt;=0),"",ROUND($W60*10,0)*100000+(170-$A60))</f>
      </c>
      <c r="AL60" s="214">
        <f>IF(OR($B60="",$P60&lt;=0),"",ROUND($P60*10000,0)*1000+(170-$A60))</f>
      </c>
      <c r="AM60" s="214">
        <f>IF(AND($W60&gt;0,$O60&gt;0),COUNT($AM$5:AM59)+1,"")</f>
      </c>
      <c r="AN60">
        <f>IF($B60="",0,IF($G60="",0,SUMPRODUCT(MAX(ISNUMBER(SEARCH(LocPattern,$G60))*LocIdx))))</f>
        <v>0</v>
      </c>
      <c r="BL60">
        <f>IFERROR(INDEX($B$6:$B$125,MATCH(55,$AF$6:$AF$125,0)),"")</f>
      </c>
    </row>
    <row r="61">
      <c r="A61" s="220" t="n">
        <v>56</v>
      </c>
      <c r="B61" s="220">
        <f>IF(TRIM('Master Data-2026'!D57)="","",TRIM('Master Data-2026'!D57))</f>
      </c>
      <c r="C61" s="220">
        <f>IF($B61="","",TRIM('Master Data-2026'!A57))</f>
      </c>
      <c r="D61" s="221">
        <f>IF($B61="","",IF('Master Data-2026'!B57="","",'Master Data-2026'!B57))</f>
      </c>
      <c r="E61" s="220">
        <f>IF($B61="","",TRIM('Master Data-2026'!C57))</f>
      </c>
      <c r="F61" s="220">
        <f>IF($B61="","",TRIM('Master Data-2026'!G57))</f>
      </c>
      <c r="G61" s="220">
        <f>IF($B61="","",TRIM('Master Data-2026'!F57))</f>
      </c>
      <c r="H61" s="220">
        <f>IF($B61="","",IF($G61="","Not recorded",IF($AN61=0,"Other",INDEX(LocCity,$AN61))))</f>
      </c>
      <c r="I61" s="220">
        <f>IF($B61="","",TRIM('Master Data-2026'!H57))</f>
      </c>
      <c r="J61" s="220">
        <f>IF($B61="",0,IFERROR(INDEX(StageOrderRef,MATCH($I61,StageNameRef,0)),0))</f>
        <v>0</v>
      </c>
      <c r="K61" s="220">
        <f>IF($B61="","",TRIM('Master Data-2026'!I57))</f>
      </c>
      <c r="L61" s="220">
        <f>IF($B61="","",TRIM('Master Data-2026'!J57))</f>
      </c>
      <c r="M61" s="222">
        <f>IF($L61="",0,IF(ISNUMBER(SEARCH("%",$L61)),0,IFERROR(VALUE(LEFT($L61,IF(NOT(OR(AND(MID($L61,1,1)&gt;="0",MID($L61,1,1)&lt;="9"),MID($L61,1,1)=".")),0,IF(NOT(OR(AND(MID($L61,2,1)&gt;="0",MID($L61,2,1)&lt;="9"),MID($L61,2,1)=".")),1,IF(NOT(OR(AND(MID($L61,3,1)&gt;="0",MID($L61,3,1)&lt;="9"),MID($L61,3,1)=".")),2,IF(NOT(OR(AND(MID($L61,4,1)&gt;="0",MID($L61,4,1)&lt;="9"),MID($L61,4,1)=".")),3,IF(NOT(OR(AND(MID($L61,5,1)&gt;="0",MID($L61,5,1)&lt;="9"),MID($L61,5,1)=".")),4,IF(NOT(OR(AND(MID($L61,6,1)&gt;="0",MID($L61,6,1)&lt;="9"),MID($L61,6,1)=".")),5,6)))))))),0)))</f>
        <v>0</v>
      </c>
      <c r="N61" s="220">
        <f>IF($B61="","",TRIM('Master Data-2026'!K57))</f>
      </c>
      <c r="O61" s="222">
        <f>IF($N61="",0,IF(ISNUMBER(SEARCH("%",$N61)),0,IFERROR(VALUE(LEFT($N61,IF(NOT(OR(AND(MID($N61,1,1)&gt;="0",MID($N61,1,1)&lt;="9"),MID($N61,1,1)=".")),0,IF(NOT(OR(AND(MID($N61,2,1)&gt;="0",MID($N61,2,1)&lt;="9"),MID($N61,2,1)=".")),1,IF(NOT(OR(AND(MID($N61,3,1)&gt;="0",MID($N61,3,1)&lt;="9"),MID($N61,3,1)=".")),2,IF(NOT(OR(AND(MID($N61,4,1)&gt;="0",MID($N61,4,1)&lt;="9"),MID($N61,4,1)=".")),3,IF(NOT(OR(AND(MID($N61,5,1)&gt;="0",MID($N61,5,1)&lt;="9"),MID($N61,5,1)=".")),4,IF(NOT(OR(AND(MID($N61,6,1)&gt;="0",MID($N61,6,1)&lt;="9"),MID($N61,6,1)=".")),5,6)))))))),0)))</f>
        <v>0</v>
      </c>
      <c r="P61" s="223">
        <f>IF(AND($M61&gt;0,$O61&gt;0),$O61/$M61-1,0)</f>
        <v>0</v>
      </c>
      <c r="Q61" s="220">
        <f>IF($B61="","",TRIM('Master Data-2026'!L57))</f>
      </c>
      <c r="R61" s="220">
        <f>IF($Q61="",0,IF(ISNUMBER(SEARCH("%",$Q61)),0,IFERROR(VALUE(LEFT($Q61,IF(NOT(OR(AND(MID($Q61,1,1)&gt;="0",MID($Q61,1,1)&lt;="9"),MID($Q61,1,1)=".")),0,IF(NOT(OR(AND(MID($Q61,2,1)&gt;="0",MID($Q61,2,1)&lt;="9"),MID($Q61,2,1)=".")),1,IF(NOT(OR(AND(MID($Q61,3,1)&gt;="0",MID($Q61,3,1)&lt;="9"),MID($Q61,3,1)=".")),2,IF(NOT(OR(AND(MID($Q61,4,1)&gt;="0",MID($Q61,4,1)&lt;="9"),MID($Q61,4,1)=".")),3,IF(NOT(OR(AND(MID($Q61,5,1)&gt;="0",MID($Q61,5,1)&lt;="9"),MID($Q61,5,1)=".")),4,IF(NOT(OR(AND(MID($Q61,6,1)&gt;="0",MID($Q61,6,1)&lt;="9"),MID($Q61,6,1)=".")),5,6)))))))),0)))</f>
        <v>0</v>
      </c>
      <c r="S61" s="224">
        <f>IF($Q61="",-1,IF(ISNUMBER(SEARCH("immediate",$Q61)),0,IF(ISNUMBER(SEARCH("month",$Q61)),IF($R61=0,-1,$R61*30),IF(ISNUMBER(SEARCH("day",$Q61)),IF($R61=0,-1,$R61),-1))))</f>
        <v>-1</v>
      </c>
      <c r="T61" s="220">
        <f>IF($B61="","",IF($S61&lt;0,"Not recorded",IF($S61=0,"Immediate",IF($S61&lt;=30,"1-30 days",IF($S61&lt;=60,"31-60 days","60+ days")))))</f>
      </c>
      <c r="U61" s="220">
        <f>IF($B61="","",IFERROR(MATCH($B61,'Submission template'!$D$17:$D$300,0),""))</f>
      </c>
      <c r="V61" s="220">
        <f>IF($U61="","",IFERROR(TRIM(INDEX('Submission template'!$I$17:$I$300,$U61)),""))</f>
      </c>
      <c r="W61" s="225">
        <f>IF($V61="",0,IF(ISNUMBER(SEARCH("%",$V61)),0,IFERROR(VALUE(LEFT($V61,IF(NOT(OR(AND(MID($V61,1,1)&gt;="0",MID($V61,1,1)&lt;="9"),MID($V61,1,1)=".")),0,IF(NOT(OR(AND(MID($V61,2,1)&gt;="0",MID($V61,2,1)&lt;="9"),MID($V61,2,1)=".")),1,IF(NOT(OR(AND(MID($V61,3,1)&gt;="0",MID($V61,3,1)&lt;="9"),MID($V61,3,1)=".")),2,IF(NOT(OR(AND(MID($V61,4,1)&gt;="0",MID($V61,4,1)&lt;="9"),MID($V61,4,1)=".")),3,IF(NOT(OR(AND(MID($V61,5,1)&gt;="0",MID($V61,5,1)&lt;="9"),MID($V61,5,1)=".")),4,IF(NOT(OR(AND(MID($V61,6,1)&gt;="0",MID($V61,6,1)&lt;="9"),MID($V61,6,1)=".")),5,6)))))))),0)))</f>
        <v>0</v>
      </c>
      <c r="X61" s="220">
        <f>IF($U61="","",IFERROR(TRIM(INDEX('Submission template'!$J$17:$J$300,$U61)),""))</f>
      </c>
      <c r="Y61" s="220">
        <f>IF($U61="","",IFERROR(TRIM(INDEX('Submission template'!$K$17:$K$300,$U61)),""))</f>
      </c>
      <c r="Z61" s="220">
        <f>IF($U61="","",IFERROR(TRIM(INDEX('Submission template'!$M$17:$M$300,$U61)),""))</f>
      </c>
      <c r="AA61" s="220">
        <f>IF($U61="","",IFERROR(TRIM(INDEX('Submission template'!$O$17:$O$300,$U61)),""))</f>
      </c>
      <c r="AB61" s="220">
        <f>IF($U61="","",IFERROR(TRIM(INDEX('Submission template'!$S$17:$S$300,$U61)),""))</f>
      </c>
      <c r="AC61" s="220">
        <f>IF($B61="",0,IF($U61="",0,1))</f>
        <v>0</v>
      </c>
      <c r="AD61" s="220">
        <f>IF($B61="",0,IF(OR($H61=TargetLocation,AND($AA61&lt;&gt;"",ISNUMBER(SEARCH(TargetLocation,$AA61)))),1,0))</f>
        <v>0</v>
      </c>
      <c r="AE61" s="220">
        <f>IF($B61="",0,IF(AND(OR(SelRecruiter="All",$C61=SelRecruiter),OR(SelCity="All",$H61=SelCity),OR(SelStage="All",$I61=SelStage),OR(SelRequisition="All",$F61=SelRequisition)),1,0))</f>
        <v>0</v>
      </c>
      <c r="AF61" s="220">
        <f>IF($B61="","",COUNT($AF$5:AF60)+1)</f>
      </c>
      <c r="AG61" s="220">
        <f>IF($C61="","",IF(COUNTIF($C$6:$C61,$C61)=1,COUNT($AG$5:AG60)+1,""))</f>
      </c>
      <c r="AH61" s="220">
        <f>IF($F61="","",IF(COUNTIF($F$6:$F61,$F61)=1,COUNT($AH$5:AH60)+1,""))</f>
      </c>
      <c r="AI61" s="220">
        <f>IF($H61="","",IF(COUNTIF($H$6:$H61,$H61)=1,COUNT($AI$5:AI60)+1,""))</f>
      </c>
      <c r="AJ61" s="220">
        <f>IF(OR($B61="",$J61=0),"",$J61*100000000+IF(ISNUMBER($D61),$D61,0)*1000+(170-$A61))</f>
      </c>
      <c r="AK61" s="220">
        <f>IF(OR($B61="",$W61&lt;=0),"",ROUND($W61*10,0)*100000+(170-$A61))</f>
      </c>
      <c r="AL61" s="220">
        <f>IF(OR($B61="",$P61&lt;=0),"",ROUND($P61*10000,0)*1000+(170-$A61))</f>
      </c>
      <c r="AM61" s="220">
        <f>IF(AND($W61&gt;0,$O61&gt;0),COUNT($AM$5:AM60)+1,"")</f>
      </c>
      <c r="AN61">
        <f>IF($B61="",0,IF($G61="",0,SUMPRODUCT(MAX(ISNUMBER(SEARCH(LocPattern,$G61))*LocIdx))))</f>
        <v>0</v>
      </c>
      <c r="BL61">
        <f>IFERROR(INDEX($B$6:$B$125,MATCH(56,$AF$6:$AF$125,0)),"")</f>
      </c>
    </row>
    <row r="62">
      <c r="A62" s="214" t="n">
        <v>57</v>
      </c>
      <c r="B62" s="214">
        <f>IF(TRIM('Master Data-2026'!D58)="","",TRIM('Master Data-2026'!D58))</f>
      </c>
      <c r="C62" s="214">
        <f>IF($B62="","",TRIM('Master Data-2026'!A58))</f>
      </c>
      <c r="D62" s="215">
        <f>IF($B62="","",IF('Master Data-2026'!B58="","",'Master Data-2026'!B58))</f>
      </c>
      <c r="E62" s="214">
        <f>IF($B62="","",TRIM('Master Data-2026'!C58))</f>
      </c>
      <c r="F62" s="214">
        <f>IF($B62="","",TRIM('Master Data-2026'!G58))</f>
      </c>
      <c r="G62" s="214">
        <f>IF($B62="","",TRIM('Master Data-2026'!F58))</f>
      </c>
      <c r="H62" s="214">
        <f>IF($B62="","",IF($G62="","Not recorded",IF($AN62=0,"Other",INDEX(LocCity,$AN62))))</f>
      </c>
      <c r="I62" s="214">
        <f>IF($B62="","",TRIM('Master Data-2026'!H58))</f>
      </c>
      <c r="J62" s="214">
        <f>IF($B62="",0,IFERROR(INDEX(StageOrderRef,MATCH($I62,StageNameRef,0)),0))</f>
        <v>0</v>
      </c>
      <c r="K62" s="214">
        <f>IF($B62="","",TRIM('Master Data-2026'!I58))</f>
      </c>
      <c r="L62" s="214">
        <f>IF($B62="","",TRIM('Master Data-2026'!J58))</f>
      </c>
      <c r="M62" s="216">
        <f>IF($L62="",0,IF(ISNUMBER(SEARCH("%",$L62)),0,IFERROR(VALUE(LEFT($L62,IF(NOT(OR(AND(MID($L62,1,1)&gt;="0",MID($L62,1,1)&lt;="9"),MID($L62,1,1)=".")),0,IF(NOT(OR(AND(MID($L62,2,1)&gt;="0",MID($L62,2,1)&lt;="9"),MID($L62,2,1)=".")),1,IF(NOT(OR(AND(MID($L62,3,1)&gt;="0",MID($L62,3,1)&lt;="9"),MID($L62,3,1)=".")),2,IF(NOT(OR(AND(MID($L62,4,1)&gt;="0",MID($L62,4,1)&lt;="9"),MID($L62,4,1)=".")),3,IF(NOT(OR(AND(MID($L62,5,1)&gt;="0",MID($L62,5,1)&lt;="9"),MID($L62,5,1)=".")),4,IF(NOT(OR(AND(MID($L62,6,1)&gt;="0",MID($L62,6,1)&lt;="9"),MID($L62,6,1)=".")),5,6)))))))),0)))</f>
        <v>0</v>
      </c>
      <c r="N62" s="214">
        <f>IF($B62="","",TRIM('Master Data-2026'!K58))</f>
      </c>
      <c r="O62" s="216">
        <f>IF($N62="",0,IF(ISNUMBER(SEARCH("%",$N62)),0,IFERROR(VALUE(LEFT($N62,IF(NOT(OR(AND(MID($N62,1,1)&gt;="0",MID($N62,1,1)&lt;="9"),MID($N62,1,1)=".")),0,IF(NOT(OR(AND(MID($N62,2,1)&gt;="0",MID($N62,2,1)&lt;="9"),MID($N62,2,1)=".")),1,IF(NOT(OR(AND(MID($N62,3,1)&gt;="0",MID($N62,3,1)&lt;="9"),MID($N62,3,1)=".")),2,IF(NOT(OR(AND(MID($N62,4,1)&gt;="0",MID($N62,4,1)&lt;="9"),MID($N62,4,1)=".")),3,IF(NOT(OR(AND(MID($N62,5,1)&gt;="0",MID($N62,5,1)&lt;="9"),MID($N62,5,1)=".")),4,IF(NOT(OR(AND(MID($N62,6,1)&gt;="0",MID($N62,6,1)&lt;="9"),MID($N62,6,1)=".")),5,6)))))))),0)))</f>
        <v>0</v>
      </c>
      <c r="P62" s="217">
        <f>IF(AND($M62&gt;0,$O62&gt;0),$O62/$M62-1,0)</f>
        <v>0</v>
      </c>
      <c r="Q62" s="214">
        <f>IF($B62="","",TRIM('Master Data-2026'!L58))</f>
      </c>
      <c r="R62" s="214">
        <f>IF($Q62="",0,IF(ISNUMBER(SEARCH("%",$Q62)),0,IFERROR(VALUE(LEFT($Q62,IF(NOT(OR(AND(MID($Q62,1,1)&gt;="0",MID($Q62,1,1)&lt;="9"),MID($Q62,1,1)=".")),0,IF(NOT(OR(AND(MID($Q62,2,1)&gt;="0",MID($Q62,2,1)&lt;="9"),MID($Q62,2,1)=".")),1,IF(NOT(OR(AND(MID($Q62,3,1)&gt;="0",MID($Q62,3,1)&lt;="9"),MID($Q62,3,1)=".")),2,IF(NOT(OR(AND(MID($Q62,4,1)&gt;="0",MID($Q62,4,1)&lt;="9"),MID($Q62,4,1)=".")),3,IF(NOT(OR(AND(MID($Q62,5,1)&gt;="0",MID($Q62,5,1)&lt;="9"),MID($Q62,5,1)=".")),4,IF(NOT(OR(AND(MID($Q62,6,1)&gt;="0",MID($Q62,6,1)&lt;="9"),MID($Q62,6,1)=".")),5,6)))))))),0)))</f>
        <v>0</v>
      </c>
      <c r="S62" s="218">
        <f>IF($Q62="",-1,IF(ISNUMBER(SEARCH("immediate",$Q62)),0,IF(ISNUMBER(SEARCH("month",$Q62)),IF($R62=0,-1,$R62*30),IF(ISNUMBER(SEARCH("day",$Q62)),IF($R62=0,-1,$R62),-1))))</f>
        <v>-1</v>
      </c>
      <c r="T62" s="214">
        <f>IF($B62="","",IF($S62&lt;0,"Not recorded",IF($S62=0,"Immediate",IF($S62&lt;=30,"1-30 days",IF($S62&lt;=60,"31-60 days","60+ days")))))</f>
      </c>
      <c r="U62" s="214">
        <f>IF($B62="","",IFERROR(MATCH($B62,'Submission template'!$D$17:$D$300,0),""))</f>
      </c>
      <c r="V62" s="214">
        <f>IF($U62="","",IFERROR(TRIM(INDEX('Submission template'!$I$17:$I$300,$U62)),""))</f>
      </c>
      <c r="W62" s="219">
        <f>IF($V62="",0,IF(ISNUMBER(SEARCH("%",$V62)),0,IFERROR(VALUE(LEFT($V62,IF(NOT(OR(AND(MID($V62,1,1)&gt;="0",MID($V62,1,1)&lt;="9"),MID($V62,1,1)=".")),0,IF(NOT(OR(AND(MID($V62,2,1)&gt;="0",MID($V62,2,1)&lt;="9"),MID($V62,2,1)=".")),1,IF(NOT(OR(AND(MID($V62,3,1)&gt;="0",MID($V62,3,1)&lt;="9"),MID($V62,3,1)=".")),2,IF(NOT(OR(AND(MID($V62,4,1)&gt;="0",MID($V62,4,1)&lt;="9"),MID($V62,4,1)=".")),3,IF(NOT(OR(AND(MID($V62,5,1)&gt;="0",MID($V62,5,1)&lt;="9"),MID($V62,5,1)=".")),4,IF(NOT(OR(AND(MID($V62,6,1)&gt;="0",MID($V62,6,1)&lt;="9"),MID($V62,6,1)=".")),5,6)))))))),0)))</f>
        <v>0</v>
      </c>
      <c r="X62" s="214">
        <f>IF($U62="","",IFERROR(TRIM(INDEX('Submission template'!$J$17:$J$300,$U62)),""))</f>
      </c>
      <c r="Y62" s="214">
        <f>IF($U62="","",IFERROR(TRIM(INDEX('Submission template'!$K$17:$K$300,$U62)),""))</f>
      </c>
      <c r="Z62" s="214">
        <f>IF($U62="","",IFERROR(TRIM(INDEX('Submission template'!$M$17:$M$300,$U62)),""))</f>
      </c>
      <c r="AA62" s="214">
        <f>IF($U62="","",IFERROR(TRIM(INDEX('Submission template'!$O$17:$O$300,$U62)),""))</f>
      </c>
      <c r="AB62" s="214">
        <f>IF($U62="","",IFERROR(TRIM(INDEX('Submission template'!$S$17:$S$300,$U62)),""))</f>
      </c>
      <c r="AC62" s="214">
        <f>IF($B62="",0,IF($U62="",0,1))</f>
        <v>0</v>
      </c>
      <c r="AD62" s="214">
        <f>IF($B62="",0,IF(OR($H62=TargetLocation,AND($AA62&lt;&gt;"",ISNUMBER(SEARCH(TargetLocation,$AA62)))),1,0))</f>
        <v>0</v>
      </c>
      <c r="AE62" s="214">
        <f>IF($B62="",0,IF(AND(OR(SelRecruiter="All",$C62=SelRecruiter),OR(SelCity="All",$H62=SelCity),OR(SelStage="All",$I62=SelStage),OR(SelRequisition="All",$F62=SelRequisition)),1,0))</f>
        <v>0</v>
      </c>
      <c r="AF62" s="214">
        <f>IF($B62="","",COUNT($AF$5:AF61)+1)</f>
      </c>
      <c r="AG62" s="214">
        <f>IF($C62="","",IF(COUNTIF($C$6:$C62,$C62)=1,COUNT($AG$5:AG61)+1,""))</f>
      </c>
      <c r="AH62" s="214">
        <f>IF($F62="","",IF(COUNTIF($F$6:$F62,$F62)=1,COUNT($AH$5:AH61)+1,""))</f>
      </c>
      <c r="AI62" s="214">
        <f>IF($H62="","",IF(COUNTIF($H$6:$H62,$H62)=1,COUNT($AI$5:AI61)+1,""))</f>
      </c>
      <c r="AJ62" s="214">
        <f>IF(OR($B62="",$J62=0),"",$J62*100000000+IF(ISNUMBER($D62),$D62,0)*1000+(170-$A62))</f>
      </c>
      <c r="AK62" s="214">
        <f>IF(OR($B62="",$W62&lt;=0),"",ROUND($W62*10,0)*100000+(170-$A62))</f>
      </c>
      <c r="AL62" s="214">
        <f>IF(OR($B62="",$P62&lt;=0),"",ROUND($P62*10000,0)*1000+(170-$A62))</f>
      </c>
      <c r="AM62" s="214">
        <f>IF(AND($W62&gt;0,$O62&gt;0),COUNT($AM$5:AM61)+1,"")</f>
      </c>
      <c r="AN62">
        <f>IF($B62="",0,IF($G62="",0,SUMPRODUCT(MAX(ISNUMBER(SEARCH(LocPattern,$G62))*LocIdx))))</f>
        <v>0</v>
      </c>
      <c r="BL62">
        <f>IFERROR(INDEX($B$6:$B$125,MATCH(57,$AF$6:$AF$125,0)),"")</f>
      </c>
    </row>
    <row r="63">
      <c r="A63" s="220" t="n">
        <v>58</v>
      </c>
      <c r="B63" s="220">
        <f>IF(TRIM('Master Data-2026'!D59)="","",TRIM('Master Data-2026'!D59))</f>
      </c>
      <c r="C63" s="220">
        <f>IF($B63="","",TRIM('Master Data-2026'!A59))</f>
      </c>
      <c r="D63" s="221">
        <f>IF($B63="","",IF('Master Data-2026'!B59="","",'Master Data-2026'!B59))</f>
      </c>
      <c r="E63" s="220">
        <f>IF($B63="","",TRIM('Master Data-2026'!C59))</f>
      </c>
      <c r="F63" s="220">
        <f>IF($B63="","",TRIM('Master Data-2026'!G59))</f>
      </c>
      <c r="G63" s="220">
        <f>IF($B63="","",TRIM('Master Data-2026'!F59))</f>
      </c>
      <c r="H63" s="220">
        <f>IF($B63="","",IF($G63="","Not recorded",IF($AN63=0,"Other",INDEX(LocCity,$AN63))))</f>
      </c>
      <c r="I63" s="220">
        <f>IF($B63="","",TRIM('Master Data-2026'!H59))</f>
      </c>
      <c r="J63" s="220">
        <f>IF($B63="",0,IFERROR(INDEX(StageOrderRef,MATCH($I63,StageNameRef,0)),0))</f>
        <v>0</v>
      </c>
      <c r="K63" s="220">
        <f>IF($B63="","",TRIM('Master Data-2026'!I59))</f>
      </c>
      <c r="L63" s="220">
        <f>IF($B63="","",TRIM('Master Data-2026'!J59))</f>
      </c>
      <c r="M63" s="222">
        <f>IF($L63="",0,IF(ISNUMBER(SEARCH("%",$L63)),0,IFERROR(VALUE(LEFT($L63,IF(NOT(OR(AND(MID($L63,1,1)&gt;="0",MID($L63,1,1)&lt;="9"),MID($L63,1,1)=".")),0,IF(NOT(OR(AND(MID($L63,2,1)&gt;="0",MID($L63,2,1)&lt;="9"),MID($L63,2,1)=".")),1,IF(NOT(OR(AND(MID($L63,3,1)&gt;="0",MID($L63,3,1)&lt;="9"),MID($L63,3,1)=".")),2,IF(NOT(OR(AND(MID($L63,4,1)&gt;="0",MID($L63,4,1)&lt;="9"),MID($L63,4,1)=".")),3,IF(NOT(OR(AND(MID($L63,5,1)&gt;="0",MID($L63,5,1)&lt;="9"),MID($L63,5,1)=".")),4,IF(NOT(OR(AND(MID($L63,6,1)&gt;="0",MID($L63,6,1)&lt;="9"),MID($L63,6,1)=".")),5,6)))))))),0)))</f>
        <v>0</v>
      </c>
      <c r="N63" s="220">
        <f>IF($B63="","",TRIM('Master Data-2026'!K59))</f>
      </c>
      <c r="O63" s="222">
        <f>IF($N63="",0,IF(ISNUMBER(SEARCH("%",$N63)),0,IFERROR(VALUE(LEFT($N63,IF(NOT(OR(AND(MID($N63,1,1)&gt;="0",MID($N63,1,1)&lt;="9"),MID($N63,1,1)=".")),0,IF(NOT(OR(AND(MID($N63,2,1)&gt;="0",MID($N63,2,1)&lt;="9"),MID($N63,2,1)=".")),1,IF(NOT(OR(AND(MID($N63,3,1)&gt;="0",MID($N63,3,1)&lt;="9"),MID($N63,3,1)=".")),2,IF(NOT(OR(AND(MID($N63,4,1)&gt;="0",MID($N63,4,1)&lt;="9"),MID($N63,4,1)=".")),3,IF(NOT(OR(AND(MID($N63,5,1)&gt;="0",MID($N63,5,1)&lt;="9"),MID($N63,5,1)=".")),4,IF(NOT(OR(AND(MID($N63,6,1)&gt;="0",MID($N63,6,1)&lt;="9"),MID($N63,6,1)=".")),5,6)))))))),0)))</f>
        <v>0</v>
      </c>
      <c r="P63" s="223">
        <f>IF(AND($M63&gt;0,$O63&gt;0),$O63/$M63-1,0)</f>
        <v>0</v>
      </c>
      <c r="Q63" s="220">
        <f>IF($B63="","",TRIM('Master Data-2026'!L59))</f>
      </c>
      <c r="R63" s="220">
        <f>IF($Q63="",0,IF(ISNUMBER(SEARCH("%",$Q63)),0,IFERROR(VALUE(LEFT($Q63,IF(NOT(OR(AND(MID($Q63,1,1)&gt;="0",MID($Q63,1,1)&lt;="9"),MID($Q63,1,1)=".")),0,IF(NOT(OR(AND(MID($Q63,2,1)&gt;="0",MID($Q63,2,1)&lt;="9"),MID($Q63,2,1)=".")),1,IF(NOT(OR(AND(MID($Q63,3,1)&gt;="0",MID($Q63,3,1)&lt;="9"),MID($Q63,3,1)=".")),2,IF(NOT(OR(AND(MID($Q63,4,1)&gt;="0",MID($Q63,4,1)&lt;="9"),MID($Q63,4,1)=".")),3,IF(NOT(OR(AND(MID($Q63,5,1)&gt;="0",MID($Q63,5,1)&lt;="9"),MID($Q63,5,1)=".")),4,IF(NOT(OR(AND(MID($Q63,6,1)&gt;="0",MID($Q63,6,1)&lt;="9"),MID($Q63,6,1)=".")),5,6)))))))),0)))</f>
        <v>0</v>
      </c>
      <c r="S63" s="224">
        <f>IF($Q63="",-1,IF(ISNUMBER(SEARCH("immediate",$Q63)),0,IF(ISNUMBER(SEARCH("month",$Q63)),IF($R63=0,-1,$R63*30),IF(ISNUMBER(SEARCH("day",$Q63)),IF($R63=0,-1,$R63),-1))))</f>
        <v>-1</v>
      </c>
      <c r="T63" s="220">
        <f>IF($B63="","",IF($S63&lt;0,"Not recorded",IF($S63=0,"Immediate",IF($S63&lt;=30,"1-30 days",IF($S63&lt;=60,"31-60 days","60+ days")))))</f>
      </c>
      <c r="U63" s="220">
        <f>IF($B63="","",IFERROR(MATCH($B63,'Submission template'!$D$17:$D$300,0),""))</f>
      </c>
      <c r="V63" s="220">
        <f>IF($U63="","",IFERROR(TRIM(INDEX('Submission template'!$I$17:$I$300,$U63)),""))</f>
      </c>
      <c r="W63" s="225">
        <f>IF($V63="",0,IF(ISNUMBER(SEARCH("%",$V63)),0,IFERROR(VALUE(LEFT($V63,IF(NOT(OR(AND(MID($V63,1,1)&gt;="0",MID($V63,1,1)&lt;="9"),MID($V63,1,1)=".")),0,IF(NOT(OR(AND(MID($V63,2,1)&gt;="0",MID($V63,2,1)&lt;="9"),MID($V63,2,1)=".")),1,IF(NOT(OR(AND(MID($V63,3,1)&gt;="0",MID($V63,3,1)&lt;="9"),MID($V63,3,1)=".")),2,IF(NOT(OR(AND(MID($V63,4,1)&gt;="0",MID($V63,4,1)&lt;="9"),MID($V63,4,1)=".")),3,IF(NOT(OR(AND(MID($V63,5,1)&gt;="0",MID($V63,5,1)&lt;="9"),MID($V63,5,1)=".")),4,IF(NOT(OR(AND(MID($V63,6,1)&gt;="0",MID($V63,6,1)&lt;="9"),MID($V63,6,1)=".")),5,6)))))))),0)))</f>
        <v>0</v>
      </c>
      <c r="X63" s="220">
        <f>IF($U63="","",IFERROR(TRIM(INDEX('Submission template'!$J$17:$J$300,$U63)),""))</f>
      </c>
      <c r="Y63" s="220">
        <f>IF($U63="","",IFERROR(TRIM(INDEX('Submission template'!$K$17:$K$300,$U63)),""))</f>
      </c>
      <c r="Z63" s="220">
        <f>IF($U63="","",IFERROR(TRIM(INDEX('Submission template'!$M$17:$M$300,$U63)),""))</f>
      </c>
      <c r="AA63" s="220">
        <f>IF($U63="","",IFERROR(TRIM(INDEX('Submission template'!$O$17:$O$300,$U63)),""))</f>
      </c>
      <c r="AB63" s="220">
        <f>IF($U63="","",IFERROR(TRIM(INDEX('Submission template'!$S$17:$S$300,$U63)),""))</f>
      </c>
      <c r="AC63" s="220">
        <f>IF($B63="",0,IF($U63="",0,1))</f>
        <v>0</v>
      </c>
      <c r="AD63" s="220">
        <f>IF($B63="",0,IF(OR($H63=TargetLocation,AND($AA63&lt;&gt;"",ISNUMBER(SEARCH(TargetLocation,$AA63)))),1,0))</f>
        <v>0</v>
      </c>
      <c r="AE63" s="220">
        <f>IF($B63="",0,IF(AND(OR(SelRecruiter="All",$C63=SelRecruiter),OR(SelCity="All",$H63=SelCity),OR(SelStage="All",$I63=SelStage),OR(SelRequisition="All",$F63=SelRequisition)),1,0))</f>
        <v>0</v>
      </c>
      <c r="AF63" s="220">
        <f>IF($B63="","",COUNT($AF$5:AF62)+1)</f>
      </c>
      <c r="AG63" s="220">
        <f>IF($C63="","",IF(COUNTIF($C$6:$C63,$C63)=1,COUNT($AG$5:AG62)+1,""))</f>
      </c>
      <c r="AH63" s="220">
        <f>IF($F63="","",IF(COUNTIF($F$6:$F63,$F63)=1,COUNT($AH$5:AH62)+1,""))</f>
      </c>
      <c r="AI63" s="220">
        <f>IF($H63="","",IF(COUNTIF($H$6:$H63,$H63)=1,COUNT($AI$5:AI62)+1,""))</f>
      </c>
      <c r="AJ63" s="220">
        <f>IF(OR($B63="",$J63=0),"",$J63*100000000+IF(ISNUMBER($D63),$D63,0)*1000+(170-$A63))</f>
      </c>
      <c r="AK63" s="220">
        <f>IF(OR($B63="",$W63&lt;=0),"",ROUND($W63*10,0)*100000+(170-$A63))</f>
      </c>
      <c r="AL63" s="220">
        <f>IF(OR($B63="",$P63&lt;=0),"",ROUND($P63*10000,0)*1000+(170-$A63))</f>
      </c>
      <c r="AM63" s="220">
        <f>IF(AND($W63&gt;0,$O63&gt;0),COUNT($AM$5:AM62)+1,"")</f>
      </c>
      <c r="AN63">
        <f>IF($B63="",0,IF($G63="",0,SUMPRODUCT(MAX(ISNUMBER(SEARCH(LocPattern,$G63))*LocIdx))))</f>
        <v>0</v>
      </c>
      <c r="BL63">
        <f>IFERROR(INDEX($B$6:$B$125,MATCH(58,$AF$6:$AF$125,0)),"")</f>
      </c>
    </row>
    <row r="64">
      <c r="A64" s="214" t="n">
        <v>59</v>
      </c>
      <c r="B64" s="214">
        <f>IF(TRIM('Master Data-2026'!D60)="","",TRIM('Master Data-2026'!D60))</f>
      </c>
      <c r="C64" s="214">
        <f>IF($B64="","",TRIM('Master Data-2026'!A60))</f>
      </c>
      <c r="D64" s="215">
        <f>IF($B64="","",IF('Master Data-2026'!B60="","",'Master Data-2026'!B60))</f>
      </c>
      <c r="E64" s="214">
        <f>IF($B64="","",TRIM('Master Data-2026'!C60))</f>
      </c>
      <c r="F64" s="214">
        <f>IF($B64="","",TRIM('Master Data-2026'!G60))</f>
      </c>
      <c r="G64" s="214">
        <f>IF($B64="","",TRIM('Master Data-2026'!F60))</f>
      </c>
      <c r="H64" s="214">
        <f>IF($B64="","",IF($G64="","Not recorded",IF($AN64=0,"Other",INDEX(LocCity,$AN64))))</f>
      </c>
      <c r="I64" s="214">
        <f>IF($B64="","",TRIM('Master Data-2026'!H60))</f>
      </c>
      <c r="J64" s="214">
        <f>IF($B64="",0,IFERROR(INDEX(StageOrderRef,MATCH($I64,StageNameRef,0)),0))</f>
        <v>0</v>
      </c>
      <c r="K64" s="214">
        <f>IF($B64="","",TRIM('Master Data-2026'!I60))</f>
      </c>
      <c r="L64" s="214">
        <f>IF($B64="","",TRIM('Master Data-2026'!J60))</f>
      </c>
      <c r="M64" s="216">
        <f>IF($L64="",0,IF(ISNUMBER(SEARCH("%",$L64)),0,IFERROR(VALUE(LEFT($L64,IF(NOT(OR(AND(MID($L64,1,1)&gt;="0",MID($L64,1,1)&lt;="9"),MID($L64,1,1)=".")),0,IF(NOT(OR(AND(MID($L64,2,1)&gt;="0",MID($L64,2,1)&lt;="9"),MID($L64,2,1)=".")),1,IF(NOT(OR(AND(MID($L64,3,1)&gt;="0",MID($L64,3,1)&lt;="9"),MID($L64,3,1)=".")),2,IF(NOT(OR(AND(MID($L64,4,1)&gt;="0",MID($L64,4,1)&lt;="9"),MID($L64,4,1)=".")),3,IF(NOT(OR(AND(MID($L64,5,1)&gt;="0",MID($L64,5,1)&lt;="9"),MID($L64,5,1)=".")),4,IF(NOT(OR(AND(MID($L64,6,1)&gt;="0",MID($L64,6,1)&lt;="9"),MID($L64,6,1)=".")),5,6)))))))),0)))</f>
        <v>0</v>
      </c>
      <c r="N64" s="214">
        <f>IF($B64="","",TRIM('Master Data-2026'!K60))</f>
      </c>
      <c r="O64" s="216">
        <f>IF($N64="",0,IF(ISNUMBER(SEARCH("%",$N64)),0,IFERROR(VALUE(LEFT($N64,IF(NOT(OR(AND(MID($N64,1,1)&gt;="0",MID($N64,1,1)&lt;="9"),MID($N64,1,1)=".")),0,IF(NOT(OR(AND(MID($N64,2,1)&gt;="0",MID($N64,2,1)&lt;="9"),MID($N64,2,1)=".")),1,IF(NOT(OR(AND(MID($N64,3,1)&gt;="0",MID($N64,3,1)&lt;="9"),MID($N64,3,1)=".")),2,IF(NOT(OR(AND(MID($N64,4,1)&gt;="0",MID($N64,4,1)&lt;="9"),MID($N64,4,1)=".")),3,IF(NOT(OR(AND(MID($N64,5,1)&gt;="0",MID($N64,5,1)&lt;="9"),MID($N64,5,1)=".")),4,IF(NOT(OR(AND(MID($N64,6,1)&gt;="0",MID($N64,6,1)&lt;="9"),MID($N64,6,1)=".")),5,6)))))))),0)))</f>
        <v>0</v>
      </c>
      <c r="P64" s="217">
        <f>IF(AND($M64&gt;0,$O64&gt;0),$O64/$M64-1,0)</f>
        <v>0</v>
      </c>
      <c r="Q64" s="214">
        <f>IF($B64="","",TRIM('Master Data-2026'!L60))</f>
      </c>
      <c r="R64" s="214">
        <f>IF($Q64="",0,IF(ISNUMBER(SEARCH("%",$Q64)),0,IFERROR(VALUE(LEFT($Q64,IF(NOT(OR(AND(MID($Q64,1,1)&gt;="0",MID($Q64,1,1)&lt;="9"),MID($Q64,1,1)=".")),0,IF(NOT(OR(AND(MID($Q64,2,1)&gt;="0",MID($Q64,2,1)&lt;="9"),MID($Q64,2,1)=".")),1,IF(NOT(OR(AND(MID($Q64,3,1)&gt;="0",MID($Q64,3,1)&lt;="9"),MID($Q64,3,1)=".")),2,IF(NOT(OR(AND(MID($Q64,4,1)&gt;="0",MID($Q64,4,1)&lt;="9"),MID($Q64,4,1)=".")),3,IF(NOT(OR(AND(MID($Q64,5,1)&gt;="0",MID($Q64,5,1)&lt;="9"),MID($Q64,5,1)=".")),4,IF(NOT(OR(AND(MID($Q64,6,1)&gt;="0",MID($Q64,6,1)&lt;="9"),MID($Q64,6,1)=".")),5,6)))))))),0)))</f>
        <v>0</v>
      </c>
      <c r="S64" s="218">
        <f>IF($Q64="",-1,IF(ISNUMBER(SEARCH("immediate",$Q64)),0,IF(ISNUMBER(SEARCH("month",$Q64)),IF($R64=0,-1,$R64*30),IF(ISNUMBER(SEARCH("day",$Q64)),IF($R64=0,-1,$R64),-1))))</f>
        <v>-1</v>
      </c>
      <c r="T64" s="214">
        <f>IF($B64="","",IF($S64&lt;0,"Not recorded",IF($S64=0,"Immediate",IF($S64&lt;=30,"1-30 days",IF($S64&lt;=60,"31-60 days","60+ days")))))</f>
      </c>
      <c r="U64" s="214">
        <f>IF($B64="","",IFERROR(MATCH($B64,'Submission template'!$D$17:$D$300,0),""))</f>
      </c>
      <c r="V64" s="214">
        <f>IF($U64="","",IFERROR(TRIM(INDEX('Submission template'!$I$17:$I$300,$U64)),""))</f>
      </c>
      <c r="W64" s="219">
        <f>IF($V64="",0,IF(ISNUMBER(SEARCH("%",$V64)),0,IFERROR(VALUE(LEFT($V64,IF(NOT(OR(AND(MID($V64,1,1)&gt;="0",MID($V64,1,1)&lt;="9"),MID($V64,1,1)=".")),0,IF(NOT(OR(AND(MID($V64,2,1)&gt;="0",MID($V64,2,1)&lt;="9"),MID($V64,2,1)=".")),1,IF(NOT(OR(AND(MID($V64,3,1)&gt;="0",MID($V64,3,1)&lt;="9"),MID($V64,3,1)=".")),2,IF(NOT(OR(AND(MID($V64,4,1)&gt;="0",MID($V64,4,1)&lt;="9"),MID($V64,4,1)=".")),3,IF(NOT(OR(AND(MID($V64,5,1)&gt;="0",MID($V64,5,1)&lt;="9"),MID($V64,5,1)=".")),4,IF(NOT(OR(AND(MID($V64,6,1)&gt;="0",MID($V64,6,1)&lt;="9"),MID($V64,6,1)=".")),5,6)))))))),0)))</f>
        <v>0</v>
      </c>
      <c r="X64" s="214">
        <f>IF($U64="","",IFERROR(TRIM(INDEX('Submission template'!$J$17:$J$300,$U64)),""))</f>
      </c>
      <c r="Y64" s="214">
        <f>IF($U64="","",IFERROR(TRIM(INDEX('Submission template'!$K$17:$K$300,$U64)),""))</f>
      </c>
      <c r="Z64" s="214">
        <f>IF($U64="","",IFERROR(TRIM(INDEX('Submission template'!$M$17:$M$300,$U64)),""))</f>
      </c>
      <c r="AA64" s="214">
        <f>IF($U64="","",IFERROR(TRIM(INDEX('Submission template'!$O$17:$O$300,$U64)),""))</f>
      </c>
      <c r="AB64" s="214">
        <f>IF($U64="","",IFERROR(TRIM(INDEX('Submission template'!$S$17:$S$300,$U64)),""))</f>
      </c>
      <c r="AC64" s="214">
        <f>IF($B64="",0,IF($U64="",0,1))</f>
        <v>0</v>
      </c>
      <c r="AD64" s="214">
        <f>IF($B64="",0,IF(OR($H64=TargetLocation,AND($AA64&lt;&gt;"",ISNUMBER(SEARCH(TargetLocation,$AA64)))),1,0))</f>
        <v>0</v>
      </c>
      <c r="AE64" s="214">
        <f>IF($B64="",0,IF(AND(OR(SelRecruiter="All",$C64=SelRecruiter),OR(SelCity="All",$H64=SelCity),OR(SelStage="All",$I64=SelStage),OR(SelRequisition="All",$F64=SelRequisition)),1,0))</f>
        <v>0</v>
      </c>
      <c r="AF64" s="214">
        <f>IF($B64="","",COUNT($AF$5:AF63)+1)</f>
      </c>
      <c r="AG64" s="214">
        <f>IF($C64="","",IF(COUNTIF($C$6:$C64,$C64)=1,COUNT($AG$5:AG63)+1,""))</f>
      </c>
      <c r="AH64" s="214">
        <f>IF($F64="","",IF(COUNTIF($F$6:$F64,$F64)=1,COUNT($AH$5:AH63)+1,""))</f>
      </c>
      <c r="AI64" s="214">
        <f>IF($H64="","",IF(COUNTIF($H$6:$H64,$H64)=1,COUNT($AI$5:AI63)+1,""))</f>
      </c>
      <c r="AJ64" s="214">
        <f>IF(OR($B64="",$J64=0),"",$J64*100000000+IF(ISNUMBER($D64),$D64,0)*1000+(170-$A64))</f>
      </c>
      <c r="AK64" s="214">
        <f>IF(OR($B64="",$W64&lt;=0),"",ROUND($W64*10,0)*100000+(170-$A64))</f>
      </c>
      <c r="AL64" s="214">
        <f>IF(OR($B64="",$P64&lt;=0),"",ROUND($P64*10000,0)*1000+(170-$A64))</f>
      </c>
      <c r="AM64" s="214">
        <f>IF(AND($W64&gt;0,$O64&gt;0),COUNT($AM$5:AM63)+1,"")</f>
      </c>
      <c r="AN64">
        <f>IF($B64="",0,IF($G64="",0,SUMPRODUCT(MAX(ISNUMBER(SEARCH(LocPattern,$G64))*LocIdx))))</f>
        <v>0</v>
      </c>
      <c r="BL64">
        <f>IFERROR(INDEX($B$6:$B$125,MATCH(59,$AF$6:$AF$125,0)),"")</f>
      </c>
    </row>
    <row r="65">
      <c r="A65" s="220" t="n">
        <v>60</v>
      </c>
      <c r="B65" s="220">
        <f>IF(TRIM('Master Data-2026'!D61)="","",TRIM('Master Data-2026'!D61))</f>
      </c>
      <c r="C65" s="220">
        <f>IF($B65="","",TRIM('Master Data-2026'!A61))</f>
      </c>
      <c r="D65" s="221">
        <f>IF($B65="","",IF('Master Data-2026'!B61="","",'Master Data-2026'!B61))</f>
      </c>
      <c r="E65" s="220">
        <f>IF($B65="","",TRIM('Master Data-2026'!C61))</f>
      </c>
      <c r="F65" s="220">
        <f>IF($B65="","",TRIM('Master Data-2026'!G61))</f>
      </c>
      <c r="G65" s="220">
        <f>IF($B65="","",TRIM('Master Data-2026'!F61))</f>
      </c>
      <c r="H65" s="220">
        <f>IF($B65="","",IF($G65="","Not recorded",IF($AN65=0,"Other",INDEX(LocCity,$AN65))))</f>
      </c>
      <c r="I65" s="220">
        <f>IF($B65="","",TRIM('Master Data-2026'!H61))</f>
      </c>
      <c r="J65" s="220">
        <f>IF($B65="",0,IFERROR(INDEX(StageOrderRef,MATCH($I65,StageNameRef,0)),0))</f>
        <v>0</v>
      </c>
      <c r="K65" s="220">
        <f>IF($B65="","",TRIM('Master Data-2026'!I61))</f>
      </c>
      <c r="L65" s="220">
        <f>IF($B65="","",TRIM('Master Data-2026'!J61))</f>
      </c>
      <c r="M65" s="222">
        <f>IF($L65="",0,IF(ISNUMBER(SEARCH("%",$L65)),0,IFERROR(VALUE(LEFT($L65,IF(NOT(OR(AND(MID($L65,1,1)&gt;="0",MID($L65,1,1)&lt;="9"),MID($L65,1,1)=".")),0,IF(NOT(OR(AND(MID($L65,2,1)&gt;="0",MID($L65,2,1)&lt;="9"),MID($L65,2,1)=".")),1,IF(NOT(OR(AND(MID($L65,3,1)&gt;="0",MID($L65,3,1)&lt;="9"),MID($L65,3,1)=".")),2,IF(NOT(OR(AND(MID($L65,4,1)&gt;="0",MID($L65,4,1)&lt;="9"),MID($L65,4,1)=".")),3,IF(NOT(OR(AND(MID($L65,5,1)&gt;="0",MID($L65,5,1)&lt;="9"),MID($L65,5,1)=".")),4,IF(NOT(OR(AND(MID($L65,6,1)&gt;="0",MID($L65,6,1)&lt;="9"),MID($L65,6,1)=".")),5,6)))))))),0)))</f>
        <v>0</v>
      </c>
      <c r="N65" s="220">
        <f>IF($B65="","",TRIM('Master Data-2026'!K61))</f>
      </c>
      <c r="O65" s="222">
        <f>IF($N65="",0,IF(ISNUMBER(SEARCH("%",$N65)),0,IFERROR(VALUE(LEFT($N65,IF(NOT(OR(AND(MID($N65,1,1)&gt;="0",MID($N65,1,1)&lt;="9"),MID($N65,1,1)=".")),0,IF(NOT(OR(AND(MID($N65,2,1)&gt;="0",MID($N65,2,1)&lt;="9"),MID($N65,2,1)=".")),1,IF(NOT(OR(AND(MID($N65,3,1)&gt;="0",MID($N65,3,1)&lt;="9"),MID($N65,3,1)=".")),2,IF(NOT(OR(AND(MID($N65,4,1)&gt;="0",MID($N65,4,1)&lt;="9"),MID($N65,4,1)=".")),3,IF(NOT(OR(AND(MID($N65,5,1)&gt;="0",MID($N65,5,1)&lt;="9"),MID($N65,5,1)=".")),4,IF(NOT(OR(AND(MID($N65,6,1)&gt;="0",MID($N65,6,1)&lt;="9"),MID($N65,6,1)=".")),5,6)))))))),0)))</f>
        <v>0</v>
      </c>
      <c r="P65" s="223">
        <f>IF(AND($M65&gt;0,$O65&gt;0),$O65/$M65-1,0)</f>
        <v>0</v>
      </c>
      <c r="Q65" s="220">
        <f>IF($B65="","",TRIM('Master Data-2026'!L61))</f>
      </c>
      <c r="R65" s="220">
        <f>IF($Q65="",0,IF(ISNUMBER(SEARCH("%",$Q65)),0,IFERROR(VALUE(LEFT($Q65,IF(NOT(OR(AND(MID($Q65,1,1)&gt;="0",MID($Q65,1,1)&lt;="9"),MID($Q65,1,1)=".")),0,IF(NOT(OR(AND(MID($Q65,2,1)&gt;="0",MID($Q65,2,1)&lt;="9"),MID($Q65,2,1)=".")),1,IF(NOT(OR(AND(MID($Q65,3,1)&gt;="0",MID($Q65,3,1)&lt;="9"),MID($Q65,3,1)=".")),2,IF(NOT(OR(AND(MID($Q65,4,1)&gt;="0",MID($Q65,4,1)&lt;="9"),MID($Q65,4,1)=".")),3,IF(NOT(OR(AND(MID($Q65,5,1)&gt;="0",MID($Q65,5,1)&lt;="9"),MID($Q65,5,1)=".")),4,IF(NOT(OR(AND(MID($Q65,6,1)&gt;="0",MID($Q65,6,1)&lt;="9"),MID($Q65,6,1)=".")),5,6)))))))),0)))</f>
        <v>0</v>
      </c>
      <c r="S65" s="224">
        <f>IF($Q65="",-1,IF(ISNUMBER(SEARCH("immediate",$Q65)),0,IF(ISNUMBER(SEARCH("month",$Q65)),IF($R65=0,-1,$R65*30),IF(ISNUMBER(SEARCH("day",$Q65)),IF($R65=0,-1,$R65),-1))))</f>
        <v>-1</v>
      </c>
      <c r="T65" s="220">
        <f>IF($B65="","",IF($S65&lt;0,"Not recorded",IF($S65=0,"Immediate",IF($S65&lt;=30,"1-30 days",IF($S65&lt;=60,"31-60 days","60+ days")))))</f>
      </c>
      <c r="U65" s="220">
        <f>IF($B65="","",IFERROR(MATCH($B65,'Submission template'!$D$17:$D$300,0),""))</f>
      </c>
      <c r="V65" s="220">
        <f>IF($U65="","",IFERROR(TRIM(INDEX('Submission template'!$I$17:$I$300,$U65)),""))</f>
      </c>
      <c r="W65" s="225">
        <f>IF($V65="",0,IF(ISNUMBER(SEARCH("%",$V65)),0,IFERROR(VALUE(LEFT($V65,IF(NOT(OR(AND(MID($V65,1,1)&gt;="0",MID($V65,1,1)&lt;="9"),MID($V65,1,1)=".")),0,IF(NOT(OR(AND(MID($V65,2,1)&gt;="0",MID($V65,2,1)&lt;="9"),MID($V65,2,1)=".")),1,IF(NOT(OR(AND(MID($V65,3,1)&gt;="0",MID($V65,3,1)&lt;="9"),MID($V65,3,1)=".")),2,IF(NOT(OR(AND(MID($V65,4,1)&gt;="0",MID($V65,4,1)&lt;="9"),MID($V65,4,1)=".")),3,IF(NOT(OR(AND(MID($V65,5,1)&gt;="0",MID($V65,5,1)&lt;="9"),MID($V65,5,1)=".")),4,IF(NOT(OR(AND(MID($V65,6,1)&gt;="0",MID($V65,6,1)&lt;="9"),MID($V65,6,1)=".")),5,6)))))))),0)))</f>
        <v>0</v>
      </c>
      <c r="X65" s="220">
        <f>IF($U65="","",IFERROR(TRIM(INDEX('Submission template'!$J$17:$J$300,$U65)),""))</f>
      </c>
      <c r="Y65" s="220">
        <f>IF($U65="","",IFERROR(TRIM(INDEX('Submission template'!$K$17:$K$300,$U65)),""))</f>
      </c>
      <c r="Z65" s="220">
        <f>IF($U65="","",IFERROR(TRIM(INDEX('Submission template'!$M$17:$M$300,$U65)),""))</f>
      </c>
      <c r="AA65" s="220">
        <f>IF($U65="","",IFERROR(TRIM(INDEX('Submission template'!$O$17:$O$300,$U65)),""))</f>
      </c>
      <c r="AB65" s="220">
        <f>IF($U65="","",IFERROR(TRIM(INDEX('Submission template'!$S$17:$S$300,$U65)),""))</f>
      </c>
      <c r="AC65" s="220">
        <f>IF($B65="",0,IF($U65="",0,1))</f>
        <v>0</v>
      </c>
      <c r="AD65" s="220">
        <f>IF($B65="",0,IF(OR($H65=TargetLocation,AND($AA65&lt;&gt;"",ISNUMBER(SEARCH(TargetLocation,$AA65)))),1,0))</f>
        <v>0</v>
      </c>
      <c r="AE65" s="220">
        <f>IF($B65="",0,IF(AND(OR(SelRecruiter="All",$C65=SelRecruiter),OR(SelCity="All",$H65=SelCity),OR(SelStage="All",$I65=SelStage),OR(SelRequisition="All",$F65=SelRequisition)),1,0))</f>
        <v>0</v>
      </c>
      <c r="AF65" s="220">
        <f>IF($B65="","",COUNT($AF$5:AF64)+1)</f>
      </c>
      <c r="AG65" s="220">
        <f>IF($C65="","",IF(COUNTIF($C$6:$C65,$C65)=1,COUNT($AG$5:AG64)+1,""))</f>
      </c>
      <c r="AH65" s="220">
        <f>IF($F65="","",IF(COUNTIF($F$6:$F65,$F65)=1,COUNT($AH$5:AH64)+1,""))</f>
      </c>
      <c r="AI65" s="220">
        <f>IF($H65="","",IF(COUNTIF($H$6:$H65,$H65)=1,COUNT($AI$5:AI64)+1,""))</f>
      </c>
      <c r="AJ65" s="220">
        <f>IF(OR($B65="",$J65=0),"",$J65*100000000+IF(ISNUMBER($D65),$D65,0)*1000+(170-$A65))</f>
      </c>
      <c r="AK65" s="220">
        <f>IF(OR($B65="",$W65&lt;=0),"",ROUND($W65*10,0)*100000+(170-$A65))</f>
      </c>
      <c r="AL65" s="220">
        <f>IF(OR($B65="",$P65&lt;=0),"",ROUND($P65*10000,0)*1000+(170-$A65))</f>
      </c>
      <c r="AM65" s="220">
        <f>IF(AND($W65&gt;0,$O65&gt;0),COUNT($AM$5:AM64)+1,"")</f>
      </c>
      <c r="AN65">
        <f>IF($B65="",0,IF($G65="",0,SUMPRODUCT(MAX(ISNUMBER(SEARCH(LocPattern,$G65))*LocIdx))))</f>
        <v>0</v>
      </c>
      <c r="BL65">
        <f>IFERROR(INDEX($B$6:$B$125,MATCH(60,$AF$6:$AF$125,0)),"")</f>
      </c>
    </row>
    <row r="66">
      <c r="A66" s="214" t="n">
        <v>61</v>
      </c>
      <c r="B66" s="214">
        <f>IF(TRIM('Master Data-2026'!D62)="","",TRIM('Master Data-2026'!D62))</f>
      </c>
      <c r="C66" s="214">
        <f>IF($B66="","",TRIM('Master Data-2026'!A62))</f>
      </c>
      <c r="D66" s="215">
        <f>IF($B66="","",IF('Master Data-2026'!B62="","",'Master Data-2026'!B62))</f>
      </c>
      <c r="E66" s="214">
        <f>IF($B66="","",TRIM('Master Data-2026'!C62))</f>
      </c>
      <c r="F66" s="214">
        <f>IF($B66="","",TRIM('Master Data-2026'!G62))</f>
      </c>
      <c r="G66" s="214">
        <f>IF($B66="","",TRIM('Master Data-2026'!F62))</f>
      </c>
      <c r="H66" s="214">
        <f>IF($B66="","",IF($G66="","Not recorded",IF($AN66=0,"Other",INDEX(LocCity,$AN66))))</f>
      </c>
      <c r="I66" s="214">
        <f>IF($B66="","",TRIM('Master Data-2026'!H62))</f>
      </c>
      <c r="J66" s="214">
        <f>IF($B66="",0,IFERROR(INDEX(StageOrderRef,MATCH($I66,StageNameRef,0)),0))</f>
        <v>0</v>
      </c>
      <c r="K66" s="214">
        <f>IF($B66="","",TRIM('Master Data-2026'!I62))</f>
      </c>
      <c r="L66" s="214">
        <f>IF($B66="","",TRIM('Master Data-2026'!J62))</f>
      </c>
      <c r="M66" s="216">
        <f>IF($L66="",0,IF(ISNUMBER(SEARCH("%",$L66)),0,IFERROR(VALUE(LEFT($L66,IF(NOT(OR(AND(MID($L66,1,1)&gt;="0",MID($L66,1,1)&lt;="9"),MID($L66,1,1)=".")),0,IF(NOT(OR(AND(MID($L66,2,1)&gt;="0",MID($L66,2,1)&lt;="9"),MID($L66,2,1)=".")),1,IF(NOT(OR(AND(MID($L66,3,1)&gt;="0",MID($L66,3,1)&lt;="9"),MID($L66,3,1)=".")),2,IF(NOT(OR(AND(MID($L66,4,1)&gt;="0",MID($L66,4,1)&lt;="9"),MID($L66,4,1)=".")),3,IF(NOT(OR(AND(MID($L66,5,1)&gt;="0",MID($L66,5,1)&lt;="9"),MID($L66,5,1)=".")),4,IF(NOT(OR(AND(MID($L66,6,1)&gt;="0",MID($L66,6,1)&lt;="9"),MID($L66,6,1)=".")),5,6)))))))),0)))</f>
        <v>0</v>
      </c>
      <c r="N66" s="214">
        <f>IF($B66="","",TRIM('Master Data-2026'!K62))</f>
      </c>
      <c r="O66" s="216">
        <f>IF($N66="",0,IF(ISNUMBER(SEARCH("%",$N66)),0,IFERROR(VALUE(LEFT($N66,IF(NOT(OR(AND(MID($N66,1,1)&gt;="0",MID($N66,1,1)&lt;="9"),MID($N66,1,1)=".")),0,IF(NOT(OR(AND(MID($N66,2,1)&gt;="0",MID($N66,2,1)&lt;="9"),MID($N66,2,1)=".")),1,IF(NOT(OR(AND(MID($N66,3,1)&gt;="0",MID($N66,3,1)&lt;="9"),MID($N66,3,1)=".")),2,IF(NOT(OR(AND(MID($N66,4,1)&gt;="0",MID($N66,4,1)&lt;="9"),MID($N66,4,1)=".")),3,IF(NOT(OR(AND(MID($N66,5,1)&gt;="0",MID($N66,5,1)&lt;="9"),MID($N66,5,1)=".")),4,IF(NOT(OR(AND(MID($N66,6,1)&gt;="0",MID($N66,6,1)&lt;="9"),MID($N66,6,1)=".")),5,6)))))))),0)))</f>
        <v>0</v>
      </c>
      <c r="P66" s="217">
        <f>IF(AND($M66&gt;0,$O66&gt;0),$O66/$M66-1,0)</f>
        <v>0</v>
      </c>
      <c r="Q66" s="214">
        <f>IF($B66="","",TRIM('Master Data-2026'!L62))</f>
      </c>
      <c r="R66" s="214">
        <f>IF($Q66="",0,IF(ISNUMBER(SEARCH("%",$Q66)),0,IFERROR(VALUE(LEFT($Q66,IF(NOT(OR(AND(MID($Q66,1,1)&gt;="0",MID($Q66,1,1)&lt;="9"),MID($Q66,1,1)=".")),0,IF(NOT(OR(AND(MID($Q66,2,1)&gt;="0",MID($Q66,2,1)&lt;="9"),MID($Q66,2,1)=".")),1,IF(NOT(OR(AND(MID($Q66,3,1)&gt;="0",MID($Q66,3,1)&lt;="9"),MID($Q66,3,1)=".")),2,IF(NOT(OR(AND(MID($Q66,4,1)&gt;="0",MID($Q66,4,1)&lt;="9"),MID($Q66,4,1)=".")),3,IF(NOT(OR(AND(MID($Q66,5,1)&gt;="0",MID($Q66,5,1)&lt;="9"),MID($Q66,5,1)=".")),4,IF(NOT(OR(AND(MID($Q66,6,1)&gt;="0",MID($Q66,6,1)&lt;="9"),MID($Q66,6,1)=".")),5,6)))))))),0)))</f>
        <v>0</v>
      </c>
      <c r="S66" s="218">
        <f>IF($Q66="",-1,IF(ISNUMBER(SEARCH("immediate",$Q66)),0,IF(ISNUMBER(SEARCH("month",$Q66)),IF($R66=0,-1,$R66*30),IF(ISNUMBER(SEARCH("day",$Q66)),IF($R66=0,-1,$R66),-1))))</f>
        <v>-1</v>
      </c>
      <c r="T66" s="214">
        <f>IF($B66="","",IF($S66&lt;0,"Not recorded",IF($S66=0,"Immediate",IF($S66&lt;=30,"1-30 days",IF($S66&lt;=60,"31-60 days","60+ days")))))</f>
      </c>
      <c r="U66" s="214">
        <f>IF($B66="","",IFERROR(MATCH($B66,'Submission template'!$D$17:$D$300,0),""))</f>
      </c>
      <c r="V66" s="214">
        <f>IF($U66="","",IFERROR(TRIM(INDEX('Submission template'!$I$17:$I$300,$U66)),""))</f>
      </c>
      <c r="W66" s="219">
        <f>IF($V66="",0,IF(ISNUMBER(SEARCH("%",$V66)),0,IFERROR(VALUE(LEFT($V66,IF(NOT(OR(AND(MID($V66,1,1)&gt;="0",MID($V66,1,1)&lt;="9"),MID($V66,1,1)=".")),0,IF(NOT(OR(AND(MID($V66,2,1)&gt;="0",MID($V66,2,1)&lt;="9"),MID($V66,2,1)=".")),1,IF(NOT(OR(AND(MID($V66,3,1)&gt;="0",MID($V66,3,1)&lt;="9"),MID($V66,3,1)=".")),2,IF(NOT(OR(AND(MID($V66,4,1)&gt;="0",MID($V66,4,1)&lt;="9"),MID($V66,4,1)=".")),3,IF(NOT(OR(AND(MID($V66,5,1)&gt;="0",MID($V66,5,1)&lt;="9"),MID($V66,5,1)=".")),4,IF(NOT(OR(AND(MID($V66,6,1)&gt;="0",MID($V66,6,1)&lt;="9"),MID($V66,6,1)=".")),5,6)))))))),0)))</f>
        <v>0</v>
      </c>
      <c r="X66" s="214">
        <f>IF($U66="","",IFERROR(TRIM(INDEX('Submission template'!$J$17:$J$300,$U66)),""))</f>
      </c>
      <c r="Y66" s="214">
        <f>IF($U66="","",IFERROR(TRIM(INDEX('Submission template'!$K$17:$K$300,$U66)),""))</f>
      </c>
      <c r="Z66" s="214">
        <f>IF($U66="","",IFERROR(TRIM(INDEX('Submission template'!$M$17:$M$300,$U66)),""))</f>
      </c>
      <c r="AA66" s="214">
        <f>IF($U66="","",IFERROR(TRIM(INDEX('Submission template'!$O$17:$O$300,$U66)),""))</f>
      </c>
      <c r="AB66" s="214">
        <f>IF($U66="","",IFERROR(TRIM(INDEX('Submission template'!$S$17:$S$300,$U66)),""))</f>
      </c>
      <c r="AC66" s="214">
        <f>IF($B66="",0,IF($U66="",0,1))</f>
        <v>0</v>
      </c>
      <c r="AD66" s="214">
        <f>IF($B66="",0,IF(OR($H66=TargetLocation,AND($AA66&lt;&gt;"",ISNUMBER(SEARCH(TargetLocation,$AA66)))),1,0))</f>
        <v>0</v>
      </c>
      <c r="AE66" s="214">
        <f>IF($B66="",0,IF(AND(OR(SelRecruiter="All",$C66=SelRecruiter),OR(SelCity="All",$H66=SelCity),OR(SelStage="All",$I66=SelStage),OR(SelRequisition="All",$F66=SelRequisition)),1,0))</f>
        <v>0</v>
      </c>
      <c r="AF66" s="214">
        <f>IF($B66="","",COUNT($AF$5:AF65)+1)</f>
      </c>
      <c r="AG66" s="214">
        <f>IF($C66="","",IF(COUNTIF($C$6:$C66,$C66)=1,COUNT($AG$5:AG65)+1,""))</f>
      </c>
      <c r="AH66" s="214">
        <f>IF($F66="","",IF(COUNTIF($F$6:$F66,$F66)=1,COUNT($AH$5:AH65)+1,""))</f>
      </c>
      <c r="AI66" s="214">
        <f>IF($H66="","",IF(COUNTIF($H$6:$H66,$H66)=1,COUNT($AI$5:AI65)+1,""))</f>
      </c>
      <c r="AJ66" s="214">
        <f>IF(OR($B66="",$J66=0),"",$J66*100000000+IF(ISNUMBER($D66),$D66,0)*1000+(170-$A66))</f>
      </c>
      <c r="AK66" s="214">
        <f>IF(OR($B66="",$W66&lt;=0),"",ROUND($W66*10,0)*100000+(170-$A66))</f>
      </c>
      <c r="AL66" s="214">
        <f>IF(OR($B66="",$P66&lt;=0),"",ROUND($P66*10000,0)*1000+(170-$A66))</f>
      </c>
      <c r="AM66" s="214">
        <f>IF(AND($W66&gt;0,$O66&gt;0),COUNT($AM$5:AM65)+1,"")</f>
      </c>
      <c r="AN66">
        <f>IF($B66="",0,IF($G66="",0,SUMPRODUCT(MAX(ISNUMBER(SEARCH(LocPattern,$G66))*LocIdx))))</f>
        <v>0</v>
      </c>
      <c r="BL66">
        <f>IFERROR(INDEX($B$6:$B$125,MATCH(61,$AF$6:$AF$125,0)),"")</f>
      </c>
    </row>
    <row r="67">
      <c r="A67" s="220" t="n">
        <v>62</v>
      </c>
      <c r="B67" s="220">
        <f>IF(TRIM('Master Data-2026'!D63)="","",TRIM('Master Data-2026'!D63))</f>
      </c>
      <c r="C67" s="220">
        <f>IF($B67="","",TRIM('Master Data-2026'!A63))</f>
      </c>
      <c r="D67" s="221">
        <f>IF($B67="","",IF('Master Data-2026'!B63="","",'Master Data-2026'!B63))</f>
      </c>
      <c r="E67" s="220">
        <f>IF($B67="","",TRIM('Master Data-2026'!C63))</f>
      </c>
      <c r="F67" s="220">
        <f>IF($B67="","",TRIM('Master Data-2026'!G63))</f>
      </c>
      <c r="G67" s="220">
        <f>IF($B67="","",TRIM('Master Data-2026'!F63))</f>
      </c>
      <c r="H67" s="220">
        <f>IF($B67="","",IF($G67="","Not recorded",IF($AN67=0,"Other",INDEX(LocCity,$AN67))))</f>
      </c>
      <c r="I67" s="220">
        <f>IF($B67="","",TRIM('Master Data-2026'!H63))</f>
      </c>
      <c r="J67" s="220">
        <f>IF($B67="",0,IFERROR(INDEX(StageOrderRef,MATCH($I67,StageNameRef,0)),0))</f>
        <v>0</v>
      </c>
      <c r="K67" s="220">
        <f>IF($B67="","",TRIM('Master Data-2026'!I63))</f>
      </c>
      <c r="L67" s="220">
        <f>IF($B67="","",TRIM('Master Data-2026'!J63))</f>
      </c>
      <c r="M67" s="222">
        <f>IF($L67="",0,IF(ISNUMBER(SEARCH("%",$L67)),0,IFERROR(VALUE(LEFT($L67,IF(NOT(OR(AND(MID($L67,1,1)&gt;="0",MID($L67,1,1)&lt;="9"),MID($L67,1,1)=".")),0,IF(NOT(OR(AND(MID($L67,2,1)&gt;="0",MID($L67,2,1)&lt;="9"),MID($L67,2,1)=".")),1,IF(NOT(OR(AND(MID($L67,3,1)&gt;="0",MID($L67,3,1)&lt;="9"),MID($L67,3,1)=".")),2,IF(NOT(OR(AND(MID($L67,4,1)&gt;="0",MID($L67,4,1)&lt;="9"),MID($L67,4,1)=".")),3,IF(NOT(OR(AND(MID($L67,5,1)&gt;="0",MID($L67,5,1)&lt;="9"),MID($L67,5,1)=".")),4,IF(NOT(OR(AND(MID($L67,6,1)&gt;="0",MID($L67,6,1)&lt;="9"),MID($L67,6,1)=".")),5,6)))))))),0)))</f>
        <v>0</v>
      </c>
      <c r="N67" s="220">
        <f>IF($B67="","",TRIM('Master Data-2026'!K63))</f>
      </c>
      <c r="O67" s="222">
        <f>IF($N67="",0,IF(ISNUMBER(SEARCH("%",$N67)),0,IFERROR(VALUE(LEFT($N67,IF(NOT(OR(AND(MID($N67,1,1)&gt;="0",MID($N67,1,1)&lt;="9"),MID($N67,1,1)=".")),0,IF(NOT(OR(AND(MID($N67,2,1)&gt;="0",MID($N67,2,1)&lt;="9"),MID($N67,2,1)=".")),1,IF(NOT(OR(AND(MID($N67,3,1)&gt;="0",MID($N67,3,1)&lt;="9"),MID($N67,3,1)=".")),2,IF(NOT(OR(AND(MID($N67,4,1)&gt;="0",MID($N67,4,1)&lt;="9"),MID($N67,4,1)=".")),3,IF(NOT(OR(AND(MID($N67,5,1)&gt;="0",MID($N67,5,1)&lt;="9"),MID($N67,5,1)=".")),4,IF(NOT(OR(AND(MID($N67,6,1)&gt;="0",MID($N67,6,1)&lt;="9"),MID($N67,6,1)=".")),5,6)))))))),0)))</f>
        <v>0</v>
      </c>
      <c r="P67" s="223">
        <f>IF(AND($M67&gt;0,$O67&gt;0),$O67/$M67-1,0)</f>
        <v>0</v>
      </c>
      <c r="Q67" s="220">
        <f>IF($B67="","",TRIM('Master Data-2026'!L63))</f>
      </c>
      <c r="R67" s="220">
        <f>IF($Q67="",0,IF(ISNUMBER(SEARCH("%",$Q67)),0,IFERROR(VALUE(LEFT($Q67,IF(NOT(OR(AND(MID($Q67,1,1)&gt;="0",MID($Q67,1,1)&lt;="9"),MID($Q67,1,1)=".")),0,IF(NOT(OR(AND(MID($Q67,2,1)&gt;="0",MID($Q67,2,1)&lt;="9"),MID($Q67,2,1)=".")),1,IF(NOT(OR(AND(MID($Q67,3,1)&gt;="0",MID($Q67,3,1)&lt;="9"),MID($Q67,3,1)=".")),2,IF(NOT(OR(AND(MID($Q67,4,1)&gt;="0",MID($Q67,4,1)&lt;="9"),MID($Q67,4,1)=".")),3,IF(NOT(OR(AND(MID($Q67,5,1)&gt;="0",MID($Q67,5,1)&lt;="9"),MID($Q67,5,1)=".")),4,IF(NOT(OR(AND(MID($Q67,6,1)&gt;="0",MID($Q67,6,1)&lt;="9"),MID($Q67,6,1)=".")),5,6)))))))),0)))</f>
        <v>0</v>
      </c>
      <c r="S67" s="224">
        <f>IF($Q67="",-1,IF(ISNUMBER(SEARCH("immediate",$Q67)),0,IF(ISNUMBER(SEARCH("month",$Q67)),IF($R67=0,-1,$R67*30),IF(ISNUMBER(SEARCH("day",$Q67)),IF($R67=0,-1,$R67),-1))))</f>
        <v>-1</v>
      </c>
      <c r="T67" s="220">
        <f>IF($B67="","",IF($S67&lt;0,"Not recorded",IF($S67=0,"Immediate",IF($S67&lt;=30,"1-30 days",IF($S67&lt;=60,"31-60 days","60+ days")))))</f>
      </c>
      <c r="U67" s="220">
        <f>IF($B67="","",IFERROR(MATCH($B67,'Submission template'!$D$17:$D$300,0),""))</f>
      </c>
      <c r="V67" s="220">
        <f>IF($U67="","",IFERROR(TRIM(INDEX('Submission template'!$I$17:$I$300,$U67)),""))</f>
      </c>
      <c r="W67" s="225">
        <f>IF($V67="",0,IF(ISNUMBER(SEARCH("%",$V67)),0,IFERROR(VALUE(LEFT($V67,IF(NOT(OR(AND(MID($V67,1,1)&gt;="0",MID($V67,1,1)&lt;="9"),MID($V67,1,1)=".")),0,IF(NOT(OR(AND(MID($V67,2,1)&gt;="0",MID($V67,2,1)&lt;="9"),MID($V67,2,1)=".")),1,IF(NOT(OR(AND(MID($V67,3,1)&gt;="0",MID($V67,3,1)&lt;="9"),MID($V67,3,1)=".")),2,IF(NOT(OR(AND(MID($V67,4,1)&gt;="0",MID($V67,4,1)&lt;="9"),MID($V67,4,1)=".")),3,IF(NOT(OR(AND(MID($V67,5,1)&gt;="0",MID($V67,5,1)&lt;="9"),MID($V67,5,1)=".")),4,IF(NOT(OR(AND(MID($V67,6,1)&gt;="0",MID($V67,6,1)&lt;="9"),MID($V67,6,1)=".")),5,6)))))))),0)))</f>
        <v>0</v>
      </c>
      <c r="X67" s="220">
        <f>IF($U67="","",IFERROR(TRIM(INDEX('Submission template'!$J$17:$J$300,$U67)),""))</f>
      </c>
      <c r="Y67" s="220">
        <f>IF($U67="","",IFERROR(TRIM(INDEX('Submission template'!$K$17:$K$300,$U67)),""))</f>
      </c>
      <c r="Z67" s="220">
        <f>IF($U67="","",IFERROR(TRIM(INDEX('Submission template'!$M$17:$M$300,$U67)),""))</f>
      </c>
      <c r="AA67" s="220">
        <f>IF($U67="","",IFERROR(TRIM(INDEX('Submission template'!$O$17:$O$300,$U67)),""))</f>
      </c>
      <c r="AB67" s="220">
        <f>IF($U67="","",IFERROR(TRIM(INDEX('Submission template'!$S$17:$S$300,$U67)),""))</f>
      </c>
      <c r="AC67" s="220">
        <f>IF($B67="",0,IF($U67="",0,1))</f>
        <v>0</v>
      </c>
      <c r="AD67" s="220">
        <f>IF($B67="",0,IF(OR($H67=TargetLocation,AND($AA67&lt;&gt;"",ISNUMBER(SEARCH(TargetLocation,$AA67)))),1,0))</f>
        <v>0</v>
      </c>
      <c r="AE67" s="220">
        <f>IF($B67="",0,IF(AND(OR(SelRecruiter="All",$C67=SelRecruiter),OR(SelCity="All",$H67=SelCity),OR(SelStage="All",$I67=SelStage),OR(SelRequisition="All",$F67=SelRequisition)),1,0))</f>
        <v>0</v>
      </c>
      <c r="AF67" s="220">
        <f>IF($B67="","",COUNT($AF$5:AF66)+1)</f>
      </c>
      <c r="AG67" s="220">
        <f>IF($C67="","",IF(COUNTIF($C$6:$C67,$C67)=1,COUNT($AG$5:AG66)+1,""))</f>
      </c>
      <c r="AH67" s="220">
        <f>IF($F67="","",IF(COUNTIF($F$6:$F67,$F67)=1,COUNT($AH$5:AH66)+1,""))</f>
      </c>
      <c r="AI67" s="220">
        <f>IF($H67="","",IF(COUNTIF($H$6:$H67,$H67)=1,COUNT($AI$5:AI66)+1,""))</f>
      </c>
      <c r="AJ67" s="220">
        <f>IF(OR($B67="",$J67=0),"",$J67*100000000+IF(ISNUMBER($D67),$D67,0)*1000+(170-$A67))</f>
      </c>
      <c r="AK67" s="220">
        <f>IF(OR($B67="",$W67&lt;=0),"",ROUND($W67*10,0)*100000+(170-$A67))</f>
      </c>
      <c r="AL67" s="220">
        <f>IF(OR($B67="",$P67&lt;=0),"",ROUND($P67*10000,0)*1000+(170-$A67))</f>
      </c>
      <c r="AM67" s="220">
        <f>IF(AND($W67&gt;0,$O67&gt;0),COUNT($AM$5:AM66)+1,"")</f>
      </c>
      <c r="AN67">
        <f>IF($B67="",0,IF($G67="",0,SUMPRODUCT(MAX(ISNUMBER(SEARCH(LocPattern,$G67))*LocIdx))))</f>
        <v>0</v>
      </c>
      <c r="BL67">
        <f>IFERROR(INDEX($B$6:$B$125,MATCH(62,$AF$6:$AF$125,0)),"")</f>
      </c>
    </row>
    <row r="68">
      <c r="A68" s="214" t="n">
        <v>63</v>
      </c>
      <c r="B68" s="214">
        <f>IF(TRIM('Master Data-2026'!D64)="","",TRIM('Master Data-2026'!D64))</f>
      </c>
      <c r="C68" s="214">
        <f>IF($B68="","",TRIM('Master Data-2026'!A64))</f>
      </c>
      <c r="D68" s="215">
        <f>IF($B68="","",IF('Master Data-2026'!B64="","",'Master Data-2026'!B64))</f>
      </c>
      <c r="E68" s="214">
        <f>IF($B68="","",TRIM('Master Data-2026'!C64))</f>
      </c>
      <c r="F68" s="214">
        <f>IF($B68="","",TRIM('Master Data-2026'!G64))</f>
      </c>
      <c r="G68" s="214">
        <f>IF($B68="","",TRIM('Master Data-2026'!F64))</f>
      </c>
      <c r="H68" s="214">
        <f>IF($B68="","",IF($G68="","Not recorded",IF($AN68=0,"Other",INDEX(LocCity,$AN68))))</f>
      </c>
      <c r="I68" s="214">
        <f>IF($B68="","",TRIM('Master Data-2026'!H64))</f>
      </c>
      <c r="J68" s="214">
        <f>IF($B68="",0,IFERROR(INDEX(StageOrderRef,MATCH($I68,StageNameRef,0)),0))</f>
        <v>0</v>
      </c>
      <c r="K68" s="214">
        <f>IF($B68="","",TRIM('Master Data-2026'!I64))</f>
      </c>
      <c r="L68" s="214">
        <f>IF($B68="","",TRIM('Master Data-2026'!J64))</f>
      </c>
      <c r="M68" s="216">
        <f>IF($L68="",0,IF(ISNUMBER(SEARCH("%",$L68)),0,IFERROR(VALUE(LEFT($L68,IF(NOT(OR(AND(MID($L68,1,1)&gt;="0",MID($L68,1,1)&lt;="9"),MID($L68,1,1)=".")),0,IF(NOT(OR(AND(MID($L68,2,1)&gt;="0",MID($L68,2,1)&lt;="9"),MID($L68,2,1)=".")),1,IF(NOT(OR(AND(MID($L68,3,1)&gt;="0",MID($L68,3,1)&lt;="9"),MID($L68,3,1)=".")),2,IF(NOT(OR(AND(MID($L68,4,1)&gt;="0",MID($L68,4,1)&lt;="9"),MID($L68,4,1)=".")),3,IF(NOT(OR(AND(MID($L68,5,1)&gt;="0",MID($L68,5,1)&lt;="9"),MID($L68,5,1)=".")),4,IF(NOT(OR(AND(MID($L68,6,1)&gt;="0",MID($L68,6,1)&lt;="9"),MID($L68,6,1)=".")),5,6)))))))),0)))</f>
        <v>0</v>
      </c>
      <c r="N68" s="214">
        <f>IF($B68="","",TRIM('Master Data-2026'!K64))</f>
      </c>
      <c r="O68" s="216">
        <f>IF($N68="",0,IF(ISNUMBER(SEARCH("%",$N68)),0,IFERROR(VALUE(LEFT($N68,IF(NOT(OR(AND(MID($N68,1,1)&gt;="0",MID($N68,1,1)&lt;="9"),MID($N68,1,1)=".")),0,IF(NOT(OR(AND(MID($N68,2,1)&gt;="0",MID($N68,2,1)&lt;="9"),MID($N68,2,1)=".")),1,IF(NOT(OR(AND(MID($N68,3,1)&gt;="0",MID($N68,3,1)&lt;="9"),MID($N68,3,1)=".")),2,IF(NOT(OR(AND(MID($N68,4,1)&gt;="0",MID($N68,4,1)&lt;="9"),MID($N68,4,1)=".")),3,IF(NOT(OR(AND(MID($N68,5,1)&gt;="0",MID($N68,5,1)&lt;="9"),MID($N68,5,1)=".")),4,IF(NOT(OR(AND(MID($N68,6,1)&gt;="0",MID($N68,6,1)&lt;="9"),MID($N68,6,1)=".")),5,6)))))))),0)))</f>
        <v>0</v>
      </c>
      <c r="P68" s="217">
        <f>IF(AND($M68&gt;0,$O68&gt;0),$O68/$M68-1,0)</f>
        <v>0</v>
      </c>
      <c r="Q68" s="214">
        <f>IF($B68="","",TRIM('Master Data-2026'!L64))</f>
      </c>
      <c r="R68" s="214">
        <f>IF($Q68="",0,IF(ISNUMBER(SEARCH("%",$Q68)),0,IFERROR(VALUE(LEFT($Q68,IF(NOT(OR(AND(MID($Q68,1,1)&gt;="0",MID($Q68,1,1)&lt;="9"),MID($Q68,1,1)=".")),0,IF(NOT(OR(AND(MID($Q68,2,1)&gt;="0",MID($Q68,2,1)&lt;="9"),MID($Q68,2,1)=".")),1,IF(NOT(OR(AND(MID($Q68,3,1)&gt;="0",MID($Q68,3,1)&lt;="9"),MID($Q68,3,1)=".")),2,IF(NOT(OR(AND(MID($Q68,4,1)&gt;="0",MID($Q68,4,1)&lt;="9"),MID($Q68,4,1)=".")),3,IF(NOT(OR(AND(MID($Q68,5,1)&gt;="0",MID($Q68,5,1)&lt;="9"),MID($Q68,5,1)=".")),4,IF(NOT(OR(AND(MID($Q68,6,1)&gt;="0",MID($Q68,6,1)&lt;="9"),MID($Q68,6,1)=".")),5,6)))))))),0)))</f>
        <v>0</v>
      </c>
      <c r="S68" s="218">
        <f>IF($Q68="",-1,IF(ISNUMBER(SEARCH("immediate",$Q68)),0,IF(ISNUMBER(SEARCH("month",$Q68)),IF($R68=0,-1,$R68*30),IF(ISNUMBER(SEARCH("day",$Q68)),IF($R68=0,-1,$R68),-1))))</f>
        <v>-1</v>
      </c>
      <c r="T68" s="214">
        <f>IF($B68="","",IF($S68&lt;0,"Not recorded",IF($S68=0,"Immediate",IF($S68&lt;=30,"1-30 days",IF($S68&lt;=60,"31-60 days","60+ days")))))</f>
      </c>
      <c r="U68" s="214">
        <f>IF($B68="","",IFERROR(MATCH($B68,'Submission template'!$D$17:$D$300,0),""))</f>
      </c>
      <c r="V68" s="214">
        <f>IF($U68="","",IFERROR(TRIM(INDEX('Submission template'!$I$17:$I$300,$U68)),""))</f>
      </c>
      <c r="W68" s="219">
        <f>IF($V68="",0,IF(ISNUMBER(SEARCH("%",$V68)),0,IFERROR(VALUE(LEFT($V68,IF(NOT(OR(AND(MID($V68,1,1)&gt;="0",MID($V68,1,1)&lt;="9"),MID($V68,1,1)=".")),0,IF(NOT(OR(AND(MID($V68,2,1)&gt;="0",MID($V68,2,1)&lt;="9"),MID($V68,2,1)=".")),1,IF(NOT(OR(AND(MID($V68,3,1)&gt;="0",MID($V68,3,1)&lt;="9"),MID($V68,3,1)=".")),2,IF(NOT(OR(AND(MID($V68,4,1)&gt;="0",MID($V68,4,1)&lt;="9"),MID($V68,4,1)=".")),3,IF(NOT(OR(AND(MID($V68,5,1)&gt;="0",MID($V68,5,1)&lt;="9"),MID($V68,5,1)=".")),4,IF(NOT(OR(AND(MID($V68,6,1)&gt;="0",MID($V68,6,1)&lt;="9"),MID($V68,6,1)=".")),5,6)))))))),0)))</f>
        <v>0</v>
      </c>
      <c r="X68" s="214">
        <f>IF($U68="","",IFERROR(TRIM(INDEX('Submission template'!$J$17:$J$300,$U68)),""))</f>
      </c>
      <c r="Y68" s="214">
        <f>IF($U68="","",IFERROR(TRIM(INDEX('Submission template'!$K$17:$K$300,$U68)),""))</f>
      </c>
      <c r="Z68" s="214">
        <f>IF($U68="","",IFERROR(TRIM(INDEX('Submission template'!$M$17:$M$300,$U68)),""))</f>
      </c>
      <c r="AA68" s="214">
        <f>IF($U68="","",IFERROR(TRIM(INDEX('Submission template'!$O$17:$O$300,$U68)),""))</f>
      </c>
      <c r="AB68" s="214">
        <f>IF($U68="","",IFERROR(TRIM(INDEX('Submission template'!$S$17:$S$300,$U68)),""))</f>
      </c>
      <c r="AC68" s="214">
        <f>IF($B68="",0,IF($U68="",0,1))</f>
        <v>0</v>
      </c>
      <c r="AD68" s="214">
        <f>IF($B68="",0,IF(OR($H68=TargetLocation,AND($AA68&lt;&gt;"",ISNUMBER(SEARCH(TargetLocation,$AA68)))),1,0))</f>
        <v>0</v>
      </c>
      <c r="AE68" s="214">
        <f>IF($B68="",0,IF(AND(OR(SelRecruiter="All",$C68=SelRecruiter),OR(SelCity="All",$H68=SelCity),OR(SelStage="All",$I68=SelStage),OR(SelRequisition="All",$F68=SelRequisition)),1,0))</f>
        <v>0</v>
      </c>
      <c r="AF68" s="214">
        <f>IF($B68="","",COUNT($AF$5:AF67)+1)</f>
      </c>
      <c r="AG68" s="214">
        <f>IF($C68="","",IF(COUNTIF($C$6:$C68,$C68)=1,COUNT($AG$5:AG67)+1,""))</f>
      </c>
      <c r="AH68" s="214">
        <f>IF($F68="","",IF(COUNTIF($F$6:$F68,$F68)=1,COUNT($AH$5:AH67)+1,""))</f>
      </c>
      <c r="AI68" s="214">
        <f>IF($H68="","",IF(COUNTIF($H$6:$H68,$H68)=1,COUNT($AI$5:AI67)+1,""))</f>
      </c>
      <c r="AJ68" s="214">
        <f>IF(OR($B68="",$J68=0),"",$J68*100000000+IF(ISNUMBER($D68),$D68,0)*1000+(170-$A68))</f>
      </c>
      <c r="AK68" s="214">
        <f>IF(OR($B68="",$W68&lt;=0),"",ROUND($W68*10,0)*100000+(170-$A68))</f>
      </c>
      <c r="AL68" s="214">
        <f>IF(OR($B68="",$P68&lt;=0),"",ROUND($P68*10000,0)*1000+(170-$A68))</f>
      </c>
      <c r="AM68" s="214">
        <f>IF(AND($W68&gt;0,$O68&gt;0),COUNT($AM$5:AM67)+1,"")</f>
      </c>
      <c r="AN68">
        <f>IF($B68="",0,IF($G68="",0,SUMPRODUCT(MAX(ISNUMBER(SEARCH(LocPattern,$G68))*LocIdx))))</f>
        <v>0</v>
      </c>
      <c r="BL68">
        <f>IFERROR(INDEX($B$6:$B$125,MATCH(63,$AF$6:$AF$125,0)),"")</f>
      </c>
    </row>
    <row r="69">
      <c r="A69" s="220" t="n">
        <v>64</v>
      </c>
      <c r="B69" s="220">
        <f>IF(TRIM('Master Data-2026'!D65)="","",TRIM('Master Data-2026'!D65))</f>
      </c>
      <c r="C69" s="220">
        <f>IF($B69="","",TRIM('Master Data-2026'!A65))</f>
      </c>
      <c r="D69" s="221">
        <f>IF($B69="","",IF('Master Data-2026'!B65="","",'Master Data-2026'!B65))</f>
      </c>
      <c r="E69" s="220">
        <f>IF($B69="","",TRIM('Master Data-2026'!C65))</f>
      </c>
      <c r="F69" s="220">
        <f>IF($B69="","",TRIM('Master Data-2026'!G65))</f>
      </c>
      <c r="G69" s="220">
        <f>IF($B69="","",TRIM('Master Data-2026'!F65))</f>
      </c>
      <c r="H69" s="220">
        <f>IF($B69="","",IF($G69="","Not recorded",IF($AN69=0,"Other",INDEX(LocCity,$AN69))))</f>
      </c>
      <c r="I69" s="220">
        <f>IF($B69="","",TRIM('Master Data-2026'!H65))</f>
      </c>
      <c r="J69" s="220">
        <f>IF($B69="",0,IFERROR(INDEX(StageOrderRef,MATCH($I69,StageNameRef,0)),0))</f>
        <v>0</v>
      </c>
      <c r="K69" s="220">
        <f>IF($B69="","",TRIM('Master Data-2026'!I65))</f>
      </c>
      <c r="L69" s="220">
        <f>IF($B69="","",TRIM('Master Data-2026'!J65))</f>
      </c>
      <c r="M69" s="222">
        <f>IF($L69="",0,IF(ISNUMBER(SEARCH("%",$L69)),0,IFERROR(VALUE(LEFT($L69,IF(NOT(OR(AND(MID($L69,1,1)&gt;="0",MID($L69,1,1)&lt;="9"),MID($L69,1,1)=".")),0,IF(NOT(OR(AND(MID($L69,2,1)&gt;="0",MID($L69,2,1)&lt;="9"),MID($L69,2,1)=".")),1,IF(NOT(OR(AND(MID($L69,3,1)&gt;="0",MID($L69,3,1)&lt;="9"),MID($L69,3,1)=".")),2,IF(NOT(OR(AND(MID($L69,4,1)&gt;="0",MID($L69,4,1)&lt;="9"),MID($L69,4,1)=".")),3,IF(NOT(OR(AND(MID($L69,5,1)&gt;="0",MID($L69,5,1)&lt;="9"),MID($L69,5,1)=".")),4,IF(NOT(OR(AND(MID($L69,6,1)&gt;="0",MID($L69,6,1)&lt;="9"),MID($L69,6,1)=".")),5,6)))))))),0)))</f>
        <v>0</v>
      </c>
      <c r="N69" s="220">
        <f>IF($B69="","",TRIM('Master Data-2026'!K65))</f>
      </c>
      <c r="O69" s="222">
        <f>IF($N69="",0,IF(ISNUMBER(SEARCH("%",$N69)),0,IFERROR(VALUE(LEFT($N69,IF(NOT(OR(AND(MID($N69,1,1)&gt;="0",MID($N69,1,1)&lt;="9"),MID($N69,1,1)=".")),0,IF(NOT(OR(AND(MID($N69,2,1)&gt;="0",MID($N69,2,1)&lt;="9"),MID($N69,2,1)=".")),1,IF(NOT(OR(AND(MID($N69,3,1)&gt;="0",MID($N69,3,1)&lt;="9"),MID($N69,3,1)=".")),2,IF(NOT(OR(AND(MID($N69,4,1)&gt;="0",MID($N69,4,1)&lt;="9"),MID($N69,4,1)=".")),3,IF(NOT(OR(AND(MID($N69,5,1)&gt;="0",MID($N69,5,1)&lt;="9"),MID($N69,5,1)=".")),4,IF(NOT(OR(AND(MID($N69,6,1)&gt;="0",MID($N69,6,1)&lt;="9"),MID($N69,6,1)=".")),5,6)))))))),0)))</f>
        <v>0</v>
      </c>
      <c r="P69" s="223">
        <f>IF(AND($M69&gt;0,$O69&gt;0),$O69/$M69-1,0)</f>
        <v>0</v>
      </c>
      <c r="Q69" s="220">
        <f>IF($B69="","",TRIM('Master Data-2026'!L65))</f>
      </c>
      <c r="R69" s="220">
        <f>IF($Q69="",0,IF(ISNUMBER(SEARCH("%",$Q69)),0,IFERROR(VALUE(LEFT($Q69,IF(NOT(OR(AND(MID($Q69,1,1)&gt;="0",MID($Q69,1,1)&lt;="9"),MID($Q69,1,1)=".")),0,IF(NOT(OR(AND(MID($Q69,2,1)&gt;="0",MID($Q69,2,1)&lt;="9"),MID($Q69,2,1)=".")),1,IF(NOT(OR(AND(MID($Q69,3,1)&gt;="0",MID($Q69,3,1)&lt;="9"),MID($Q69,3,1)=".")),2,IF(NOT(OR(AND(MID($Q69,4,1)&gt;="0",MID($Q69,4,1)&lt;="9"),MID($Q69,4,1)=".")),3,IF(NOT(OR(AND(MID($Q69,5,1)&gt;="0",MID($Q69,5,1)&lt;="9"),MID($Q69,5,1)=".")),4,IF(NOT(OR(AND(MID($Q69,6,1)&gt;="0",MID($Q69,6,1)&lt;="9"),MID($Q69,6,1)=".")),5,6)))))))),0)))</f>
        <v>0</v>
      </c>
      <c r="S69" s="224">
        <f>IF($Q69="",-1,IF(ISNUMBER(SEARCH("immediate",$Q69)),0,IF(ISNUMBER(SEARCH("month",$Q69)),IF($R69=0,-1,$R69*30),IF(ISNUMBER(SEARCH("day",$Q69)),IF($R69=0,-1,$R69),-1))))</f>
        <v>-1</v>
      </c>
      <c r="T69" s="220">
        <f>IF($B69="","",IF($S69&lt;0,"Not recorded",IF($S69=0,"Immediate",IF($S69&lt;=30,"1-30 days",IF($S69&lt;=60,"31-60 days","60+ days")))))</f>
      </c>
      <c r="U69" s="220">
        <f>IF($B69="","",IFERROR(MATCH($B69,'Submission template'!$D$17:$D$300,0),""))</f>
      </c>
      <c r="V69" s="220">
        <f>IF($U69="","",IFERROR(TRIM(INDEX('Submission template'!$I$17:$I$300,$U69)),""))</f>
      </c>
      <c r="W69" s="225">
        <f>IF($V69="",0,IF(ISNUMBER(SEARCH("%",$V69)),0,IFERROR(VALUE(LEFT($V69,IF(NOT(OR(AND(MID($V69,1,1)&gt;="0",MID($V69,1,1)&lt;="9"),MID($V69,1,1)=".")),0,IF(NOT(OR(AND(MID($V69,2,1)&gt;="0",MID($V69,2,1)&lt;="9"),MID($V69,2,1)=".")),1,IF(NOT(OR(AND(MID($V69,3,1)&gt;="0",MID($V69,3,1)&lt;="9"),MID($V69,3,1)=".")),2,IF(NOT(OR(AND(MID($V69,4,1)&gt;="0",MID($V69,4,1)&lt;="9"),MID($V69,4,1)=".")),3,IF(NOT(OR(AND(MID($V69,5,1)&gt;="0",MID($V69,5,1)&lt;="9"),MID($V69,5,1)=".")),4,IF(NOT(OR(AND(MID($V69,6,1)&gt;="0",MID($V69,6,1)&lt;="9"),MID($V69,6,1)=".")),5,6)))))))),0)))</f>
        <v>0</v>
      </c>
      <c r="X69" s="220">
        <f>IF($U69="","",IFERROR(TRIM(INDEX('Submission template'!$J$17:$J$300,$U69)),""))</f>
      </c>
      <c r="Y69" s="220">
        <f>IF($U69="","",IFERROR(TRIM(INDEX('Submission template'!$K$17:$K$300,$U69)),""))</f>
      </c>
      <c r="Z69" s="220">
        <f>IF($U69="","",IFERROR(TRIM(INDEX('Submission template'!$M$17:$M$300,$U69)),""))</f>
      </c>
      <c r="AA69" s="220">
        <f>IF($U69="","",IFERROR(TRIM(INDEX('Submission template'!$O$17:$O$300,$U69)),""))</f>
      </c>
      <c r="AB69" s="220">
        <f>IF($U69="","",IFERROR(TRIM(INDEX('Submission template'!$S$17:$S$300,$U69)),""))</f>
      </c>
      <c r="AC69" s="220">
        <f>IF($B69="",0,IF($U69="",0,1))</f>
        <v>0</v>
      </c>
      <c r="AD69" s="220">
        <f>IF($B69="",0,IF(OR($H69=TargetLocation,AND($AA69&lt;&gt;"",ISNUMBER(SEARCH(TargetLocation,$AA69)))),1,0))</f>
        <v>0</v>
      </c>
      <c r="AE69" s="220">
        <f>IF($B69="",0,IF(AND(OR(SelRecruiter="All",$C69=SelRecruiter),OR(SelCity="All",$H69=SelCity),OR(SelStage="All",$I69=SelStage),OR(SelRequisition="All",$F69=SelRequisition)),1,0))</f>
        <v>0</v>
      </c>
      <c r="AF69" s="220">
        <f>IF($B69="","",COUNT($AF$5:AF68)+1)</f>
      </c>
      <c r="AG69" s="220">
        <f>IF($C69="","",IF(COUNTIF($C$6:$C69,$C69)=1,COUNT($AG$5:AG68)+1,""))</f>
      </c>
      <c r="AH69" s="220">
        <f>IF($F69="","",IF(COUNTIF($F$6:$F69,$F69)=1,COUNT($AH$5:AH68)+1,""))</f>
      </c>
      <c r="AI69" s="220">
        <f>IF($H69="","",IF(COUNTIF($H$6:$H69,$H69)=1,COUNT($AI$5:AI68)+1,""))</f>
      </c>
      <c r="AJ69" s="220">
        <f>IF(OR($B69="",$J69=0),"",$J69*100000000+IF(ISNUMBER($D69),$D69,0)*1000+(170-$A69))</f>
      </c>
      <c r="AK69" s="220">
        <f>IF(OR($B69="",$W69&lt;=0),"",ROUND($W69*10,0)*100000+(170-$A69))</f>
      </c>
      <c r="AL69" s="220">
        <f>IF(OR($B69="",$P69&lt;=0),"",ROUND($P69*10000,0)*1000+(170-$A69))</f>
      </c>
      <c r="AM69" s="220">
        <f>IF(AND($W69&gt;0,$O69&gt;0),COUNT($AM$5:AM68)+1,"")</f>
      </c>
      <c r="AN69">
        <f>IF($B69="",0,IF($G69="",0,SUMPRODUCT(MAX(ISNUMBER(SEARCH(LocPattern,$G69))*LocIdx))))</f>
        <v>0</v>
      </c>
      <c r="BL69">
        <f>IFERROR(INDEX($B$6:$B$125,MATCH(64,$AF$6:$AF$125,0)),"")</f>
      </c>
    </row>
    <row r="70">
      <c r="A70" s="214" t="n">
        <v>65</v>
      </c>
      <c r="B70" s="214">
        <f>IF(TRIM('Master Data-2026'!D66)="","",TRIM('Master Data-2026'!D66))</f>
      </c>
      <c r="C70" s="214">
        <f>IF($B70="","",TRIM('Master Data-2026'!A66))</f>
      </c>
      <c r="D70" s="215">
        <f>IF($B70="","",IF('Master Data-2026'!B66="","",'Master Data-2026'!B66))</f>
      </c>
      <c r="E70" s="214">
        <f>IF($B70="","",TRIM('Master Data-2026'!C66))</f>
      </c>
      <c r="F70" s="214">
        <f>IF($B70="","",TRIM('Master Data-2026'!G66))</f>
      </c>
      <c r="G70" s="214">
        <f>IF($B70="","",TRIM('Master Data-2026'!F66))</f>
      </c>
      <c r="H70" s="214">
        <f>IF($B70="","",IF($G70="","Not recorded",IF($AN70=0,"Other",INDEX(LocCity,$AN70))))</f>
      </c>
      <c r="I70" s="214">
        <f>IF($B70="","",TRIM('Master Data-2026'!H66))</f>
      </c>
      <c r="J70" s="214">
        <f>IF($B70="",0,IFERROR(INDEX(StageOrderRef,MATCH($I70,StageNameRef,0)),0))</f>
        <v>0</v>
      </c>
      <c r="K70" s="214">
        <f>IF($B70="","",TRIM('Master Data-2026'!I66))</f>
      </c>
      <c r="L70" s="214">
        <f>IF($B70="","",TRIM('Master Data-2026'!J66))</f>
      </c>
      <c r="M70" s="216">
        <f>IF($L70="",0,IF(ISNUMBER(SEARCH("%",$L70)),0,IFERROR(VALUE(LEFT($L70,IF(NOT(OR(AND(MID($L70,1,1)&gt;="0",MID($L70,1,1)&lt;="9"),MID($L70,1,1)=".")),0,IF(NOT(OR(AND(MID($L70,2,1)&gt;="0",MID($L70,2,1)&lt;="9"),MID($L70,2,1)=".")),1,IF(NOT(OR(AND(MID($L70,3,1)&gt;="0",MID($L70,3,1)&lt;="9"),MID($L70,3,1)=".")),2,IF(NOT(OR(AND(MID($L70,4,1)&gt;="0",MID($L70,4,1)&lt;="9"),MID($L70,4,1)=".")),3,IF(NOT(OR(AND(MID($L70,5,1)&gt;="0",MID($L70,5,1)&lt;="9"),MID($L70,5,1)=".")),4,IF(NOT(OR(AND(MID($L70,6,1)&gt;="0",MID($L70,6,1)&lt;="9"),MID($L70,6,1)=".")),5,6)))))))),0)))</f>
        <v>0</v>
      </c>
      <c r="N70" s="214">
        <f>IF($B70="","",TRIM('Master Data-2026'!K66))</f>
      </c>
      <c r="O70" s="216">
        <f>IF($N70="",0,IF(ISNUMBER(SEARCH("%",$N70)),0,IFERROR(VALUE(LEFT($N70,IF(NOT(OR(AND(MID($N70,1,1)&gt;="0",MID($N70,1,1)&lt;="9"),MID($N70,1,1)=".")),0,IF(NOT(OR(AND(MID($N70,2,1)&gt;="0",MID($N70,2,1)&lt;="9"),MID($N70,2,1)=".")),1,IF(NOT(OR(AND(MID($N70,3,1)&gt;="0",MID($N70,3,1)&lt;="9"),MID($N70,3,1)=".")),2,IF(NOT(OR(AND(MID($N70,4,1)&gt;="0",MID($N70,4,1)&lt;="9"),MID($N70,4,1)=".")),3,IF(NOT(OR(AND(MID($N70,5,1)&gt;="0",MID($N70,5,1)&lt;="9"),MID($N70,5,1)=".")),4,IF(NOT(OR(AND(MID($N70,6,1)&gt;="0",MID($N70,6,1)&lt;="9"),MID($N70,6,1)=".")),5,6)))))))),0)))</f>
        <v>0</v>
      </c>
      <c r="P70" s="217">
        <f>IF(AND($M70&gt;0,$O70&gt;0),$O70/$M70-1,0)</f>
        <v>0</v>
      </c>
      <c r="Q70" s="214">
        <f>IF($B70="","",TRIM('Master Data-2026'!L66))</f>
      </c>
      <c r="R70" s="214">
        <f>IF($Q70="",0,IF(ISNUMBER(SEARCH("%",$Q70)),0,IFERROR(VALUE(LEFT($Q70,IF(NOT(OR(AND(MID($Q70,1,1)&gt;="0",MID($Q70,1,1)&lt;="9"),MID($Q70,1,1)=".")),0,IF(NOT(OR(AND(MID($Q70,2,1)&gt;="0",MID($Q70,2,1)&lt;="9"),MID($Q70,2,1)=".")),1,IF(NOT(OR(AND(MID($Q70,3,1)&gt;="0",MID($Q70,3,1)&lt;="9"),MID($Q70,3,1)=".")),2,IF(NOT(OR(AND(MID($Q70,4,1)&gt;="0",MID($Q70,4,1)&lt;="9"),MID($Q70,4,1)=".")),3,IF(NOT(OR(AND(MID($Q70,5,1)&gt;="0",MID($Q70,5,1)&lt;="9"),MID($Q70,5,1)=".")),4,IF(NOT(OR(AND(MID($Q70,6,1)&gt;="0",MID($Q70,6,1)&lt;="9"),MID($Q70,6,1)=".")),5,6)))))))),0)))</f>
        <v>0</v>
      </c>
      <c r="S70" s="218">
        <f>IF($Q70="",-1,IF(ISNUMBER(SEARCH("immediate",$Q70)),0,IF(ISNUMBER(SEARCH("month",$Q70)),IF($R70=0,-1,$R70*30),IF(ISNUMBER(SEARCH("day",$Q70)),IF($R70=0,-1,$R70),-1))))</f>
        <v>-1</v>
      </c>
      <c r="T70" s="214">
        <f>IF($B70="","",IF($S70&lt;0,"Not recorded",IF($S70=0,"Immediate",IF($S70&lt;=30,"1-30 days",IF($S70&lt;=60,"31-60 days","60+ days")))))</f>
      </c>
      <c r="U70" s="214">
        <f>IF($B70="","",IFERROR(MATCH($B70,'Submission template'!$D$17:$D$300,0),""))</f>
      </c>
      <c r="V70" s="214">
        <f>IF($U70="","",IFERROR(TRIM(INDEX('Submission template'!$I$17:$I$300,$U70)),""))</f>
      </c>
      <c r="W70" s="219">
        <f>IF($V70="",0,IF(ISNUMBER(SEARCH("%",$V70)),0,IFERROR(VALUE(LEFT($V70,IF(NOT(OR(AND(MID($V70,1,1)&gt;="0",MID($V70,1,1)&lt;="9"),MID($V70,1,1)=".")),0,IF(NOT(OR(AND(MID($V70,2,1)&gt;="0",MID($V70,2,1)&lt;="9"),MID($V70,2,1)=".")),1,IF(NOT(OR(AND(MID($V70,3,1)&gt;="0",MID($V70,3,1)&lt;="9"),MID($V70,3,1)=".")),2,IF(NOT(OR(AND(MID($V70,4,1)&gt;="0",MID($V70,4,1)&lt;="9"),MID($V70,4,1)=".")),3,IF(NOT(OR(AND(MID($V70,5,1)&gt;="0",MID($V70,5,1)&lt;="9"),MID($V70,5,1)=".")),4,IF(NOT(OR(AND(MID($V70,6,1)&gt;="0",MID($V70,6,1)&lt;="9"),MID($V70,6,1)=".")),5,6)))))))),0)))</f>
        <v>0</v>
      </c>
      <c r="X70" s="214">
        <f>IF($U70="","",IFERROR(TRIM(INDEX('Submission template'!$J$17:$J$300,$U70)),""))</f>
      </c>
      <c r="Y70" s="214">
        <f>IF($U70="","",IFERROR(TRIM(INDEX('Submission template'!$K$17:$K$300,$U70)),""))</f>
      </c>
      <c r="Z70" s="214">
        <f>IF($U70="","",IFERROR(TRIM(INDEX('Submission template'!$M$17:$M$300,$U70)),""))</f>
      </c>
      <c r="AA70" s="214">
        <f>IF($U70="","",IFERROR(TRIM(INDEX('Submission template'!$O$17:$O$300,$U70)),""))</f>
      </c>
      <c r="AB70" s="214">
        <f>IF($U70="","",IFERROR(TRIM(INDEX('Submission template'!$S$17:$S$300,$U70)),""))</f>
      </c>
      <c r="AC70" s="214">
        <f>IF($B70="",0,IF($U70="",0,1))</f>
        <v>0</v>
      </c>
      <c r="AD70" s="214">
        <f>IF($B70="",0,IF(OR($H70=TargetLocation,AND($AA70&lt;&gt;"",ISNUMBER(SEARCH(TargetLocation,$AA70)))),1,0))</f>
        <v>0</v>
      </c>
      <c r="AE70" s="214">
        <f>IF($B70="",0,IF(AND(OR(SelRecruiter="All",$C70=SelRecruiter),OR(SelCity="All",$H70=SelCity),OR(SelStage="All",$I70=SelStage),OR(SelRequisition="All",$F70=SelRequisition)),1,0))</f>
        <v>0</v>
      </c>
      <c r="AF70" s="214">
        <f>IF($B70="","",COUNT($AF$5:AF69)+1)</f>
      </c>
      <c r="AG70" s="214">
        <f>IF($C70="","",IF(COUNTIF($C$6:$C70,$C70)=1,COUNT($AG$5:AG69)+1,""))</f>
      </c>
      <c r="AH70" s="214">
        <f>IF($F70="","",IF(COUNTIF($F$6:$F70,$F70)=1,COUNT($AH$5:AH69)+1,""))</f>
      </c>
      <c r="AI70" s="214">
        <f>IF($H70="","",IF(COUNTIF($H$6:$H70,$H70)=1,COUNT($AI$5:AI69)+1,""))</f>
      </c>
      <c r="AJ70" s="214">
        <f>IF(OR($B70="",$J70=0),"",$J70*100000000+IF(ISNUMBER($D70),$D70,0)*1000+(170-$A70))</f>
      </c>
      <c r="AK70" s="214">
        <f>IF(OR($B70="",$W70&lt;=0),"",ROUND($W70*10,0)*100000+(170-$A70))</f>
      </c>
      <c r="AL70" s="214">
        <f>IF(OR($B70="",$P70&lt;=0),"",ROUND($P70*10000,0)*1000+(170-$A70))</f>
      </c>
      <c r="AM70" s="214">
        <f>IF(AND($W70&gt;0,$O70&gt;0),COUNT($AM$5:AM69)+1,"")</f>
      </c>
      <c r="AN70">
        <f>IF($B70="",0,IF($G70="",0,SUMPRODUCT(MAX(ISNUMBER(SEARCH(LocPattern,$G70))*LocIdx))))</f>
        <v>0</v>
      </c>
      <c r="BL70">
        <f>IFERROR(INDEX($B$6:$B$125,MATCH(65,$AF$6:$AF$125,0)),"")</f>
      </c>
    </row>
    <row r="71">
      <c r="A71" s="220" t="n">
        <v>66</v>
      </c>
      <c r="B71" s="220">
        <f>IF(TRIM('Master Data-2026'!D67)="","",TRIM('Master Data-2026'!D67))</f>
      </c>
      <c r="C71" s="220">
        <f>IF($B71="","",TRIM('Master Data-2026'!A67))</f>
      </c>
      <c r="D71" s="221">
        <f>IF($B71="","",IF('Master Data-2026'!B67="","",'Master Data-2026'!B67))</f>
      </c>
      <c r="E71" s="220">
        <f>IF($B71="","",TRIM('Master Data-2026'!C67))</f>
      </c>
      <c r="F71" s="220">
        <f>IF($B71="","",TRIM('Master Data-2026'!G67))</f>
      </c>
      <c r="G71" s="220">
        <f>IF($B71="","",TRIM('Master Data-2026'!F67))</f>
      </c>
      <c r="H71" s="220">
        <f>IF($B71="","",IF($G71="","Not recorded",IF($AN71=0,"Other",INDEX(LocCity,$AN71))))</f>
      </c>
      <c r="I71" s="220">
        <f>IF($B71="","",TRIM('Master Data-2026'!H67))</f>
      </c>
      <c r="J71" s="220">
        <f>IF($B71="",0,IFERROR(INDEX(StageOrderRef,MATCH($I71,StageNameRef,0)),0))</f>
        <v>0</v>
      </c>
      <c r="K71" s="220">
        <f>IF($B71="","",TRIM('Master Data-2026'!I67))</f>
      </c>
      <c r="L71" s="220">
        <f>IF($B71="","",TRIM('Master Data-2026'!J67))</f>
      </c>
      <c r="M71" s="222">
        <f>IF($L71="",0,IF(ISNUMBER(SEARCH("%",$L71)),0,IFERROR(VALUE(LEFT($L71,IF(NOT(OR(AND(MID($L71,1,1)&gt;="0",MID($L71,1,1)&lt;="9"),MID($L71,1,1)=".")),0,IF(NOT(OR(AND(MID($L71,2,1)&gt;="0",MID($L71,2,1)&lt;="9"),MID($L71,2,1)=".")),1,IF(NOT(OR(AND(MID($L71,3,1)&gt;="0",MID($L71,3,1)&lt;="9"),MID($L71,3,1)=".")),2,IF(NOT(OR(AND(MID($L71,4,1)&gt;="0",MID($L71,4,1)&lt;="9"),MID($L71,4,1)=".")),3,IF(NOT(OR(AND(MID($L71,5,1)&gt;="0",MID($L71,5,1)&lt;="9"),MID($L71,5,1)=".")),4,IF(NOT(OR(AND(MID($L71,6,1)&gt;="0",MID($L71,6,1)&lt;="9"),MID($L71,6,1)=".")),5,6)))))))),0)))</f>
        <v>0</v>
      </c>
      <c r="N71" s="220">
        <f>IF($B71="","",TRIM('Master Data-2026'!K67))</f>
      </c>
      <c r="O71" s="222">
        <f>IF($N71="",0,IF(ISNUMBER(SEARCH("%",$N71)),0,IFERROR(VALUE(LEFT($N71,IF(NOT(OR(AND(MID($N71,1,1)&gt;="0",MID($N71,1,1)&lt;="9"),MID($N71,1,1)=".")),0,IF(NOT(OR(AND(MID($N71,2,1)&gt;="0",MID($N71,2,1)&lt;="9"),MID($N71,2,1)=".")),1,IF(NOT(OR(AND(MID($N71,3,1)&gt;="0",MID($N71,3,1)&lt;="9"),MID($N71,3,1)=".")),2,IF(NOT(OR(AND(MID($N71,4,1)&gt;="0",MID($N71,4,1)&lt;="9"),MID($N71,4,1)=".")),3,IF(NOT(OR(AND(MID($N71,5,1)&gt;="0",MID($N71,5,1)&lt;="9"),MID($N71,5,1)=".")),4,IF(NOT(OR(AND(MID($N71,6,1)&gt;="0",MID($N71,6,1)&lt;="9"),MID($N71,6,1)=".")),5,6)))))))),0)))</f>
        <v>0</v>
      </c>
      <c r="P71" s="223">
        <f>IF(AND($M71&gt;0,$O71&gt;0),$O71/$M71-1,0)</f>
        <v>0</v>
      </c>
      <c r="Q71" s="220">
        <f>IF($B71="","",TRIM('Master Data-2026'!L67))</f>
      </c>
      <c r="R71" s="220">
        <f>IF($Q71="",0,IF(ISNUMBER(SEARCH("%",$Q71)),0,IFERROR(VALUE(LEFT($Q71,IF(NOT(OR(AND(MID($Q71,1,1)&gt;="0",MID($Q71,1,1)&lt;="9"),MID($Q71,1,1)=".")),0,IF(NOT(OR(AND(MID($Q71,2,1)&gt;="0",MID($Q71,2,1)&lt;="9"),MID($Q71,2,1)=".")),1,IF(NOT(OR(AND(MID($Q71,3,1)&gt;="0",MID($Q71,3,1)&lt;="9"),MID($Q71,3,1)=".")),2,IF(NOT(OR(AND(MID($Q71,4,1)&gt;="0",MID($Q71,4,1)&lt;="9"),MID($Q71,4,1)=".")),3,IF(NOT(OR(AND(MID($Q71,5,1)&gt;="0",MID($Q71,5,1)&lt;="9"),MID($Q71,5,1)=".")),4,IF(NOT(OR(AND(MID($Q71,6,1)&gt;="0",MID($Q71,6,1)&lt;="9"),MID($Q71,6,1)=".")),5,6)))))))),0)))</f>
        <v>0</v>
      </c>
      <c r="S71" s="224">
        <f>IF($Q71="",-1,IF(ISNUMBER(SEARCH("immediate",$Q71)),0,IF(ISNUMBER(SEARCH("month",$Q71)),IF($R71=0,-1,$R71*30),IF(ISNUMBER(SEARCH("day",$Q71)),IF($R71=0,-1,$R71),-1))))</f>
        <v>-1</v>
      </c>
      <c r="T71" s="220">
        <f>IF($B71="","",IF($S71&lt;0,"Not recorded",IF($S71=0,"Immediate",IF($S71&lt;=30,"1-30 days",IF($S71&lt;=60,"31-60 days","60+ days")))))</f>
      </c>
      <c r="U71" s="220">
        <f>IF($B71="","",IFERROR(MATCH($B71,'Submission template'!$D$17:$D$300,0),""))</f>
      </c>
      <c r="V71" s="220">
        <f>IF($U71="","",IFERROR(TRIM(INDEX('Submission template'!$I$17:$I$300,$U71)),""))</f>
      </c>
      <c r="W71" s="225">
        <f>IF($V71="",0,IF(ISNUMBER(SEARCH("%",$V71)),0,IFERROR(VALUE(LEFT($V71,IF(NOT(OR(AND(MID($V71,1,1)&gt;="0",MID($V71,1,1)&lt;="9"),MID($V71,1,1)=".")),0,IF(NOT(OR(AND(MID($V71,2,1)&gt;="0",MID($V71,2,1)&lt;="9"),MID($V71,2,1)=".")),1,IF(NOT(OR(AND(MID($V71,3,1)&gt;="0",MID($V71,3,1)&lt;="9"),MID($V71,3,1)=".")),2,IF(NOT(OR(AND(MID($V71,4,1)&gt;="0",MID($V71,4,1)&lt;="9"),MID($V71,4,1)=".")),3,IF(NOT(OR(AND(MID($V71,5,1)&gt;="0",MID($V71,5,1)&lt;="9"),MID($V71,5,1)=".")),4,IF(NOT(OR(AND(MID($V71,6,1)&gt;="0",MID($V71,6,1)&lt;="9"),MID($V71,6,1)=".")),5,6)))))))),0)))</f>
        <v>0</v>
      </c>
      <c r="X71" s="220">
        <f>IF($U71="","",IFERROR(TRIM(INDEX('Submission template'!$J$17:$J$300,$U71)),""))</f>
      </c>
      <c r="Y71" s="220">
        <f>IF($U71="","",IFERROR(TRIM(INDEX('Submission template'!$K$17:$K$300,$U71)),""))</f>
      </c>
      <c r="Z71" s="220">
        <f>IF($U71="","",IFERROR(TRIM(INDEX('Submission template'!$M$17:$M$300,$U71)),""))</f>
      </c>
      <c r="AA71" s="220">
        <f>IF($U71="","",IFERROR(TRIM(INDEX('Submission template'!$O$17:$O$300,$U71)),""))</f>
      </c>
      <c r="AB71" s="220">
        <f>IF($U71="","",IFERROR(TRIM(INDEX('Submission template'!$S$17:$S$300,$U71)),""))</f>
      </c>
      <c r="AC71" s="220">
        <f>IF($B71="",0,IF($U71="",0,1))</f>
        <v>0</v>
      </c>
      <c r="AD71" s="220">
        <f>IF($B71="",0,IF(OR($H71=TargetLocation,AND($AA71&lt;&gt;"",ISNUMBER(SEARCH(TargetLocation,$AA71)))),1,0))</f>
        <v>0</v>
      </c>
      <c r="AE71" s="220">
        <f>IF($B71="",0,IF(AND(OR(SelRecruiter="All",$C71=SelRecruiter),OR(SelCity="All",$H71=SelCity),OR(SelStage="All",$I71=SelStage),OR(SelRequisition="All",$F71=SelRequisition)),1,0))</f>
        <v>0</v>
      </c>
      <c r="AF71" s="220">
        <f>IF($B71="","",COUNT($AF$5:AF70)+1)</f>
      </c>
      <c r="AG71" s="220">
        <f>IF($C71="","",IF(COUNTIF($C$6:$C71,$C71)=1,COUNT($AG$5:AG70)+1,""))</f>
      </c>
      <c r="AH71" s="220">
        <f>IF($F71="","",IF(COUNTIF($F$6:$F71,$F71)=1,COUNT($AH$5:AH70)+1,""))</f>
      </c>
      <c r="AI71" s="220">
        <f>IF($H71="","",IF(COUNTIF($H$6:$H71,$H71)=1,COUNT($AI$5:AI70)+1,""))</f>
      </c>
      <c r="AJ71" s="220">
        <f>IF(OR($B71="",$J71=0),"",$J71*100000000+IF(ISNUMBER($D71),$D71,0)*1000+(170-$A71))</f>
      </c>
      <c r="AK71" s="220">
        <f>IF(OR($B71="",$W71&lt;=0),"",ROUND($W71*10,0)*100000+(170-$A71))</f>
      </c>
      <c r="AL71" s="220">
        <f>IF(OR($B71="",$P71&lt;=0),"",ROUND($P71*10000,0)*1000+(170-$A71))</f>
      </c>
      <c r="AM71" s="220">
        <f>IF(AND($W71&gt;0,$O71&gt;0),COUNT($AM$5:AM70)+1,"")</f>
      </c>
      <c r="AN71">
        <f>IF($B71="",0,IF($G71="",0,SUMPRODUCT(MAX(ISNUMBER(SEARCH(LocPattern,$G71))*LocIdx))))</f>
        <v>0</v>
      </c>
      <c r="BL71">
        <f>IFERROR(INDEX($B$6:$B$125,MATCH(66,$AF$6:$AF$125,0)),"")</f>
      </c>
    </row>
    <row r="72">
      <c r="A72" s="214" t="n">
        <v>67</v>
      </c>
      <c r="B72" s="214">
        <f>IF(TRIM('Master Data-2026'!D68)="","",TRIM('Master Data-2026'!D68))</f>
      </c>
      <c r="C72" s="214">
        <f>IF($B72="","",TRIM('Master Data-2026'!A68))</f>
      </c>
      <c r="D72" s="215">
        <f>IF($B72="","",IF('Master Data-2026'!B68="","",'Master Data-2026'!B68))</f>
      </c>
      <c r="E72" s="214">
        <f>IF($B72="","",TRIM('Master Data-2026'!C68))</f>
      </c>
      <c r="F72" s="214">
        <f>IF($B72="","",TRIM('Master Data-2026'!G68))</f>
      </c>
      <c r="G72" s="214">
        <f>IF($B72="","",TRIM('Master Data-2026'!F68))</f>
      </c>
      <c r="H72" s="214">
        <f>IF($B72="","",IF($G72="","Not recorded",IF($AN72=0,"Other",INDEX(LocCity,$AN72))))</f>
      </c>
      <c r="I72" s="214">
        <f>IF($B72="","",TRIM('Master Data-2026'!H68))</f>
      </c>
      <c r="J72" s="214">
        <f>IF($B72="",0,IFERROR(INDEX(StageOrderRef,MATCH($I72,StageNameRef,0)),0))</f>
        <v>0</v>
      </c>
      <c r="K72" s="214">
        <f>IF($B72="","",TRIM('Master Data-2026'!I68))</f>
      </c>
      <c r="L72" s="214">
        <f>IF($B72="","",TRIM('Master Data-2026'!J68))</f>
      </c>
      <c r="M72" s="216">
        <f>IF($L72="",0,IF(ISNUMBER(SEARCH("%",$L72)),0,IFERROR(VALUE(LEFT($L72,IF(NOT(OR(AND(MID($L72,1,1)&gt;="0",MID($L72,1,1)&lt;="9"),MID($L72,1,1)=".")),0,IF(NOT(OR(AND(MID($L72,2,1)&gt;="0",MID($L72,2,1)&lt;="9"),MID($L72,2,1)=".")),1,IF(NOT(OR(AND(MID($L72,3,1)&gt;="0",MID($L72,3,1)&lt;="9"),MID($L72,3,1)=".")),2,IF(NOT(OR(AND(MID($L72,4,1)&gt;="0",MID($L72,4,1)&lt;="9"),MID($L72,4,1)=".")),3,IF(NOT(OR(AND(MID($L72,5,1)&gt;="0",MID($L72,5,1)&lt;="9"),MID($L72,5,1)=".")),4,IF(NOT(OR(AND(MID($L72,6,1)&gt;="0",MID($L72,6,1)&lt;="9"),MID($L72,6,1)=".")),5,6)))))))),0)))</f>
        <v>0</v>
      </c>
      <c r="N72" s="214">
        <f>IF($B72="","",TRIM('Master Data-2026'!K68))</f>
      </c>
      <c r="O72" s="216">
        <f>IF($N72="",0,IF(ISNUMBER(SEARCH("%",$N72)),0,IFERROR(VALUE(LEFT($N72,IF(NOT(OR(AND(MID($N72,1,1)&gt;="0",MID($N72,1,1)&lt;="9"),MID($N72,1,1)=".")),0,IF(NOT(OR(AND(MID($N72,2,1)&gt;="0",MID($N72,2,1)&lt;="9"),MID($N72,2,1)=".")),1,IF(NOT(OR(AND(MID($N72,3,1)&gt;="0",MID($N72,3,1)&lt;="9"),MID($N72,3,1)=".")),2,IF(NOT(OR(AND(MID($N72,4,1)&gt;="0",MID($N72,4,1)&lt;="9"),MID($N72,4,1)=".")),3,IF(NOT(OR(AND(MID($N72,5,1)&gt;="0",MID($N72,5,1)&lt;="9"),MID($N72,5,1)=".")),4,IF(NOT(OR(AND(MID($N72,6,1)&gt;="0",MID($N72,6,1)&lt;="9"),MID($N72,6,1)=".")),5,6)))))))),0)))</f>
        <v>0</v>
      </c>
      <c r="P72" s="217">
        <f>IF(AND($M72&gt;0,$O72&gt;0),$O72/$M72-1,0)</f>
        <v>0</v>
      </c>
      <c r="Q72" s="214">
        <f>IF($B72="","",TRIM('Master Data-2026'!L68))</f>
      </c>
      <c r="R72" s="214">
        <f>IF($Q72="",0,IF(ISNUMBER(SEARCH("%",$Q72)),0,IFERROR(VALUE(LEFT($Q72,IF(NOT(OR(AND(MID($Q72,1,1)&gt;="0",MID($Q72,1,1)&lt;="9"),MID($Q72,1,1)=".")),0,IF(NOT(OR(AND(MID($Q72,2,1)&gt;="0",MID($Q72,2,1)&lt;="9"),MID($Q72,2,1)=".")),1,IF(NOT(OR(AND(MID($Q72,3,1)&gt;="0",MID($Q72,3,1)&lt;="9"),MID($Q72,3,1)=".")),2,IF(NOT(OR(AND(MID($Q72,4,1)&gt;="0",MID($Q72,4,1)&lt;="9"),MID($Q72,4,1)=".")),3,IF(NOT(OR(AND(MID($Q72,5,1)&gt;="0",MID($Q72,5,1)&lt;="9"),MID($Q72,5,1)=".")),4,IF(NOT(OR(AND(MID($Q72,6,1)&gt;="0",MID($Q72,6,1)&lt;="9"),MID($Q72,6,1)=".")),5,6)))))))),0)))</f>
        <v>0</v>
      </c>
      <c r="S72" s="218">
        <f>IF($Q72="",-1,IF(ISNUMBER(SEARCH("immediate",$Q72)),0,IF(ISNUMBER(SEARCH("month",$Q72)),IF($R72=0,-1,$R72*30),IF(ISNUMBER(SEARCH("day",$Q72)),IF($R72=0,-1,$R72),-1))))</f>
        <v>-1</v>
      </c>
      <c r="T72" s="214">
        <f>IF($B72="","",IF($S72&lt;0,"Not recorded",IF($S72=0,"Immediate",IF($S72&lt;=30,"1-30 days",IF($S72&lt;=60,"31-60 days","60+ days")))))</f>
      </c>
      <c r="U72" s="214">
        <f>IF($B72="","",IFERROR(MATCH($B72,'Submission template'!$D$17:$D$300,0),""))</f>
      </c>
      <c r="V72" s="214">
        <f>IF($U72="","",IFERROR(TRIM(INDEX('Submission template'!$I$17:$I$300,$U72)),""))</f>
      </c>
      <c r="W72" s="219">
        <f>IF($V72="",0,IF(ISNUMBER(SEARCH("%",$V72)),0,IFERROR(VALUE(LEFT($V72,IF(NOT(OR(AND(MID($V72,1,1)&gt;="0",MID($V72,1,1)&lt;="9"),MID($V72,1,1)=".")),0,IF(NOT(OR(AND(MID($V72,2,1)&gt;="0",MID($V72,2,1)&lt;="9"),MID($V72,2,1)=".")),1,IF(NOT(OR(AND(MID($V72,3,1)&gt;="0",MID($V72,3,1)&lt;="9"),MID($V72,3,1)=".")),2,IF(NOT(OR(AND(MID($V72,4,1)&gt;="0",MID($V72,4,1)&lt;="9"),MID($V72,4,1)=".")),3,IF(NOT(OR(AND(MID($V72,5,1)&gt;="0",MID($V72,5,1)&lt;="9"),MID($V72,5,1)=".")),4,IF(NOT(OR(AND(MID($V72,6,1)&gt;="0",MID($V72,6,1)&lt;="9"),MID($V72,6,1)=".")),5,6)))))))),0)))</f>
        <v>0</v>
      </c>
      <c r="X72" s="214">
        <f>IF($U72="","",IFERROR(TRIM(INDEX('Submission template'!$J$17:$J$300,$U72)),""))</f>
      </c>
      <c r="Y72" s="214">
        <f>IF($U72="","",IFERROR(TRIM(INDEX('Submission template'!$K$17:$K$300,$U72)),""))</f>
      </c>
      <c r="Z72" s="214">
        <f>IF($U72="","",IFERROR(TRIM(INDEX('Submission template'!$M$17:$M$300,$U72)),""))</f>
      </c>
      <c r="AA72" s="214">
        <f>IF($U72="","",IFERROR(TRIM(INDEX('Submission template'!$O$17:$O$300,$U72)),""))</f>
      </c>
      <c r="AB72" s="214">
        <f>IF($U72="","",IFERROR(TRIM(INDEX('Submission template'!$S$17:$S$300,$U72)),""))</f>
      </c>
      <c r="AC72" s="214">
        <f>IF($B72="",0,IF($U72="",0,1))</f>
        <v>0</v>
      </c>
      <c r="AD72" s="214">
        <f>IF($B72="",0,IF(OR($H72=TargetLocation,AND($AA72&lt;&gt;"",ISNUMBER(SEARCH(TargetLocation,$AA72)))),1,0))</f>
        <v>0</v>
      </c>
      <c r="AE72" s="214">
        <f>IF($B72="",0,IF(AND(OR(SelRecruiter="All",$C72=SelRecruiter),OR(SelCity="All",$H72=SelCity),OR(SelStage="All",$I72=SelStage),OR(SelRequisition="All",$F72=SelRequisition)),1,0))</f>
        <v>0</v>
      </c>
      <c r="AF72" s="214">
        <f>IF($B72="","",COUNT($AF$5:AF71)+1)</f>
      </c>
      <c r="AG72" s="214">
        <f>IF($C72="","",IF(COUNTIF($C$6:$C72,$C72)=1,COUNT($AG$5:AG71)+1,""))</f>
      </c>
      <c r="AH72" s="214">
        <f>IF($F72="","",IF(COUNTIF($F$6:$F72,$F72)=1,COUNT($AH$5:AH71)+1,""))</f>
      </c>
      <c r="AI72" s="214">
        <f>IF($H72="","",IF(COUNTIF($H$6:$H72,$H72)=1,COUNT($AI$5:AI71)+1,""))</f>
      </c>
      <c r="AJ72" s="214">
        <f>IF(OR($B72="",$J72=0),"",$J72*100000000+IF(ISNUMBER($D72),$D72,0)*1000+(170-$A72))</f>
      </c>
      <c r="AK72" s="214">
        <f>IF(OR($B72="",$W72&lt;=0),"",ROUND($W72*10,0)*100000+(170-$A72))</f>
      </c>
      <c r="AL72" s="214">
        <f>IF(OR($B72="",$P72&lt;=0),"",ROUND($P72*10000,0)*1000+(170-$A72))</f>
      </c>
      <c r="AM72" s="214">
        <f>IF(AND($W72&gt;0,$O72&gt;0),COUNT($AM$5:AM71)+1,"")</f>
      </c>
      <c r="AN72">
        <f>IF($B72="",0,IF($G72="",0,SUMPRODUCT(MAX(ISNUMBER(SEARCH(LocPattern,$G72))*LocIdx))))</f>
        <v>0</v>
      </c>
      <c r="BL72">
        <f>IFERROR(INDEX($B$6:$B$125,MATCH(67,$AF$6:$AF$125,0)),"")</f>
      </c>
    </row>
    <row r="73">
      <c r="A73" s="220" t="n">
        <v>68</v>
      </c>
      <c r="B73" s="220">
        <f>IF(TRIM('Master Data-2026'!D69)="","",TRIM('Master Data-2026'!D69))</f>
      </c>
      <c r="C73" s="220">
        <f>IF($B73="","",TRIM('Master Data-2026'!A69))</f>
      </c>
      <c r="D73" s="221">
        <f>IF($B73="","",IF('Master Data-2026'!B69="","",'Master Data-2026'!B69))</f>
      </c>
      <c r="E73" s="220">
        <f>IF($B73="","",TRIM('Master Data-2026'!C69))</f>
      </c>
      <c r="F73" s="220">
        <f>IF($B73="","",TRIM('Master Data-2026'!G69))</f>
      </c>
      <c r="G73" s="220">
        <f>IF($B73="","",TRIM('Master Data-2026'!F69))</f>
      </c>
      <c r="H73" s="220">
        <f>IF($B73="","",IF($G73="","Not recorded",IF($AN73=0,"Other",INDEX(LocCity,$AN73))))</f>
      </c>
      <c r="I73" s="220">
        <f>IF($B73="","",TRIM('Master Data-2026'!H69))</f>
      </c>
      <c r="J73" s="220">
        <f>IF($B73="",0,IFERROR(INDEX(StageOrderRef,MATCH($I73,StageNameRef,0)),0))</f>
        <v>0</v>
      </c>
      <c r="K73" s="220">
        <f>IF($B73="","",TRIM('Master Data-2026'!I69))</f>
      </c>
      <c r="L73" s="220">
        <f>IF($B73="","",TRIM('Master Data-2026'!J69))</f>
      </c>
      <c r="M73" s="222">
        <f>IF($L73="",0,IF(ISNUMBER(SEARCH("%",$L73)),0,IFERROR(VALUE(LEFT($L73,IF(NOT(OR(AND(MID($L73,1,1)&gt;="0",MID($L73,1,1)&lt;="9"),MID($L73,1,1)=".")),0,IF(NOT(OR(AND(MID($L73,2,1)&gt;="0",MID($L73,2,1)&lt;="9"),MID($L73,2,1)=".")),1,IF(NOT(OR(AND(MID($L73,3,1)&gt;="0",MID($L73,3,1)&lt;="9"),MID($L73,3,1)=".")),2,IF(NOT(OR(AND(MID($L73,4,1)&gt;="0",MID($L73,4,1)&lt;="9"),MID($L73,4,1)=".")),3,IF(NOT(OR(AND(MID($L73,5,1)&gt;="0",MID($L73,5,1)&lt;="9"),MID($L73,5,1)=".")),4,IF(NOT(OR(AND(MID($L73,6,1)&gt;="0",MID($L73,6,1)&lt;="9"),MID($L73,6,1)=".")),5,6)))))))),0)))</f>
        <v>0</v>
      </c>
      <c r="N73" s="220">
        <f>IF($B73="","",TRIM('Master Data-2026'!K69))</f>
      </c>
      <c r="O73" s="222">
        <f>IF($N73="",0,IF(ISNUMBER(SEARCH("%",$N73)),0,IFERROR(VALUE(LEFT($N73,IF(NOT(OR(AND(MID($N73,1,1)&gt;="0",MID($N73,1,1)&lt;="9"),MID($N73,1,1)=".")),0,IF(NOT(OR(AND(MID($N73,2,1)&gt;="0",MID($N73,2,1)&lt;="9"),MID($N73,2,1)=".")),1,IF(NOT(OR(AND(MID($N73,3,1)&gt;="0",MID($N73,3,1)&lt;="9"),MID($N73,3,1)=".")),2,IF(NOT(OR(AND(MID($N73,4,1)&gt;="0",MID($N73,4,1)&lt;="9"),MID($N73,4,1)=".")),3,IF(NOT(OR(AND(MID($N73,5,1)&gt;="0",MID($N73,5,1)&lt;="9"),MID($N73,5,1)=".")),4,IF(NOT(OR(AND(MID($N73,6,1)&gt;="0",MID($N73,6,1)&lt;="9"),MID($N73,6,1)=".")),5,6)))))))),0)))</f>
        <v>0</v>
      </c>
      <c r="P73" s="223">
        <f>IF(AND($M73&gt;0,$O73&gt;0),$O73/$M73-1,0)</f>
        <v>0</v>
      </c>
      <c r="Q73" s="220">
        <f>IF($B73="","",TRIM('Master Data-2026'!L69))</f>
      </c>
      <c r="R73" s="220">
        <f>IF($Q73="",0,IF(ISNUMBER(SEARCH("%",$Q73)),0,IFERROR(VALUE(LEFT($Q73,IF(NOT(OR(AND(MID($Q73,1,1)&gt;="0",MID($Q73,1,1)&lt;="9"),MID($Q73,1,1)=".")),0,IF(NOT(OR(AND(MID($Q73,2,1)&gt;="0",MID($Q73,2,1)&lt;="9"),MID($Q73,2,1)=".")),1,IF(NOT(OR(AND(MID($Q73,3,1)&gt;="0",MID($Q73,3,1)&lt;="9"),MID($Q73,3,1)=".")),2,IF(NOT(OR(AND(MID($Q73,4,1)&gt;="0",MID($Q73,4,1)&lt;="9"),MID($Q73,4,1)=".")),3,IF(NOT(OR(AND(MID($Q73,5,1)&gt;="0",MID($Q73,5,1)&lt;="9"),MID($Q73,5,1)=".")),4,IF(NOT(OR(AND(MID($Q73,6,1)&gt;="0",MID($Q73,6,1)&lt;="9"),MID($Q73,6,1)=".")),5,6)))))))),0)))</f>
        <v>0</v>
      </c>
      <c r="S73" s="224">
        <f>IF($Q73="",-1,IF(ISNUMBER(SEARCH("immediate",$Q73)),0,IF(ISNUMBER(SEARCH("month",$Q73)),IF($R73=0,-1,$R73*30),IF(ISNUMBER(SEARCH("day",$Q73)),IF($R73=0,-1,$R73),-1))))</f>
        <v>-1</v>
      </c>
      <c r="T73" s="220">
        <f>IF($B73="","",IF($S73&lt;0,"Not recorded",IF($S73=0,"Immediate",IF($S73&lt;=30,"1-30 days",IF($S73&lt;=60,"31-60 days","60+ days")))))</f>
      </c>
      <c r="U73" s="220">
        <f>IF($B73="","",IFERROR(MATCH($B73,'Submission template'!$D$17:$D$300,0),""))</f>
      </c>
      <c r="V73" s="220">
        <f>IF($U73="","",IFERROR(TRIM(INDEX('Submission template'!$I$17:$I$300,$U73)),""))</f>
      </c>
      <c r="W73" s="225">
        <f>IF($V73="",0,IF(ISNUMBER(SEARCH("%",$V73)),0,IFERROR(VALUE(LEFT($V73,IF(NOT(OR(AND(MID($V73,1,1)&gt;="0",MID($V73,1,1)&lt;="9"),MID($V73,1,1)=".")),0,IF(NOT(OR(AND(MID($V73,2,1)&gt;="0",MID($V73,2,1)&lt;="9"),MID($V73,2,1)=".")),1,IF(NOT(OR(AND(MID($V73,3,1)&gt;="0",MID($V73,3,1)&lt;="9"),MID($V73,3,1)=".")),2,IF(NOT(OR(AND(MID($V73,4,1)&gt;="0",MID($V73,4,1)&lt;="9"),MID($V73,4,1)=".")),3,IF(NOT(OR(AND(MID($V73,5,1)&gt;="0",MID($V73,5,1)&lt;="9"),MID($V73,5,1)=".")),4,IF(NOT(OR(AND(MID($V73,6,1)&gt;="0",MID($V73,6,1)&lt;="9"),MID($V73,6,1)=".")),5,6)))))))),0)))</f>
        <v>0</v>
      </c>
      <c r="X73" s="220">
        <f>IF($U73="","",IFERROR(TRIM(INDEX('Submission template'!$J$17:$J$300,$U73)),""))</f>
      </c>
      <c r="Y73" s="220">
        <f>IF($U73="","",IFERROR(TRIM(INDEX('Submission template'!$K$17:$K$300,$U73)),""))</f>
      </c>
      <c r="Z73" s="220">
        <f>IF($U73="","",IFERROR(TRIM(INDEX('Submission template'!$M$17:$M$300,$U73)),""))</f>
      </c>
      <c r="AA73" s="220">
        <f>IF($U73="","",IFERROR(TRIM(INDEX('Submission template'!$O$17:$O$300,$U73)),""))</f>
      </c>
      <c r="AB73" s="220">
        <f>IF($U73="","",IFERROR(TRIM(INDEX('Submission template'!$S$17:$S$300,$U73)),""))</f>
      </c>
      <c r="AC73" s="220">
        <f>IF($B73="",0,IF($U73="",0,1))</f>
        <v>0</v>
      </c>
      <c r="AD73" s="220">
        <f>IF($B73="",0,IF(OR($H73=TargetLocation,AND($AA73&lt;&gt;"",ISNUMBER(SEARCH(TargetLocation,$AA73)))),1,0))</f>
        <v>0</v>
      </c>
      <c r="AE73" s="220">
        <f>IF($B73="",0,IF(AND(OR(SelRecruiter="All",$C73=SelRecruiter),OR(SelCity="All",$H73=SelCity),OR(SelStage="All",$I73=SelStage),OR(SelRequisition="All",$F73=SelRequisition)),1,0))</f>
        <v>0</v>
      </c>
      <c r="AF73" s="220">
        <f>IF($B73="","",COUNT($AF$5:AF72)+1)</f>
      </c>
      <c r="AG73" s="220">
        <f>IF($C73="","",IF(COUNTIF($C$6:$C73,$C73)=1,COUNT($AG$5:AG72)+1,""))</f>
      </c>
      <c r="AH73" s="220">
        <f>IF($F73="","",IF(COUNTIF($F$6:$F73,$F73)=1,COUNT($AH$5:AH72)+1,""))</f>
      </c>
      <c r="AI73" s="220">
        <f>IF($H73="","",IF(COUNTIF($H$6:$H73,$H73)=1,COUNT($AI$5:AI72)+1,""))</f>
      </c>
      <c r="AJ73" s="220">
        <f>IF(OR($B73="",$J73=0),"",$J73*100000000+IF(ISNUMBER($D73),$D73,0)*1000+(170-$A73))</f>
      </c>
      <c r="AK73" s="220">
        <f>IF(OR($B73="",$W73&lt;=0),"",ROUND($W73*10,0)*100000+(170-$A73))</f>
      </c>
      <c r="AL73" s="220">
        <f>IF(OR($B73="",$P73&lt;=0),"",ROUND($P73*10000,0)*1000+(170-$A73))</f>
      </c>
      <c r="AM73" s="220">
        <f>IF(AND($W73&gt;0,$O73&gt;0),COUNT($AM$5:AM72)+1,"")</f>
      </c>
      <c r="AN73">
        <f>IF($B73="",0,IF($G73="",0,SUMPRODUCT(MAX(ISNUMBER(SEARCH(LocPattern,$G73))*LocIdx))))</f>
        <v>0</v>
      </c>
      <c r="BL73">
        <f>IFERROR(INDEX($B$6:$B$125,MATCH(68,$AF$6:$AF$125,0)),"")</f>
      </c>
    </row>
    <row r="74">
      <c r="A74" s="214" t="n">
        <v>69</v>
      </c>
      <c r="B74" s="214">
        <f>IF(TRIM('Master Data-2026'!D70)="","",TRIM('Master Data-2026'!D70))</f>
      </c>
      <c r="C74" s="214">
        <f>IF($B74="","",TRIM('Master Data-2026'!A70))</f>
      </c>
      <c r="D74" s="215">
        <f>IF($B74="","",IF('Master Data-2026'!B70="","",'Master Data-2026'!B70))</f>
      </c>
      <c r="E74" s="214">
        <f>IF($B74="","",TRIM('Master Data-2026'!C70))</f>
      </c>
      <c r="F74" s="214">
        <f>IF($B74="","",TRIM('Master Data-2026'!G70))</f>
      </c>
      <c r="G74" s="214">
        <f>IF($B74="","",TRIM('Master Data-2026'!F70))</f>
      </c>
      <c r="H74" s="214">
        <f>IF($B74="","",IF($G74="","Not recorded",IF($AN74=0,"Other",INDEX(LocCity,$AN74))))</f>
      </c>
      <c r="I74" s="214">
        <f>IF($B74="","",TRIM('Master Data-2026'!H70))</f>
      </c>
      <c r="J74" s="214">
        <f>IF($B74="",0,IFERROR(INDEX(StageOrderRef,MATCH($I74,StageNameRef,0)),0))</f>
        <v>0</v>
      </c>
      <c r="K74" s="214">
        <f>IF($B74="","",TRIM('Master Data-2026'!I70))</f>
      </c>
      <c r="L74" s="214">
        <f>IF($B74="","",TRIM('Master Data-2026'!J70))</f>
      </c>
      <c r="M74" s="216">
        <f>IF($L74="",0,IF(ISNUMBER(SEARCH("%",$L74)),0,IFERROR(VALUE(LEFT($L74,IF(NOT(OR(AND(MID($L74,1,1)&gt;="0",MID($L74,1,1)&lt;="9"),MID($L74,1,1)=".")),0,IF(NOT(OR(AND(MID($L74,2,1)&gt;="0",MID($L74,2,1)&lt;="9"),MID($L74,2,1)=".")),1,IF(NOT(OR(AND(MID($L74,3,1)&gt;="0",MID($L74,3,1)&lt;="9"),MID($L74,3,1)=".")),2,IF(NOT(OR(AND(MID($L74,4,1)&gt;="0",MID($L74,4,1)&lt;="9"),MID($L74,4,1)=".")),3,IF(NOT(OR(AND(MID($L74,5,1)&gt;="0",MID($L74,5,1)&lt;="9"),MID($L74,5,1)=".")),4,IF(NOT(OR(AND(MID($L74,6,1)&gt;="0",MID($L74,6,1)&lt;="9"),MID($L74,6,1)=".")),5,6)))))))),0)))</f>
        <v>0</v>
      </c>
      <c r="N74" s="214">
        <f>IF($B74="","",TRIM('Master Data-2026'!K70))</f>
      </c>
      <c r="O74" s="216">
        <f>IF($N74="",0,IF(ISNUMBER(SEARCH("%",$N74)),0,IFERROR(VALUE(LEFT($N74,IF(NOT(OR(AND(MID($N74,1,1)&gt;="0",MID($N74,1,1)&lt;="9"),MID($N74,1,1)=".")),0,IF(NOT(OR(AND(MID($N74,2,1)&gt;="0",MID($N74,2,1)&lt;="9"),MID($N74,2,1)=".")),1,IF(NOT(OR(AND(MID($N74,3,1)&gt;="0",MID($N74,3,1)&lt;="9"),MID($N74,3,1)=".")),2,IF(NOT(OR(AND(MID($N74,4,1)&gt;="0",MID($N74,4,1)&lt;="9"),MID($N74,4,1)=".")),3,IF(NOT(OR(AND(MID($N74,5,1)&gt;="0",MID($N74,5,1)&lt;="9"),MID($N74,5,1)=".")),4,IF(NOT(OR(AND(MID($N74,6,1)&gt;="0",MID($N74,6,1)&lt;="9"),MID($N74,6,1)=".")),5,6)))))))),0)))</f>
        <v>0</v>
      </c>
      <c r="P74" s="217">
        <f>IF(AND($M74&gt;0,$O74&gt;0),$O74/$M74-1,0)</f>
        <v>0</v>
      </c>
      <c r="Q74" s="214">
        <f>IF($B74="","",TRIM('Master Data-2026'!L70))</f>
      </c>
      <c r="R74" s="214">
        <f>IF($Q74="",0,IF(ISNUMBER(SEARCH("%",$Q74)),0,IFERROR(VALUE(LEFT($Q74,IF(NOT(OR(AND(MID($Q74,1,1)&gt;="0",MID($Q74,1,1)&lt;="9"),MID($Q74,1,1)=".")),0,IF(NOT(OR(AND(MID($Q74,2,1)&gt;="0",MID($Q74,2,1)&lt;="9"),MID($Q74,2,1)=".")),1,IF(NOT(OR(AND(MID($Q74,3,1)&gt;="0",MID($Q74,3,1)&lt;="9"),MID($Q74,3,1)=".")),2,IF(NOT(OR(AND(MID($Q74,4,1)&gt;="0",MID($Q74,4,1)&lt;="9"),MID($Q74,4,1)=".")),3,IF(NOT(OR(AND(MID($Q74,5,1)&gt;="0",MID($Q74,5,1)&lt;="9"),MID($Q74,5,1)=".")),4,IF(NOT(OR(AND(MID($Q74,6,1)&gt;="0",MID($Q74,6,1)&lt;="9"),MID($Q74,6,1)=".")),5,6)))))))),0)))</f>
        <v>0</v>
      </c>
      <c r="S74" s="218">
        <f>IF($Q74="",-1,IF(ISNUMBER(SEARCH("immediate",$Q74)),0,IF(ISNUMBER(SEARCH("month",$Q74)),IF($R74=0,-1,$R74*30),IF(ISNUMBER(SEARCH("day",$Q74)),IF($R74=0,-1,$R74),-1))))</f>
        <v>-1</v>
      </c>
      <c r="T74" s="214">
        <f>IF($B74="","",IF($S74&lt;0,"Not recorded",IF($S74=0,"Immediate",IF($S74&lt;=30,"1-30 days",IF($S74&lt;=60,"31-60 days","60+ days")))))</f>
      </c>
      <c r="U74" s="214">
        <f>IF($B74="","",IFERROR(MATCH($B74,'Submission template'!$D$17:$D$300,0),""))</f>
      </c>
      <c r="V74" s="214">
        <f>IF($U74="","",IFERROR(TRIM(INDEX('Submission template'!$I$17:$I$300,$U74)),""))</f>
      </c>
      <c r="W74" s="219">
        <f>IF($V74="",0,IF(ISNUMBER(SEARCH("%",$V74)),0,IFERROR(VALUE(LEFT($V74,IF(NOT(OR(AND(MID($V74,1,1)&gt;="0",MID($V74,1,1)&lt;="9"),MID($V74,1,1)=".")),0,IF(NOT(OR(AND(MID($V74,2,1)&gt;="0",MID($V74,2,1)&lt;="9"),MID($V74,2,1)=".")),1,IF(NOT(OR(AND(MID($V74,3,1)&gt;="0",MID($V74,3,1)&lt;="9"),MID($V74,3,1)=".")),2,IF(NOT(OR(AND(MID($V74,4,1)&gt;="0",MID($V74,4,1)&lt;="9"),MID($V74,4,1)=".")),3,IF(NOT(OR(AND(MID($V74,5,1)&gt;="0",MID($V74,5,1)&lt;="9"),MID($V74,5,1)=".")),4,IF(NOT(OR(AND(MID($V74,6,1)&gt;="0",MID($V74,6,1)&lt;="9"),MID($V74,6,1)=".")),5,6)))))))),0)))</f>
        <v>0</v>
      </c>
      <c r="X74" s="214">
        <f>IF($U74="","",IFERROR(TRIM(INDEX('Submission template'!$J$17:$J$300,$U74)),""))</f>
      </c>
      <c r="Y74" s="214">
        <f>IF($U74="","",IFERROR(TRIM(INDEX('Submission template'!$K$17:$K$300,$U74)),""))</f>
      </c>
      <c r="Z74" s="214">
        <f>IF($U74="","",IFERROR(TRIM(INDEX('Submission template'!$M$17:$M$300,$U74)),""))</f>
      </c>
      <c r="AA74" s="214">
        <f>IF($U74="","",IFERROR(TRIM(INDEX('Submission template'!$O$17:$O$300,$U74)),""))</f>
      </c>
      <c r="AB74" s="214">
        <f>IF($U74="","",IFERROR(TRIM(INDEX('Submission template'!$S$17:$S$300,$U74)),""))</f>
      </c>
      <c r="AC74" s="214">
        <f>IF($B74="",0,IF($U74="",0,1))</f>
        <v>0</v>
      </c>
      <c r="AD74" s="214">
        <f>IF($B74="",0,IF(OR($H74=TargetLocation,AND($AA74&lt;&gt;"",ISNUMBER(SEARCH(TargetLocation,$AA74)))),1,0))</f>
        <v>0</v>
      </c>
      <c r="AE74" s="214">
        <f>IF($B74="",0,IF(AND(OR(SelRecruiter="All",$C74=SelRecruiter),OR(SelCity="All",$H74=SelCity),OR(SelStage="All",$I74=SelStage),OR(SelRequisition="All",$F74=SelRequisition)),1,0))</f>
        <v>0</v>
      </c>
      <c r="AF74" s="214">
        <f>IF($B74="","",COUNT($AF$5:AF73)+1)</f>
      </c>
      <c r="AG74" s="214">
        <f>IF($C74="","",IF(COUNTIF($C$6:$C74,$C74)=1,COUNT($AG$5:AG73)+1,""))</f>
      </c>
      <c r="AH74" s="214">
        <f>IF($F74="","",IF(COUNTIF($F$6:$F74,$F74)=1,COUNT($AH$5:AH73)+1,""))</f>
      </c>
      <c r="AI74" s="214">
        <f>IF($H74="","",IF(COUNTIF($H$6:$H74,$H74)=1,COUNT($AI$5:AI73)+1,""))</f>
      </c>
      <c r="AJ74" s="214">
        <f>IF(OR($B74="",$J74=0),"",$J74*100000000+IF(ISNUMBER($D74),$D74,0)*1000+(170-$A74))</f>
      </c>
      <c r="AK74" s="214">
        <f>IF(OR($B74="",$W74&lt;=0),"",ROUND($W74*10,0)*100000+(170-$A74))</f>
      </c>
      <c r="AL74" s="214">
        <f>IF(OR($B74="",$P74&lt;=0),"",ROUND($P74*10000,0)*1000+(170-$A74))</f>
      </c>
      <c r="AM74" s="214">
        <f>IF(AND($W74&gt;0,$O74&gt;0),COUNT($AM$5:AM73)+1,"")</f>
      </c>
      <c r="AN74">
        <f>IF($B74="",0,IF($G74="",0,SUMPRODUCT(MAX(ISNUMBER(SEARCH(LocPattern,$G74))*LocIdx))))</f>
        <v>0</v>
      </c>
      <c r="BL74">
        <f>IFERROR(INDEX($B$6:$B$125,MATCH(69,$AF$6:$AF$125,0)),"")</f>
      </c>
    </row>
    <row r="75">
      <c r="A75" s="220" t="n">
        <v>70</v>
      </c>
      <c r="B75" s="220">
        <f>IF(TRIM('Master Data-2026'!D71)="","",TRIM('Master Data-2026'!D71))</f>
      </c>
      <c r="C75" s="220">
        <f>IF($B75="","",TRIM('Master Data-2026'!A71))</f>
      </c>
      <c r="D75" s="221">
        <f>IF($B75="","",IF('Master Data-2026'!B71="","",'Master Data-2026'!B71))</f>
      </c>
      <c r="E75" s="220">
        <f>IF($B75="","",TRIM('Master Data-2026'!C71))</f>
      </c>
      <c r="F75" s="220">
        <f>IF($B75="","",TRIM('Master Data-2026'!G71))</f>
      </c>
      <c r="G75" s="220">
        <f>IF($B75="","",TRIM('Master Data-2026'!F71))</f>
      </c>
      <c r="H75" s="220">
        <f>IF($B75="","",IF($G75="","Not recorded",IF($AN75=0,"Other",INDEX(LocCity,$AN75))))</f>
      </c>
      <c r="I75" s="220">
        <f>IF($B75="","",TRIM('Master Data-2026'!H71))</f>
      </c>
      <c r="J75" s="220">
        <f>IF($B75="",0,IFERROR(INDEX(StageOrderRef,MATCH($I75,StageNameRef,0)),0))</f>
        <v>0</v>
      </c>
      <c r="K75" s="220">
        <f>IF($B75="","",TRIM('Master Data-2026'!I71))</f>
      </c>
      <c r="L75" s="220">
        <f>IF($B75="","",TRIM('Master Data-2026'!J71))</f>
      </c>
      <c r="M75" s="222">
        <f>IF($L75="",0,IF(ISNUMBER(SEARCH("%",$L75)),0,IFERROR(VALUE(LEFT($L75,IF(NOT(OR(AND(MID($L75,1,1)&gt;="0",MID($L75,1,1)&lt;="9"),MID($L75,1,1)=".")),0,IF(NOT(OR(AND(MID($L75,2,1)&gt;="0",MID($L75,2,1)&lt;="9"),MID($L75,2,1)=".")),1,IF(NOT(OR(AND(MID($L75,3,1)&gt;="0",MID($L75,3,1)&lt;="9"),MID($L75,3,1)=".")),2,IF(NOT(OR(AND(MID($L75,4,1)&gt;="0",MID($L75,4,1)&lt;="9"),MID($L75,4,1)=".")),3,IF(NOT(OR(AND(MID($L75,5,1)&gt;="0",MID($L75,5,1)&lt;="9"),MID($L75,5,1)=".")),4,IF(NOT(OR(AND(MID($L75,6,1)&gt;="0",MID($L75,6,1)&lt;="9"),MID($L75,6,1)=".")),5,6)))))))),0)))</f>
        <v>0</v>
      </c>
      <c r="N75" s="220">
        <f>IF($B75="","",TRIM('Master Data-2026'!K71))</f>
      </c>
      <c r="O75" s="222">
        <f>IF($N75="",0,IF(ISNUMBER(SEARCH("%",$N75)),0,IFERROR(VALUE(LEFT($N75,IF(NOT(OR(AND(MID($N75,1,1)&gt;="0",MID($N75,1,1)&lt;="9"),MID($N75,1,1)=".")),0,IF(NOT(OR(AND(MID($N75,2,1)&gt;="0",MID($N75,2,1)&lt;="9"),MID($N75,2,1)=".")),1,IF(NOT(OR(AND(MID($N75,3,1)&gt;="0",MID($N75,3,1)&lt;="9"),MID($N75,3,1)=".")),2,IF(NOT(OR(AND(MID($N75,4,1)&gt;="0",MID($N75,4,1)&lt;="9"),MID($N75,4,1)=".")),3,IF(NOT(OR(AND(MID($N75,5,1)&gt;="0",MID($N75,5,1)&lt;="9"),MID($N75,5,1)=".")),4,IF(NOT(OR(AND(MID($N75,6,1)&gt;="0",MID($N75,6,1)&lt;="9"),MID($N75,6,1)=".")),5,6)))))))),0)))</f>
        <v>0</v>
      </c>
      <c r="P75" s="223">
        <f>IF(AND($M75&gt;0,$O75&gt;0),$O75/$M75-1,0)</f>
        <v>0</v>
      </c>
      <c r="Q75" s="220">
        <f>IF($B75="","",TRIM('Master Data-2026'!L71))</f>
      </c>
      <c r="R75" s="220">
        <f>IF($Q75="",0,IF(ISNUMBER(SEARCH("%",$Q75)),0,IFERROR(VALUE(LEFT($Q75,IF(NOT(OR(AND(MID($Q75,1,1)&gt;="0",MID($Q75,1,1)&lt;="9"),MID($Q75,1,1)=".")),0,IF(NOT(OR(AND(MID($Q75,2,1)&gt;="0",MID($Q75,2,1)&lt;="9"),MID($Q75,2,1)=".")),1,IF(NOT(OR(AND(MID($Q75,3,1)&gt;="0",MID($Q75,3,1)&lt;="9"),MID($Q75,3,1)=".")),2,IF(NOT(OR(AND(MID($Q75,4,1)&gt;="0",MID($Q75,4,1)&lt;="9"),MID($Q75,4,1)=".")),3,IF(NOT(OR(AND(MID($Q75,5,1)&gt;="0",MID($Q75,5,1)&lt;="9"),MID($Q75,5,1)=".")),4,IF(NOT(OR(AND(MID($Q75,6,1)&gt;="0",MID($Q75,6,1)&lt;="9"),MID($Q75,6,1)=".")),5,6)))))))),0)))</f>
        <v>0</v>
      </c>
      <c r="S75" s="224">
        <f>IF($Q75="",-1,IF(ISNUMBER(SEARCH("immediate",$Q75)),0,IF(ISNUMBER(SEARCH("month",$Q75)),IF($R75=0,-1,$R75*30),IF(ISNUMBER(SEARCH("day",$Q75)),IF($R75=0,-1,$R75),-1))))</f>
        <v>-1</v>
      </c>
      <c r="T75" s="220">
        <f>IF($B75="","",IF($S75&lt;0,"Not recorded",IF($S75=0,"Immediate",IF($S75&lt;=30,"1-30 days",IF($S75&lt;=60,"31-60 days","60+ days")))))</f>
      </c>
      <c r="U75" s="220">
        <f>IF($B75="","",IFERROR(MATCH($B75,'Submission template'!$D$17:$D$300,0),""))</f>
      </c>
      <c r="V75" s="220">
        <f>IF($U75="","",IFERROR(TRIM(INDEX('Submission template'!$I$17:$I$300,$U75)),""))</f>
      </c>
      <c r="W75" s="225">
        <f>IF($V75="",0,IF(ISNUMBER(SEARCH("%",$V75)),0,IFERROR(VALUE(LEFT($V75,IF(NOT(OR(AND(MID($V75,1,1)&gt;="0",MID($V75,1,1)&lt;="9"),MID($V75,1,1)=".")),0,IF(NOT(OR(AND(MID($V75,2,1)&gt;="0",MID($V75,2,1)&lt;="9"),MID($V75,2,1)=".")),1,IF(NOT(OR(AND(MID($V75,3,1)&gt;="0",MID($V75,3,1)&lt;="9"),MID($V75,3,1)=".")),2,IF(NOT(OR(AND(MID($V75,4,1)&gt;="0",MID($V75,4,1)&lt;="9"),MID($V75,4,1)=".")),3,IF(NOT(OR(AND(MID($V75,5,1)&gt;="0",MID($V75,5,1)&lt;="9"),MID($V75,5,1)=".")),4,IF(NOT(OR(AND(MID($V75,6,1)&gt;="0",MID($V75,6,1)&lt;="9"),MID($V75,6,1)=".")),5,6)))))))),0)))</f>
        <v>0</v>
      </c>
      <c r="X75" s="220">
        <f>IF($U75="","",IFERROR(TRIM(INDEX('Submission template'!$J$17:$J$300,$U75)),""))</f>
      </c>
      <c r="Y75" s="220">
        <f>IF($U75="","",IFERROR(TRIM(INDEX('Submission template'!$K$17:$K$300,$U75)),""))</f>
      </c>
      <c r="Z75" s="220">
        <f>IF($U75="","",IFERROR(TRIM(INDEX('Submission template'!$M$17:$M$300,$U75)),""))</f>
      </c>
      <c r="AA75" s="220">
        <f>IF($U75="","",IFERROR(TRIM(INDEX('Submission template'!$O$17:$O$300,$U75)),""))</f>
      </c>
      <c r="AB75" s="220">
        <f>IF($U75="","",IFERROR(TRIM(INDEX('Submission template'!$S$17:$S$300,$U75)),""))</f>
      </c>
      <c r="AC75" s="220">
        <f>IF($B75="",0,IF($U75="",0,1))</f>
        <v>0</v>
      </c>
      <c r="AD75" s="220">
        <f>IF($B75="",0,IF(OR($H75=TargetLocation,AND($AA75&lt;&gt;"",ISNUMBER(SEARCH(TargetLocation,$AA75)))),1,0))</f>
        <v>0</v>
      </c>
      <c r="AE75" s="220">
        <f>IF($B75="",0,IF(AND(OR(SelRecruiter="All",$C75=SelRecruiter),OR(SelCity="All",$H75=SelCity),OR(SelStage="All",$I75=SelStage),OR(SelRequisition="All",$F75=SelRequisition)),1,0))</f>
        <v>0</v>
      </c>
      <c r="AF75" s="220">
        <f>IF($B75="","",COUNT($AF$5:AF74)+1)</f>
      </c>
      <c r="AG75" s="220">
        <f>IF($C75="","",IF(COUNTIF($C$6:$C75,$C75)=1,COUNT($AG$5:AG74)+1,""))</f>
      </c>
      <c r="AH75" s="220">
        <f>IF($F75="","",IF(COUNTIF($F$6:$F75,$F75)=1,COUNT($AH$5:AH74)+1,""))</f>
      </c>
      <c r="AI75" s="220">
        <f>IF($H75="","",IF(COUNTIF($H$6:$H75,$H75)=1,COUNT($AI$5:AI74)+1,""))</f>
      </c>
      <c r="AJ75" s="220">
        <f>IF(OR($B75="",$J75=0),"",$J75*100000000+IF(ISNUMBER($D75),$D75,0)*1000+(170-$A75))</f>
      </c>
      <c r="AK75" s="220">
        <f>IF(OR($B75="",$W75&lt;=0),"",ROUND($W75*10,0)*100000+(170-$A75))</f>
      </c>
      <c r="AL75" s="220">
        <f>IF(OR($B75="",$P75&lt;=0),"",ROUND($P75*10000,0)*1000+(170-$A75))</f>
      </c>
      <c r="AM75" s="220">
        <f>IF(AND($W75&gt;0,$O75&gt;0),COUNT($AM$5:AM74)+1,"")</f>
      </c>
      <c r="AN75">
        <f>IF($B75="",0,IF($G75="",0,SUMPRODUCT(MAX(ISNUMBER(SEARCH(LocPattern,$G75))*LocIdx))))</f>
        <v>0</v>
      </c>
      <c r="BL75">
        <f>IFERROR(INDEX($B$6:$B$125,MATCH(70,$AF$6:$AF$125,0)),"")</f>
      </c>
    </row>
    <row r="76">
      <c r="A76" s="214" t="n">
        <v>71</v>
      </c>
      <c r="B76" s="214">
        <f>IF(TRIM('Master Data-2026'!D72)="","",TRIM('Master Data-2026'!D72))</f>
      </c>
      <c r="C76" s="214">
        <f>IF($B76="","",TRIM('Master Data-2026'!A72))</f>
      </c>
      <c r="D76" s="215">
        <f>IF($B76="","",IF('Master Data-2026'!B72="","",'Master Data-2026'!B72))</f>
      </c>
      <c r="E76" s="214">
        <f>IF($B76="","",TRIM('Master Data-2026'!C72))</f>
      </c>
      <c r="F76" s="214">
        <f>IF($B76="","",TRIM('Master Data-2026'!G72))</f>
      </c>
      <c r="G76" s="214">
        <f>IF($B76="","",TRIM('Master Data-2026'!F72))</f>
      </c>
      <c r="H76" s="214">
        <f>IF($B76="","",IF($G76="","Not recorded",IF($AN76=0,"Other",INDEX(LocCity,$AN76))))</f>
      </c>
      <c r="I76" s="214">
        <f>IF($B76="","",TRIM('Master Data-2026'!H72))</f>
      </c>
      <c r="J76" s="214">
        <f>IF($B76="",0,IFERROR(INDEX(StageOrderRef,MATCH($I76,StageNameRef,0)),0))</f>
        <v>0</v>
      </c>
      <c r="K76" s="214">
        <f>IF($B76="","",TRIM('Master Data-2026'!I72))</f>
      </c>
      <c r="L76" s="214">
        <f>IF($B76="","",TRIM('Master Data-2026'!J72))</f>
      </c>
      <c r="M76" s="216">
        <f>IF($L76="",0,IF(ISNUMBER(SEARCH("%",$L76)),0,IFERROR(VALUE(LEFT($L76,IF(NOT(OR(AND(MID($L76,1,1)&gt;="0",MID($L76,1,1)&lt;="9"),MID($L76,1,1)=".")),0,IF(NOT(OR(AND(MID($L76,2,1)&gt;="0",MID($L76,2,1)&lt;="9"),MID($L76,2,1)=".")),1,IF(NOT(OR(AND(MID($L76,3,1)&gt;="0",MID($L76,3,1)&lt;="9"),MID($L76,3,1)=".")),2,IF(NOT(OR(AND(MID($L76,4,1)&gt;="0",MID($L76,4,1)&lt;="9"),MID($L76,4,1)=".")),3,IF(NOT(OR(AND(MID($L76,5,1)&gt;="0",MID($L76,5,1)&lt;="9"),MID($L76,5,1)=".")),4,IF(NOT(OR(AND(MID($L76,6,1)&gt;="0",MID($L76,6,1)&lt;="9"),MID($L76,6,1)=".")),5,6)))))))),0)))</f>
        <v>0</v>
      </c>
      <c r="N76" s="214">
        <f>IF($B76="","",TRIM('Master Data-2026'!K72))</f>
      </c>
      <c r="O76" s="216">
        <f>IF($N76="",0,IF(ISNUMBER(SEARCH("%",$N76)),0,IFERROR(VALUE(LEFT($N76,IF(NOT(OR(AND(MID($N76,1,1)&gt;="0",MID($N76,1,1)&lt;="9"),MID($N76,1,1)=".")),0,IF(NOT(OR(AND(MID($N76,2,1)&gt;="0",MID($N76,2,1)&lt;="9"),MID($N76,2,1)=".")),1,IF(NOT(OR(AND(MID($N76,3,1)&gt;="0",MID($N76,3,1)&lt;="9"),MID($N76,3,1)=".")),2,IF(NOT(OR(AND(MID($N76,4,1)&gt;="0",MID($N76,4,1)&lt;="9"),MID($N76,4,1)=".")),3,IF(NOT(OR(AND(MID($N76,5,1)&gt;="0",MID($N76,5,1)&lt;="9"),MID($N76,5,1)=".")),4,IF(NOT(OR(AND(MID($N76,6,1)&gt;="0",MID($N76,6,1)&lt;="9"),MID($N76,6,1)=".")),5,6)))))))),0)))</f>
        <v>0</v>
      </c>
      <c r="P76" s="217">
        <f>IF(AND($M76&gt;0,$O76&gt;0),$O76/$M76-1,0)</f>
        <v>0</v>
      </c>
      <c r="Q76" s="214">
        <f>IF($B76="","",TRIM('Master Data-2026'!L72))</f>
      </c>
      <c r="R76" s="214">
        <f>IF($Q76="",0,IF(ISNUMBER(SEARCH("%",$Q76)),0,IFERROR(VALUE(LEFT($Q76,IF(NOT(OR(AND(MID($Q76,1,1)&gt;="0",MID($Q76,1,1)&lt;="9"),MID($Q76,1,1)=".")),0,IF(NOT(OR(AND(MID($Q76,2,1)&gt;="0",MID($Q76,2,1)&lt;="9"),MID($Q76,2,1)=".")),1,IF(NOT(OR(AND(MID($Q76,3,1)&gt;="0",MID($Q76,3,1)&lt;="9"),MID($Q76,3,1)=".")),2,IF(NOT(OR(AND(MID($Q76,4,1)&gt;="0",MID($Q76,4,1)&lt;="9"),MID($Q76,4,1)=".")),3,IF(NOT(OR(AND(MID($Q76,5,1)&gt;="0",MID($Q76,5,1)&lt;="9"),MID($Q76,5,1)=".")),4,IF(NOT(OR(AND(MID($Q76,6,1)&gt;="0",MID($Q76,6,1)&lt;="9"),MID($Q76,6,1)=".")),5,6)))))))),0)))</f>
        <v>0</v>
      </c>
      <c r="S76" s="218">
        <f>IF($Q76="",-1,IF(ISNUMBER(SEARCH("immediate",$Q76)),0,IF(ISNUMBER(SEARCH("month",$Q76)),IF($R76=0,-1,$R76*30),IF(ISNUMBER(SEARCH("day",$Q76)),IF($R76=0,-1,$R76),-1))))</f>
        <v>-1</v>
      </c>
      <c r="T76" s="214">
        <f>IF($B76="","",IF($S76&lt;0,"Not recorded",IF($S76=0,"Immediate",IF($S76&lt;=30,"1-30 days",IF($S76&lt;=60,"31-60 days","60+ days")))))</f>
      </c>
      <c r="U76" s="214">
        <f>IF($B76="","",IFERROR(MATCH($B76,'Submission template'!$D$17:$D$300,0),""))</f>
      </c>
      <c r="V76" s="214">
        <f>IF($U76="","",IFERROR(TRIM(INDEX('Submission template'!$I$17:$I$300,$U76)),""))</f>
      </c>
      <c r="W76" s="219">
        <f>IF($V76="",0,IF(ISNUMBER(SEARCH("%",$V76)),0,IFERROR(VALUE(LEFT($V76,IF(NOT(OR(AND(MID($V76,1,1)&gt;="0",MID($V76,1,1)&lt;="9"),MID($V76,1,1)=".")),0,IF(NOT(OR(AND(MID($V76,2,1)&gt;="0",MID($V76,2,1)&lt;="9"),MID($V76,2,1)=".")),1,IF(NOT(OR(AND(MID($V76,3,1)&gt;="0",MID($V76,3,1)&lt;="9"),MID($V76,3,1)=".")),2,IF(NOT(OR(AND(MID($V76,4,1)&gt;="0",MID($V76,4,1)&lt;="9"),MID($V76,4,1)=".")),3,IF(NOT(OR(AND(MID($V76,5,1)&gt;="0",MID($V76,5,1)&lt;="9"),MID($V76,5,1)=".")),4,IF(NOT(OR(AND(MID($V76,6,1)&gt;="0",MID($V76,6,1)&lt;="9"),MID($V76,6,1)=".")),5,6)))))))),0)))</f>
        <v>0</v>
      </c>
      <c r="X76" s="214">
        <f>IF($U76="","",IFERROR(TRIM(INDEX('Submission template'!$J$17:$J$300,$U76)),""))</f>
      </c>
      <c r="Y76" s="214">
        <f>IF($U76="","",IFERROR(TRIM(INDEX('Submission template'!$K$17:$K$300,$U76)),""))</f>
      </c>
      <c r="Z76" s="214">
        <f>IF($U76="","",IFERROR(TRIM(INDEX('Submission template'!$M$17:$M$300,$U76)),""))</f>
      </c>
      <c r="AA76" s="214">
        <f>IF($U76="","",IFERROR(TRIM(INDEX('Submission template'!$O$17:$O$300,$U76)),""))</f>
      </c>
      <c r="AB76" s="214">
        <f>IF($U76="","",IFERROR(TRIM(INDEX('Submission template'!$S$17:$S$300,$U76)),""))</f>
      </c>
      <c r="AC76" s="214">
        <f>IF($B76="",0,IF($U76="",0,1))</f>
        <v>0</v>
      </c>
      <c r="AD76" s="214">
        <f>IF($B76="",0,IF(OR($H76=TargetLocation,AND($AA76&lt;&gt;"",ISNUMBER(SEARCH(TargetLocation,$AA76)))),1,0))</f>
        <v>0</v>
      </c>
      <c r="AE76" s="214">
        <f>IF($B76="",0,IF(AND(OR(SelRecruiter="All",$C76=SelRecruiter),OR(SelCity="All",$H76=SelCity),OR(SelStage="All",$I76=SelStage),OR(SelRequisition="All",$F76=SelRequisition)),1,0))</f>
        <v>0</v>
      </c>
      <c r="AF76" s="214">
        <f>IF($B76="","",COUNT($AF$5:AF75)+1)</f>
      </c>
      <c r="AG76" s="214">
        <f>IF($C76="","",IF(COUNTIF($C$6:$C76,$C76)=1,COUNT($AG$5:AG75)+1,""))</f>
      </c>
      <c r="AH76" s="214">
        <f>IF($F76="","",IF(COUNTIF($F$6:$F76,$F76)=1,COUNT($AH$5:AH75)+1,""))</f>
      </c>
      <c r="AI76" s="214">
        <f>IF($H76="","",IF(COUNTIF($H$6:$H76,$H76)=1,COUNT($AI$5:AI75)+1,""))</f>
      </c>
      <c r="AJ76" s="214">
        <f>IF(OR($B76="",$J76=0),"",$J76*100000000+IF(ISNUMBER($D76),$D76,0)*1000+(170-$A76))</f>
      </c>
      <c r="AK76" s="214">
        <f>IF(OR($B76="",$W76&lt;=0),"",ROUND($W76*10,0)*100000+(170-$A76))</f>
      </c>
      <c r="AL76" s="214">
        <f>IF(OR($B76="",$P76&lt;=0),"",ROUND($P76*10000,0)*1000+(170-$A76))</f>
      </c>
      <c r="AM76" s="214">
        <f>IF(AND($W76&gt;0,$O76&gt;0),COUNT($AM$5:AM75)+1,"")</f>
      </c>
      <c r="AN76">
        <f>IF($B76="",0,IF($G76="",0,SUMPRODUCT(MAX(ISNUMBER(SEARCH(LocPattern,$G76))*LocIdx))))</f>
        <v>0</v>
      </c>
      <c r="BL76">
        <f>IFERROR(INDEX($B$6:$B$125,MATCH(71,$AF$6:$AF$125,0)),"")</f>
      </c>
    </row>
    <row r="77">
      <c r="A77" s="220" t="n">
        <v>72</v>
      </c>
      <c r="B77" s="220">
        <f>IF(TRIM('Master Data-2026'!D73)="","",TRIM('Master Data-2026'!D73))</f>
      </c>
      <c r="C77" s="220">
        <f>IF($B77="","",TRIM('Master Data-2026'!A73))</f>
      </c>
      <c r="D77" s="221">
        <f>IF($B77="","",IF('Master Data-2026'!B73="","",'Master Data-2026'!B73))</f>
      </c>
      <c r="E77" s="220">
        <f>IF($B77="","",TRIM('Master Data-2026'!C73))</f>
      </c>
      <c r="F77" s="220">
        <f>IF($B77="","",TRIM('Master Data-2026'!G73))</f>
      </c>
      <c r="G77" s="220">
        <f>IF($B77="","",TRIM('Master Data-2026'!F73))</f>
      </c>
      <c r="H77" s="220">
        <f>IF($B77="","",IF($G77="","Not recorded",IF($AN77=0,"Other",INDEX(LocCity,$AN77))))</f>
      </c>
      <c r="I77" s="220">
        <f>IF($B77="","",TRIM('Master Data-2026'!H73))</f>
      </c>
      <c r="J77" s="220">
        <f>IF($B77="",0,IFERROR(INDEX(StageOrderRef,MATCH($I77,StageNameRef,0)),0))</f>
        <v>0</v>
      </c>
      <c r="K77" s="220">
        <f>IF($B77="","",TRIM('Master Data-2026'!I73))</f>
      </c>
      <c r="L77" s="220">
        <f>IF($B77="","",TRIM('Master Data-2026'!J73))</f>
      </c>
      <c r="M77" s="222">
        <f>IF($L77="",0,IF(ISNUMBER(SEARCH("%",$L77)),0,IFERROR(VALUE(LEFT($L77,IF(NOT(OR(AND(MID($L77,1,1)&gt;="0",MID($L77,1,1)&lt;="9"),MID($L77,1,1)=".")),0,IF(NOT(OR(AND(MID($L77,2,1)&gt;="0",MID($L77,2,1)&lt;="9"),MID($L77,2,1)=".")),1,IF(NOT(OR(AND(MID($L77,3,1)&gt;="0",MID($L77,3,1)&lt;="9"),MID($L77,3,1)=".")),2,IF(NOT(OR(AND(MID($L77,4,1)&gt;="0",MID($L77,4,1)&lt;="9"),MID($L77,4,1)=".")),3,IF(NOT(OR(AND(MID($L77,5,1)&gt;="0",MID($L77,5,1)&lt;="9"),MID($L77,5,1)=".")),4,IF(NOT(OR(AND(MID($L77,6,1)&gt;="0",MID($L77,6,1)&lt;="9"),MID($L77,6,1)=".")),5,6)))))))),0)))</f>
        <v>0</v>
      </c>
      <c r="N77" s="220">
        <f>IF($B77="","",TRIM('Master Data-2026'!K73))</f>
      </c>
      <c r="O77" s="222">
        <f>IF($N77="",0,IF(ISNUMBER(SEARCH("%",$N77)),0,IFERROR(VALUE(LEFT($N77,IF(NOT(OR(AND(MID($N77,1,1)&gt;="0",MID($N77,1,1)&lt;="9"),MID($N77,1,1)=".")),0,IF(NOT(OR(AND(MID($N77,2,1)&gt;="0",MID($N77,2,1)&lt;="9"),MID($N77,2,1)=".")),1,IF(NOT(OR(AND(MID($N77,3,1)&gt;="0",MID($N77,3,1)&lt;="9"),MID($N77,3,1)=".")),2,IF(NOT(OR(AND(MID($N77,4,1)&gt;="0",MID($N77,4,1)&lt;="9"),MID($N77,4,1)=".")),3,IF(NOT(OR(AND(MID($N77,5,1)&gt;="0",MID($N77,5,1)&lt;="9"),MID($N77,5,1)=".")),4,IF(NOT(OR(AND(MID($N77,6,1)&gt;="0",MID($N77,6,1)&lt;="9"),MID($N77,6,1)=".")),5,6)))))))),0)))</f>
        <v>0</v>
      </c>
      <c r="P77" s="223">
        <f>IF(AND($M77&gt;0,$O77&gt;0),$O77/$M77-1,0)</f>
        <v>0</v>
      </c>
      <c r="Q77" s="220">
        <f>IF($B77="","",TRIM('Master Data-2026'!L73))</f>
      </c>
      <c r="R77" s="220">
        <f>IF($Q77="",0,IF(ISNUMBER(SEARCH("%",$Q77)),0,IFERROR(VALUE(LEFT($Q77,IF(NOT(OR(AND(MID($Q77,1,1)&gt;="0",MID($Q77,1,1)&lt;="9"),MID($Q77,1,1)=".")),0,IF(NOT(OR(AND(MID($Q77,2,1)&gt;="0",MID($Q77,2,1)&lt;="9"),MID($Q77,2,1)=".")),1,IF(NOT(OR(AND(MID($Q77,3,1)&gt;="0",MID($Q77,3,1)&lt;="9"),MID($Q77,3,1)=".")),2,IF(NOT(OR(AND(MID($Q77,4,1)&gt;="0",MID($Q77,4,1)&lt;="9"),MID($Q77,4,1)=".")),3,IF(NOT(OR(AND(MID($Q77,5,1)&gt;="0",MID($Q77,5,1)&lt;="9"),MID($Q77,5,1)=".")),4,IF(NOT(OR(AND(MID($Q77,6,1)&gt;="0",MID($Q77,6,1)&lt;="9"),MID($Q77,6,1)=".")),5,6)))))))),0)))</f>
        <v>0</v>
      </c>
      <c r="S77" s="224">
        <f>IF($Q77="",-1,IF(ISNUMBER(SEARCH("immediate",$Q77)),0,IF(ISNUMBER(SEARCH("month",$Q77)),IF($R77=0,-1,$R77*30),IF(ISNUMBER(SEARCH("day",$Q77)),IF($R77=0,-1,$R77),-1))))</f>
        <v>-1</v>
      </c>
      <c r="T77" s="220">
        <f>IF($B77="","",IF($S77&lt;0,"Not recorded",IF($S77=0,"Immediate",IF($S77&lt;=30,"1-30 days",IF($S77&lt;=60,"31-60 days","60+ days")))))</f>
      </c>
      <c r="U77" s="220">
        <f>IF($B77="","",IFERROR(MATCH($B77,'Submission template'!$D$17:$D$300,0),""))</f>
      </c>
      <c r="V77" s="220">
        <f>IF($U77="","",IFERROR(TRIM(INDEX('Submission template'!$I$17:$I$300,$U77)),""))</f>
      </c>
      <c r="W77" s="225">
        <f>IF($V77="",0,IF(ISNUMBER(SEARCH("%",$V77)),0,IFERROR(VALUE(LEFT($V77,IF(NOT(OR(AND(MID($V77,1,1)&gt;="0",MID($V77,1,1)&lt;="9"),MID($V77,1,1)=".")),0,IF(NOT(OR(AND(MID($V77,2,1)&gt;="0",MID($V77,2,1)&lt;="9"),MID($V77,2,1)=".")),1,IF(NOT(OR(AND(MID($V77,3,1)&gt;="0",MID($V77,3,1)&lt;="9"),MID($V77,3,1)=".")),2,IF(NOT(OR(AND(MID($V77,4,1)&gt;="0",MID($V77,4,1)&lt;="9"),MID($V77,4,1)=".")),3,IF(NOT(OR(AND(MID($V77,5,1)&gt;="0",MID($V77,5,1)&lt;="9"),MID($V77,5,1)=".")),4,IF(NOT(OR(AND(MID($V77,6,1)&gt;="0",MID($V77,6,1)&lt;="9"),MID($V77,6,1)=".")),5,6)))))))),0)))</f>
        <v>0</v>
      </c>
      <c r="X77" s="220">
        <f>IF($U77="","",IFERROR(TRIM(INDEX('Submission template'!$J$17:$J$300,$U77)),""))</f>
      </c>
      <c r="Y77" s="220">
        <f>IF($U77="","",IFERROR(TRIM(INDEX('Submission template'!$K$17:$K$300,$U77)),""))</f>
      </c>
      <c r="Z77" s="220">
        <f>IF($U77="","",IFERROR(TRIM(INDEX('Submission template'!$M$17:$M$300,$U77)),""))</f>
      </c>
      <c r="AA77" s="220">
        <f>IF($U77="","",IFERROR(TRIM(INDEX('Submission template'!$O$17:$O$300,$U77)),""))</f>
      </c>
      <c r="AB77" s="220">
        <f>IF($U77="","",IFERROR(TRIM(INDEX('Submission template'!$S$17:$S$300,$U77)),""))</f>
      </c>
      <c r="AC77" s="220">
        <f>IF($B77="",0,IF($U77="",0,1))</f>
        <v>0</v>
      </c>
      <c r="AD77" s="220">
        <f>IF($B77="",0,IF(OR($H77=TargetLocation,AND($AA77&lt;&gt;"",ISNUMBER(SEARCH(TargetLocation,$AA77)))),1,0))</f>
        <v>0</v>
      </c>
      <c r="AE77" s="220">
        <f>IF($B77="",0,IF(AND(OR(SelRecruiter="All",$C77=SelRecruiter),OR(SelCity="All",$H77=SelCity),OR(SelStage="All",$I77=SelStage),OR(SelRequisition="All",$F77=SelRequisition)),1,0))</f>
        <v>0</v>
      </c>
      <c r="AF77" s="220">
        <f>IF($B77="","",COUNT($AF$5:AF76)+1)</f>
      </c>
      <c r="AG77" s="220">
        <f>IF($C77="","",IF(COUNTIF($C$6:$C77,$C77)=1,COUNT($AG$5:AG76)+1,""))</f>
      </c>
      <c r="AH77" s="220">
        <f>IF($F77="","",IF(COUNTIF($F$6:$F77,$F77)=1,COUNT($AH$5:AH76)+1,""))</f>
      </c>
      <c r="AI77" s="220">
        <f>IF($H77="","",IF(COUNTIF($H$6:$H77,$H77)=1,COUNT($AI$5:AI76)+1,""))</f>
      </c>
      <c r="AJ77" s="220">
        <f>IF(OR($B77="",$J77=0),"",$J77*100000000+IF(ISNUMBER($D77),$D77,0)*1000+(170-$A77))</f>
      </c>
      <c r="AK77" s="220">
        <f>IF(OR($B77="",$W77&lt;=0),"",ROUND($W77*10,0)*100000+(170-$A77))</f>
      </c>
      <c r="AL77" s="220">
        <f>IF(OR($B77="",$P77&lt;=0),"",ROUND($P77*10000,0)*1000+(170-$A77))</f>
      </c>
      <c r="AM77" s="220">
        <f>IF(AND($W77&gt;0,$O77&gt;0),COUNT($AM$5:AM76)+1,"")</f>
      </c>
      <c r="AN77">
        <f>IF($B77="",0,IF($G77="",0,SUMPRODUCT(MAX(ISNUMBER(SEARCH(LocPattern,$G77))*LocIdx))))</f>
        <v>0</v>
      </c>
      <c r="BL77">
        <f>IFERROR(INDEX($B$6:$B$125,MATCH(72,$AF$6:$AF$125,0)),"")</f>
      </c>
    </row>
    <row r="78">
      <c r="A78" s="214" t="n">
        <v>73</v>
      </c>
      <c r="B78" s="214">
        <f>IF(TRIM('Master Data-2026'!D74)="","",TRIM('Master Data-2026'!D74))</f>
      </c>
      <c r="C78" s="214">
        <f>IF($B78="","",TRIM('Master Data-2026'!A74))</f>
      </c>
      <c r="D78" s="215">
        <f>IF($B78="","",IF('Master Data-2026'!B74="","",'Master Data-2026'!B74))</f>
      </c>
      <c r="E78" s="214">
        <f>IF($B78="","",TRIM('Master Data-2026'!C74))</f>
      </c>
      <c r="F78" s="214">
        <f>IF($B78="","",TRIM('Master Data-2026'!G74))</f>
      </c>
      <c r="G78" s="214">
        <f>IF($B78="","",TRIM('Master Data-2026'!F74))</f>
      </c>
      <c r="H78" s="214">
        <f>IF($B78="","",IF($G78="","Not recorded",IF($AN78=0,"Other",INDEX(LocCity,$AN78))))</f>
      </c>
      <c r="I78" s="214">
        <f>IF($B78="","",TRIM('Master Data-2026'!H74))</f>
      </c>
      <c r="J78" s="214">
        <f>IF($B78="",0,IFERROR(INDEX(StageOrderRef,MATCH($I78,StageNameRef,0)),0))</f>
        <v>0</v>
      </c>
      <c r="K78" s="214">
        <f>IF($B78="","",TRIM('Master Data-2026'!I74))</f>
      </c>
      <c r="L78" s="214">
        <f>IF($B78="","",TRIM('Master Data-2026'!J74))</f>
      </c>
      <c r="M78" s="216">
        <f>IF($L78="",0,IF(ISNUMBER(SEARCH("%",$L78)),0,IFERROR(VALUE(LEFT($L78,IF(NOT(OR(AND(MID($L78,1,1)&gt;="0",MID($L78,1,1)&lt;="9"),MID($L78,1,1)=".")),0,IF(NOT(OR(AND(MID($L78,2,1)&gt;="0",MID($L78,2,1)&lt;="9"),MID($L78,2,1)=".")),1,IF(NOT(OR(AND(MID($L78,3,1)&gt;="0",MID($L78,3,1)&lt;="9"),MID($L78,3,1)=".")),2,IF(NOT(OR(AND(MID($L78,4,1)&gt;="0",MID($L78,4,1)&lt;="9"),MID($L78,4,1)=".")),3,IF(NOT(OR(AND(MID($L78,5,1)&gt;="0",MID($L78,5,1)&lt;="9"),MID($L78,5,1)=".")),4,IF(NOT(OR(AND(MID($L78,6,1)&gt;="0",MID($L78,6,1)&lt;="9"),MID($L78,6,1)=".")),5,6)))))))),0)))</f>
        <v>0</v>
      </c>
      <c r="N78" s="214">
        <f>IF($B78="","",TRIM('Master Data-2026'!K74))</f>
      </c>
      <c r="O78" s="216">
        <f>IF($N78="",0,IF(ISNUMBER(SEARCH("%",$N78)),0,IFERROR(VALUE(LEFT($N78,IF(NOT(OR(AND(MID($N78,1,1)&gt;="0",MID($N78,1,1)&lt;="9"),MID($N78,1,1)=".")),0,IF(NOT(OR(AND(MID($N78,2,1)&gt;="0",MID($N78,2,1)&lt;="9"),MID($N78,2,1)=".")),1,IF(NOT(OR(AND(MID($N78,3,1)&gt;="0",MID($N78,3,1)&lt;="9"),MID($N78,3,1)=".")),2,IF(NOT(OR(AND(MID($N78,4,1)&gt;="0",MID($N78,4,1)&lt;="9"),MID($N78,4,1)=".")),3,IF(NOT(OR(AND(MID($N78,5,1)&gt;="0",MID($N78,5,1)&lt;="9"),MID($N78,5,1)=".")),4,IF(NOT(OR(AND(MID($N78,6,1)&gt;="0",MID($N78,6,1)&lt;="9"),MID($N78,6,1)=".")),5,6)))))))),0)))</f>
        <v>0</v>
      </c>
      <c r="P78" s="217">
        <f>IF(AND($M78&gt;0,$O78&gt;0),$O78/$M78-1,0)</f>
        <v>0</v>
      </c>
      <c r="Q78" s="214">
        <f>IF($B78="","",TRIM('Master Data-2026'!L74))</f>
      </c>
      <c r="R78" s="214">
        <f>IF($Q78="",0,IF(ISNUMBER(SEARCH("%",$Q78)),0,IFERROR(VALUE(LEFT($Q78,IF(NOT(OR(AND(MID($Q78,1,1)&gt;="0",MID($Q78,1,1)&lt;="9"),MID($Q78,1,1)=".")),0,IF(NOT(OR(AND(MID($Q78,2,1)&gt;="0",MID($Q78,2,1)&lt;="9"),MID($Q78,2,1)=".")),1,IF(NOT(OR(AND(MID($Q78,3,1)&gt;="0",MID($Q78,3,1)&lt;="9"),MID($Q78,3,1)=".")),2,IF(NOT(OR(AND(MID($Q78,4,1)&gt;="0",MID($Q78,4,1)&lt;="9"),MID($Q78,4,1)=".")),3,IF(NOT(OR(AND(MID($Q78,5,1)&gt;="0",MID($Q78,5,1)&lt;="9"),MID($Q78,5,1)=".")),4,IF(NOT(OR(AND(MID($Q78,6,1)&gt;="0",MID($Q78,6,1)&lt;="9"),MID($Q78,6,1)=".")),5,6)))))))),0)))</f>
        <v>0</v>
      </c>
      <c r="S78" s="218">
        <f>IF($Q78="",-1,IF(ISNUMBER(SEARCH("immediate",$Q78)),0,IF(ISNUMBER(SEARCH("month",$Q78)),IF($R78=0,-1,$R78*30),IF(ISNUMBER(SEARCH("day",$Q78)),IF($R78=0,-1,$R78),-1))))</f>
        <v>-1</v>
      </c>
      <c r="T78" s="214">
        <f>IF($B78="","",IF($S78&lt;0,"Not recorded",IF($S78=0,"Immediate",IF($S78&lt;=30,"1-30 days",IF($S78&lt;=60,"31-60 days","60+ days")))))</f>
      </c>
      <c r="U78" s="214">
        <f>IF($B78="","",IFERROR(MATCH($B78,'Submission template'!$D$17:$D$300,0),""))</f>
      </c>
      <c r="V78" s="214">
        <f>IF($U78="","",IFERROR(TRIM(INDEX('Submission template'!$I$17:$I$300,$U78)),""))</f>
      </c>
      <c r="W78" s="219">
        <f>IF($V78="",0,IF(ISNUMBER(SEARCH("%",$V78)),0,IFERROR(VALUE(LEFT($V78,IF(NOT(OR(AND(MID($V78,1,1)&gt;="0",MID($V78,1,1)&lt;="9"),MID($V78,1,1)=".")),0,IF(NOT(OR(AND(MID($V78,2,1)&gt;="0",MID($V78,2,1)&lt;="9"),MID($V78,2,1)=".")),1,IF(NOT(OR(AND(MID($V78,3,1)&gt;="0",MID($V78,3,1)&lt;="9"),MID($V78,3,1)=".")),2,IF(NOT(OR(AND(MID($V78,4,1)&gt;="0",MID($V78,4,1)&lt;="9"),MID($V78,4,1)=".")),3,IF(NOT(OR(AND(MID($V78,5,1)&gt;="0",MID($V78,5,1)&lt;="9"),MID($V78,5,1)=".")),4,IF(NOT(OR(AND(MID($V78,6,1)&gt;="0",MID($V78,6,1)&lt;="9"),MID($V78,6,1)=".")),5,6)))))))),0)))</f>
        <v>0</v>
      </c>
      <c r="X78" s="214">
        <f>IF($U78="","",IFERROR(TRIM(INDEX('Submission template'!$J$17:$J$300,$U78)),""))</f>
      </c>
      <c r="Y78" s="214">
        <f>IF($U78="","",IFERROR(TRIM(INDEX('Submission template'!$K$17:$K$300,$U78)),""))</f>
      </c>
      <c r="Z78" s="214">
        <f>IF($U78="","",IFERROR(TRIM(INDEX('Submission template'!$M$17:$M$300,$U78)),""))</f>
      </c>
      <c r="AA78" s="214">
        <f>IF($U78="","",IFERROR(TRIM(INDEX('Submission template'!$O$17:$O$300,$U78)),""))</f>
      </c>
      <c r="AB78" s="214">
        <f>IF($U78="","",IFERROR(TRIM(INDEX('Submission template'!$S$17:$S$300,$U78)),""))</f>
      </c>
      <c r="AC78" s="214">
        <f>IF($B78="",0,IF($U78="",0,1))</f>
        <v>0</v>
      </c>
      <c r="AD78" s="214">
        <f>IF($B78="",0,IF(OR($H78=TargetLocation,AND($AA78&lt;&gt;"",ISNUMBER(SEARCH(TargetLocation,$AA78)))),1,0))</f>
        <v>0</v>
      </c>
      <c r="AE78" s="214">
        <f>IF($B78="",0,IF(AND(OR(SelRecruiter="All",$C78=SelRecruiter),OR(SelCity="All",$H78=SelCity),OR(SelStage="All",$I78=SelStage),OR(SelRequisition="All",$F78=SelRequisition)),1,0))</f>
        <v>0</v>
      </c>
      <c r="AF78" s="214">
        <f>IF($B78="","",COUNT($AF$5:AF77)+1)</f>
      </c>
      <c r="AG78" s="214">
        <f>IF($C78="","",IF(COUNTIF($C$6:$C78,$C78)=1,COUNT($AG$5:AG77)+1,""))</f>
      </c>
      <c r="AH78" s="214">
        <f>IF($F78="","",IF(COUNTIF($F$6:$F78,$F78)=1,COUNT($AH$5:AH77)+1,""))</f>
      </c>
      <c r="AI78" s="214">
        <f>IF($H78="","",IF(COUNTIF($H$6:$H78,$H78)=1,COUNT($AI$5:AI77)+1,""))</f>
      </c>
      <c r="AJ78" s="214">
        <f>IF(OR($B78="",$J78=0),"",$J78*100000000+IF(ISNUMBER($D78),$D78,0)*1000+(170-$A78))</f>
      </c>
      <c r="AK78" s="214">
        <f>IF(OR($B78="",$W78&lt;=0),"",ROUND($W78*10,0)*100000+(170-$A78))</f>
      </c>
      <c r="AL78" s="214">
        <f>IF(OR($B78="",$P78&lt;=0),"",ROUND($P78*10000,0)*1000+(170-$A78))</f>
      </c>
      <c r="AM78" s="214">
        <f>IF(AND($W78&gt;0,$O78&gt;0),COUNT($AM$5:AM77)+1,"")</f>
      </c>
      <c r="AN78">
        <f>IF($B78="",0,IF($G78="",0,SUMPRODUCT(MAX(ISNUMBER(SEARCH(LocPattern,$G78))*LocIdx))))</f>
        <v>0</v>
      </c>
      <c r="BL78">
        <f>IFERROR(INDEX($B$6:$B$125,MATCH(73,$AF$6:$AF$125,0)),"")</f>
      </c>
    </row>
    <row r="79">
      <c r="A79" s="220" t="n">
        <v>74</v>
      </c>
      <c r="B79" s="220">
        <f>IF(TRIM('Master Data-2026'!D75)="","",TRIM('Master Data-2026'!D75))</f>
      </c>
      <c r="C79" s="220">
        <f>IF($B79="","",TRIM('Master Data-2026'!A75))</f>
      </c>
      <c r="D79" s="221">
        <f>IF($B79="","",IF('Master Data-2026'!B75="","",'Master Data-2026'!B75))</f>
      </c>
      <c r="E79" s="220">
        <f>IF($B79="","",TRIM('Master Data-2026'!C75))</f>
      </c>
      <c r="F79" s="220">
        <f>IF($B79="","",TRIM('Master Data-2026'!G75))</f>
      </c>
      <c r="G79" s="220">
        <f>IF($B79="","",TRIM('Master Data-2026'!F75))</f>
      </c>
      <c r="H79" s="220">
        <f>IF($B79="","",IF($G79="","Not recorded",IF($AN79=0,"Other",INDEX(LocCity,$AN79))))</f>
      </c>
      <c r="I79" s="220">
        <f>IF($B79="","",TRIM('Master Data-2026'!H75))</f>
      </c>
      <c r="J79" s="220">
        <f>IF($B79="",0,IFERROR(INDEX(StageOrderRef,MATCH($I79,StageNameRef,0)),0))</f>
        <v>0</v>
      </c>
      <c r="K79" s="220">
        <f>IF($B79="","",TRIM('Master Data-2026'!I75))</f>
      </c>
      <c r="L79" s="220">
        <f>IF($B79="","",TRIM('Master Data-2026'!J75))</f>
      </c>
      <c r="M79" s="222">
        <f>IF($L79="",0,IF(ISNUMBER(SEARCH("%",$L79)),0,IFERROR(VALUE(LEFT($L79,IF(NOT(OR(AND(MID($L79,1,1)&gt;="0",MID($L79,1,1)&lt;="9"),MID($L79,1,1)=".")),0,IF(NOT(OR(AND(MID($L79,2,1)&gt;="0",MID($L79,2,1)&lt;="9"),MID($L79,2,1)=".")),1,IF(NOT(OR(AND(MID($L79,3,1)&gt;="0",MID($L79,3,1)&lt;="9"),MID($L79,3,1)=".")),2,IF(NOT(OR(AND(MID($L79,4,1)&gt;="0",MID($L79,4,1)&lt;="9"),MID($L79,4,1)=".")),3,IF(NOT(OR(AND(MID($L79,5,1)&gt;="0",MID($L79,5,1)&lt;="9"),MID($L79,5,1)=".")),4,IF(NOT(OR(AND(MID($L79,6,1)&gt;="0",MID($L79,6,1)&lt;="9"),MID($L79,6,1)=".")),5,6)))))))),0)))</f>
        <v>0</v>
      </c>
      <c r="N79" s="220">
        <f>IF($B79="","",TRIM('Master Data-2026'!K75))</f>
      </c>
      <c r="O79" s="222">
        <f>IF($N79="",0,IF(ISNUMBER(SEARCH("%",$N79)),0,IFERROR(VALUE(LEFT($N79,IF(NOT(OR(AND(MID($N79,1,1)&gt;="0",MID($N79,1,1)&lt;="9"),MID($N79,1,1)=".")),0,IF(NOT(OR(AND(MID($N79,2,1)&gt;="0",MID($N79,2,1)&lt;="9"),MID($N79,2,1)=".")),1,IF(NOT(OR(AND(MID($N79,3,1)&gt;="0",MID($N79,3,1)&lt;="9"),MID($N79,3,1)=".")),2,IF(NOT(OR(AND(MID($N79,4,1)&gt;="0",MID($N79,4,1)&lt;="9"),MID($N79,4,1)=".")),3,IF(NOT(OR(AND(MID($N79,5,1)&gt;="0",MID($N79,5,1)&lt;="9"),MID($N79,5,1)=".")),4,IF(NOT(OR(AND(MID($N79,6,1)&gt;="0",MID($N79,6,1)&lt;="9"),MID($N79,6,1)=".")),5,6)))))))),0)))</f>
        <v>0</v>
      </c>
      <c r="P79" s="223">
        <f>IF(AND($M79&gt;0,$O79&gt;0),$O79/$M79-1,0)</f>
        <v>0</v>
      </c>
      <c r="Q79" s="220">
        <f>IF($B79="","",TRIM('Master Data-2026'!L75))</f>
      </c>
      <c r="R79" s="220">
        <f>IF($Q79="",0,IF(ISNUMBER(SEARCH("%",$Q79)),0,IFERROR(VALUE(LEFT($Q79,IF(NOT(OR(AND(MID($Q79,1,1)&gt;="0",MID($Q79,1,1)&lt;="9"),MID($Q79,1,1)=".")),0,IF(NOT(OR(AND(MID($Q79,2,1)&gt;="0",MID($Q79,2,1)&lt;="9"),MID($Q79,2,1)=".")),1,IF(NOT(OR(AND(MID($Q79,3,1)&gt;="0",MID($Q79,3,1)&lt;="9"),MID($Q79,3,1)=".")),2,IF(NOT(OR(AND(MID($Q79,4,1)&gt;="0",MID($Q79,4,1)&lt;="9"),MID($Q79,4,1)=".")),3,IF(NOT(OR(AND(MID($Q79,5,1)&gt;="0",MID($Q79,5,1)&lt;="9"),MID($Q79,5,1)=".")),4,IF(NOT(OR(AND(MID($Q79,6,1)&gt;="0",MID($Q79,6,1)&lt;="9"),MID($Q79,6,1)=".")),5,6)))))))),0)))</f>
        <v>0</v>
      </c>
      <c r="S79" s="224">
        <f>IF($Q79="",-1,IF(ISNUMBER(SEARCH("immediate",$Q79)),0,IF(ISNUMBER(SEARCH("month",$Q79)),IF($R79=0,-1,$R79*30),IF(ISNUMBER(SEARCH("day",$Q79)),IF($R79=0,-1,$R79),-1))))</f>
        <v>-1</v>
      </c>
      <c r="T79" s="220">
        <f>IF($B79="","",IF($S79&lt;0,"Not recorded",IF($S79=0,"Immediate",IF($S79&lt;=30,"1-30 days",IF($S79&lt;=60,"31-60 days","60+ days")))))</f>
      </c>
      <c r="U79" s="220">
        <f>IF($B79="","",IFERROR(MATCH($B79,'Submission template'!$D$17:$D$300,0),""))</f>
      </c>
      <c r="V79" s="220">
        <f>IF($U79="","",IFERROR(TRIM(INDEX('Submission template'!$I$17:$I$300,$U79)),""))</f>
      </c>
      <c r="W79" s="225">
        <f>IF($V79="",0,IF(ISNUMBER(SEARCH("%",$V79)),0,IFERROR(VALUE(LEFT($V79,IF(NOT(OR(AND(MID($V79,1,1)&gt;="0",MID($V79,1,1)&lt;="9"),MID($V79,1,1)=".")),0,IF(NOT(OR(AND(MID($V79,2,1)&gt;="0",MID($V79,2,1)&lt;="9"),MID($V79,2,1)=".")),1,IF(NOT(OR(AND(MID($V79,3,1)&gt;="0",MID($V79,3,1)&lt;="9"),MID($V79,3,1)=".")),2,IF(NOT(OR(AND(MID($V79,4,1)&gt;="0",MID($V79,4,1)&lt;="9"),MID($V79,4,1)=".")),3,IF(NOT(OR(AND(MID($V79,5,1)&gt;="0",MID($V79,5,1)&lt;="9"),MID($V79,5,1)=".")),4,IF(NOT(OR(AND(MID($V79,6,1)&gt;="0",MID($V79,6,1)&lt;="9"),MID($V79,6,1)=".")),5,6)))))))),0)))</f>
        <v>0</v>
      </c>
      <c r="X79" s="220">
        <f>IF($U79="","",IFERROR(TRIM(INDEX('Submission template'!$J$17:$J$300,$U79)),""))</f>
      </c>
      <c r="Y79" s="220">
        <f>IF($U79="","",IFERROR(TRIM(INDEX('Submission template'!$K$17:$K$300,$U79)),""))</f>
      </c>
      <c r="Z79" s="220">
        <f>IF($U79="","",IFERROR(TRIM(INDEX('Submission template'!$M$17:$M$300,$U79)),""))</f>
      </c>
      <c r="AA79" s="220">
        <f>IF($U79="","",IFERROR(TRIM(INDEX('Submission template'!$O$17:$O$300,$U79)),""))</f>
      </c>
      <c r="AB79" s="220">
        <f>IF($U79="","",IFERROR(TRIM(INDEX('Submission template'!$S$17:$S$300,$U79)),""))</f>
      </c>
      <c r="AC79" s="220">
        <f>IF($B79="",0,IF($U79="",0,1))</f>
        <v>0</v>
      </c>
      <c r="AD79" s="220">
        <f>IF($B79="",0,IF(OR($H79=TargetLocation,AND($AA79&lt;&gt;"",ISNUMBER(SEARCH(TargetLocation,$AA79)))),1,0))</f>
        <v>0</v>
      </c>
      <c r="AE79" s="220">
        <f>IF($B79="",0,IF(AND(OR(SelRecruiter="All",$C79=SelRecruiter),OR(SelCity="All",$H79=SelCity),OR(SelStage="All",$I79=SelStage),OR(SelRequisition="All",$F79=SelRequisition)),1,0))</f>
        <v>0</v>
      </c>
      <c r="AF79" s="220">
        <f>IF($B79="","",COUNT($AF$5:AF78)+1)</f>
      </c>
      <c r="AG79" s="220">
        <f>IF($C79="","",IF(COUNTIF($C$6:$C79,$C79)=1,COUNT($AG$5:AG78)+1,""))</f>
      </c>
      <c r="AH79" s="220">
        <f>IF($F79="","",IF(COUNTIF($F$6:$F79,$F79)=1,COUNT($AH$5:AH78)+1,""))</f>
      </c>
      <c r="AI79" s="220">
        <f>IF($H79="","",IF(COUNTIF($H$6:$H79,$H79)=1,COUNT($AI$5:AI78)+1,""))</f>
      </c>
      <c r="AJ79" s="220">
        <f>IF(OR($B79="",$J79=0),"",$J79*100000000+IF(ISNUMBER($D79),$D79,0)*1000+(170-$A79))</f>
      </c>
      <c r="AK79" s="220">
        <f>IF(OR($B79="",$W79&lt;=0),"",ROUND($W79*10,0)*100000+(170-$A79))</f>
      </c>
      <c r="AL79" s="220">
        <f>IF(OR($B79="",$P79&lt;=0),"",ROUND($P79*10000,0)*1000+(170-$A79))</f>
      </c>
      <c r="AM79" s="220">
        <f>IF(AND($W79&gt;0,$O79&gt;0),COUNT($AM$5:AM78)+1,"")</f>
      </c>
      <c r="AN79">
        <f>IF($B79="",0,IF($G79="",0,SUMPRODUCT(MAX(ISNUMBER(SEARCH(LocPattern,$G79))*LocIdx))))</f>
        <v>0</v>
      </c>
      <c r="BL79">
        <f>IFERROR(INDEX($B$6:$B$125,MATCH(74,$AF$6:$AF$125,0)),"")</f>
      </c>
    </row>
    <row r="80">
      <c r="A80" s="214" t="n">
        <v>75</v>
      </c>
      <c r="B80" s="214">
        <f>IF(TRIM('Master Data-2026'!D76)="","",TRIM('Master Data-2026'!D76))</f>
      </c>
      <c r="C80" s="214">
        <f>IF($B80="","",TRIM('Master Data-2026'!A76))</f>
      </c>
      <c r="D80" s="215">
        <f>IF($B80="","",IF('Master Data-2026'!B76="","",'Master Data-2026'!B76))</f>
      </c>
      <c r="E80" s="214">
        <f>IF($B80="","",TRIM('Master Data-2026'!C76))</f>
      </c>
      <c r="F80" s="214">
        <f>IF($B80="","",TRIM('Master Data-2026'!G76))</f>
      </c>
      <c r="G80" s="214">
        <f>IF($B80="","",TRIM('Master Data-2026'!F76))</f>
      </c>
      <c r="H80" s="214">
        <f>IF($B80="","",IF($G80="","Not recorded",IF($AN80=0,"Other",INDEX(LocCity,$AN80))))</f>
      </c>
      <c r="I80" s="214">
        <f>IF($B80="","",TRIM('Master Data-2026'!H76))</f>
      </c>
      <c r="J80" s="214">
        <f>IF($B80="",0,IFERROR(INDEX(StageOrderRef,MATCH($I80,StageNameRef,0)),0))</f>
        <v>0</v>
      </c>
      <c r="K80" s="214">
        <f>IF($B80="","",TRIM('Master Data-2026'!I76))</f>
      </c>
      <c r="L80" s="214">
        <f>IF($B80="","",TRIM('Master Data-2026'!J76))</f>
      </c>
      <c r="M80" s="216">
        <f>IF($L80="",0,IF(ISNUMBER(SEARCH("%",$L80)),0,IFERROR(VALUE(LEFT($L80,IF(NOT(OR(AND(MID($L80,1,1)&gt;="0",MID($L80,1,1)&lt;="9"),MID($L80,1,1)=".")),0,IF(NOT(OR(AND(MID($L80,2,1)&gt;="0",MID($L80,2,1)&lt;="9"),MID($L80,2,1)=".")),1,IF(NOT(OR(AND(MID($L80,3,1)&gt;="0",MID($L80,3,1)&lt;="9"),MID($L80,3,1)=".")),2,IF(NOT(OR(AND(MID($L80,4,1)&gt;="0",MID($L80,4,1)&lt;="9"),MID($L80,4,1)=".")),3,IF(NOT(OR(AND(MID($L80,5,1)&gt;="0",MID($L80,5,1)&lt;="9"),MID($L80,5,1)=".")),4,IF(NOT(OR(AND(MID($L80,6,1)&gt;="0",MID($L80,6,1)&lt;="9"),MID($L80,6,1)=".")),5,6)))))))),0)))</f>
        <v>0</v>
      </c>
      <c r="N80" s="214">
        <f>IF($B80="","",TRIM('Master Data-2026'!K76))</f>
      </c>
      <c r="O80" s="216">
        <f>IF($N80="",0,IF(ISNUMBER(SEARCH("%",$N80)),0,IFERROR(VALUE(LEFT($N80,IF(NOT(OR(AND(MID($N80,1,1)&gt;="0",MID($N80,1,1)&lt;="9"),MID($N80,1,1)=".")),0,IF(NOT(OR(AND(MID($N80,2,1)&gt;="0",MID($N80,2,1)&lt;="9"),MID($N80,2,1)=".")),1,IF(NOT(OR(AND(MID($N80,3,1)&gt;="0",MID($N80,3,1)&lt;="9"),MID($N80,3,1)=".")),2,IF(NOT(OR(AND(MID($N80,4,1)&gt;="0",MID($N80,4,1)&lt;="9"),MID($N80,4,1)=".")),3,IF(NOT(OR(AND(MID($N80,5,1)&gt;="0",MID($N80,5,1)&lt;="9"),MID($N80,5,1)=".")),4,IF(NOT(OR(AND(MID($N80,6,1)&gt;="0",MID($N80,6,1)&lt;="9"),MID($N80,6,1)=".")),5,6)))))))),0)))</f>
        <v>0</v>
      </c>
      <c r="P80" s="217">
        <f>IF(AND($M80&gt;0,$O80&gt;0),$O80/$M80-1,0)</f>
        <v>0</v>
      </c>
      <c r="Q80" s="214">
        <f>IF($B80="","",TRIM('Master Data-2026'!L76))</f>
      </c>
      <c r="R80" s="214">
        <f>IF($Q80="",0,IF(ISNUMBER(SEARCH("%",$Q80)),0,IFERROR(VALUE(LEFT($Q80,IF(NOT(OR(AND(MID($Q80,1,1)&gt;="0",MID($Q80,1,1)&lt;="9"),MID($Q80,1,1)=".")),0,IF(NOT(OR(AND(MID($Q80,2,1)&gt;="0",MID($Q80,2,1)&lt;="9"),MID($Q80,2,1)=".")),1,IF(NOT(OR(AND(MID($Q80,3,1)&gt;="0",MID($Q80,3,1)&lt;="9"),MID($Q80,3,1)=".")),2,IF(NOT(OR(AND(MID($Q80,4,1)&gt;="0",MID($Q80,4,1)&lt;="9"),MID($Q80,4,1)=".")),3,IF(NOT(OR(AND(MID($Q80,5,1)&gt;="0",MID($Q80,5,1)&lt;="9"),MID($Q80,5,1)=".")),4,IF(NOT(OR(AND(MID($Q80,6,1)&gt;="0",MID($Q80,6,1)&lt;="9"),MID($Q80,6,1)=".")),5,6)))))))),0)))</f>
        <v>0</v>
      </c>
      <c r="S80" s="218">
        <f>IF($Q80="",-1,IF(ISNUMBER(SEARCH("immediate",$Q80)),0,IF(ISNUMBER(SEARCH("month",$Q80)),IF($R80=0,-1,$R80*30),IF(ISNUMBER(SEARCH("day",$Q80)),IF($R80=0,-1,$R80),-1))))</f>
        <v>-1</v>
      </c>
      <c r="T80" s="214">
        <f>IF($B80="","",IF($S80&lt;0,"Not recorded",IF($S80=0,"Immediate",IF($S80&lt;=30,"1-30 days",IF($S80&lt;=60,"31-60 days","60+ days")))))</f>
      </c>
      <c r="U80" s="214">
        <f>IF($B80="","",IFERROR(MATCH($B80,'Submission template'!$D$17:$D$300,0),""))</f>
      </c>
      <c r="V80" s="214">
        <f>IF($U80="","",IFERROR(TRIM(INDEX('Submission template'!$I$17:$I$300,$U80)),""))</f>
      </c>
      <c r="W80" s="219">
        <f>IF($V80="",0,IF(ISNUMBER(SEARCH("%",$V80)),0,IFERROR(VALUE(LEFT($V80,IF(NOT(OR(AND(MID($V80,1,1)&gt;="0",MID($V80,1,1)&lt;="9"),MID($V80,1,1)=".")),0,IF(NOT(OR(AND(MID($V80,2,1)&gt;="0",MID($V80,2,1)&lt;="9"),MID($V80,2,1)=".")),1,IF(NOT(OR(AND(MID($V80,3,1)&gt;="0",MID($V80,3,1)&lt;="9"),MID($V80,3,1)=".")),2,IF(NOT(OR(AND(MID($V80,4,1)&gt;="0",MID($V80,4,1)&lt;="9"),MID($V80,4,1)=".")),3,IF(NOT(OR(AND(MID($V80,5,1)&gt;="0",MID($V80,5,1)&lt;="9"),MID($V80,5,1)=".")),4,IF(NOT(OR(AND(MID($V80,6,1)&gt;="0",MID($V80,6,1)&lt;="9"),MID($V80,6,1)=".")),5,6)))))))),0)))</f>
        <v>0</v>
      </c>
      <c r="X80" s="214">
        <f>IF($U80="","",IFERROR(TRIM(INDEX('Submission template'!$J$17:$J$300,$U80)),""))</f>
      </c>
      <c r="Y80" s="214">
        <f>IF($U80="","",IFERROR(TRIM(INDEX('Submission template'!$K$17:$K$300,$U80)),""))</f>
      </c>
      <c r="Z80" s="214">
        <f>IF($U80="","",IFERROR(TRIM(INDEX('Submission template'!$M$17:$M$300,$U80)),""))</f>
      </c>
      <c r="AA80" s="214">
        <f>IF($U80="","",IFERROR(TRIM(INDEX('Submission template'!$O$17:$O$300,$U80)),""))</f>
      </c>
      <c r="AB80" s="214">
        <f>IF($U80="","",IFERROR(TRIM(INDEX('Submission template'!$S$17:$S$300,$U80)),""))</f>
      </c>
      <c r="AC80" s="214">
        <f>IF($B80="",0,IF($U80="",0,1))</f>
        <v>0</v>
      </c>
      <c r="AD80" s="214">
        <f>IF($B80="",0,IF(OR($H80=TargetLocation,AND($AA80&lt;&gt;"",ISNUMBER(SEARCH(TargetLocation,$AA80)))),1,0))</f>
        <v>0</v>
      </c>
      <c r="AE80" s="214">
        <f>IF($B80="",0,IF(AND(OR(SelRecruiter="All",$C80=SelRecruiter),OR(SelCity="All",$H80=SelCity),OR(SelStage="All",$I80=SelStage),OR(SelRequisition="All",$F80=SelRequisition)),1,0))</f>
        <v>0</v>
      </c>
      <c r="AF80" s="214">
        <f>IF($B80="","",COUNT($AF$5:AF79)+1)</f>
      </c>
      <c r="AG80" s="214">
        <f>IF($C80="","",IF(COUNTIF($C$6:$C80,$C80)=1,COUNT($AG$5:AG79)+1,""))</f>
      </c>
      <c r="AH80" s="214">
        <f>IF($F80="","",IF(COUNTIF($F$6:$F80,$F80)=1,COUNT($AH$5:AH79)+1,""))</f>
      </c>
      <c r="AI80" s="214">
        <f>IF($H80="","",IF(COUNTIF($H$6:$H80,$H80)=1,COUNT($AI$5:AI79)+1,""))</f>
      </c>
      <c r="AJ80" s="214">
        <f>IF(OR($B80="",$J80=0),"",$J80*100000000+IF(ISNUMBER($D80),$D80,0)*1000+(170-$A80))</f>
      </c>
      <c r="AK80" s="214">
        <f>IF(OR($B80="",$W80&lt;=0),"",ROUND($W80*10,0)*100000+(170-$A80))</f>
      </c>
      <c r="AL80" s="214">
        <f>IF(OR($B80="",$P80&lt;=0),"",ROUND($P80*10000,0)*1000+(170-$A80))</f>
      </c>
      <c r="AM80" s="214">
        <f>IF(AND($W80&gt;0,$O80&gt;0),COUNT($AM$5:AM79)+1,"")</f>
      </c>
      <c r="AN80">
        <f>IF($B80="",0,IF($G80="",0,SUMPRODUCT(MAX(ISNUMBER(SEARCH(LocPattern,$G80))*LocIdx))))</f>
        <v>0</v>
      </c>
      <c r="BL80">
        <f>IFERROR(INDEX($B$6:$B$125,MATCH(75,$AF$6:$AF$125,0)),"")</f>
      </c>
    </row>
    <row r="81">
      <c r="A81" s="220" t="n">
        <v>76</v>
      </c>
      <c r="B81" s="220">
        <f>IF(TRIM('Master Data-2026'!D77)="","",TRIM('Master Data-2026'!D77))</f>
      </c>
      <c r="C81" s="220">
        <f>IF($B81="","",TRIM('Master Data-2026'!A77))</f>
      </c>
      <c r="D81" s="221">
        <f>IF($B81="","",IF('Master Data-2026'!B77="","",'Master Data-2026'!B77))</f>
      </c>
      <c r="E81" s="220">
        <f>IF($B81="","",TRIM('Master Data-2026'!C77))</f>
      </c>
      <c r="F81" s="220">
        <f>IF($B81="","",TRIM('Master Data-2026'!G77))</f>
      </c>
      <c r="G81" s="220">
        <f>IF($B81="","",TRIM('Master Data-2026'!F77))</f>
      </c>
      <c r="H81" s="220">
        <f>IF($B81="","",IF($G81="","Not recorded",IF($AN81=0,"Other",INDEX(LocCity,$AN81))))</f>
      </c>
      <c r="I81" s="220">
        <f>IF($B81="","",TRIM('Master Data-2026'!H77))</f>
      </c>
      <c r="J81" s="220">
        <f>IF($B81="",0,IFERROR(INDEX(StageOrderRef,MATCH($I81,StageNameRef,0)),0))</f>
        <v>0</v>
      </c>
      <c r="K81" s="220">
        <f>IF($B81="","",TRIM('Master Data-2026'!I77))</f>
      </c>
      <c r="L81" s="220">
        <f>IF($B81="","",TRIM('Master Data-2026'!J77))</f>
      </c>
      <c r="M81" s="222">
        <f>IF($L81="",0,IF(ISNUMBER(SEARCH("%",$L81)),0,IFERROR(VALUE(LEFT($L81,IF(NOT(OR(AND(MID($L81,1,1)&gt;="0",MID($L81,1,1)&lt;="9"),MID($L81,1,1)=".")),0,IF(NOT(OR(AND(MID($L81,2,1)&gt;="0",MID($L81,2,1)&lt;="9"),MID($L81,2,1)=".")),1,IF(NOT(OR(AND(MID($L81,3,1)&gt;="0",MID($L81,3,1)&lt;="9"),MID($L81,3,1)=".")),2,IF(NOT(OR(AND(MID($L81,4,1)&gt;="0",MID($L81,4,1)&lt;="9"),MID($L81,4,1)=".")),3,IF(NOT(OR(AND(MID($L81,5,1)&gt;="0",MID($L81,5,1)&lt;="9"),MID($L81,5,1)=".")),4,IF(NOT(OR(AND(MID($L81,6,1)&gt;="0",MID($L81,6,1)&lt;="9"),MID($L81,6,1)=".")),5,6)))))))),0)))</f>
        <v>0</v>
      </c>
      <c r="N81" s="220">
        <f>IF($B81="","",TRIM('Master Data-2026'!K77))</f>
      </c>
      <c r="O81" s="222">
        <f>IF($N81="",0,IF(ISNUMBER(SEARCH("%",$N81)),0,IFERROR(VALUE(LEFT($N81,IF(NOT(OR(AND(MID($N81,1,1)&gt;="0",MID($N81,1,1)&lt;="9"),MID($N81,1,1)=".")),0,IF(NOT(OR(AND(MID($N81,2,1)&gt;="0",MID($N81,2,1)&lt;="9"),MID($N81,2,1)=".")),1,IF(NOT(OR(AND(MID($N81,3,1)&gt;="0",MID($N81,3,1)&lt;="9"),MID($N81,3,1)=".")),2,IF(NOT(OR(AND(MID($N81,4,1)&gt;="0",MID($N81,4,1)&lt;="9"),MID($N81,4,1)=".")),3,IF(NOT(OR(AND(MID($N81,5,1)&gt;="0",MID($N81,5,1)&lt;="9"),MID($N81,5,1)=".")),4,IF(NOT(OR(AND(MID($N81,6,1)&gt;="0",MID($N81,6,1)&lt;="9"),MID($N81,6,1)=".")),5,6)))))))),0)))</f>
        <v>0</v>
      </c>
      <c r="P81" s="223">
        <f>IF(AND($M81&gt;0,$O81&gt;0),$O81/$M81-1,0)</f>
        <v>0</v>
      </c>
      <c r="Q81" s="220">
        <f>IF($B81="","",TRIM('Master Data-2026'!L77))</f>
      </c>
      <c r="R81" s="220">
        <f>IF($Q81="",0,IF(ISNUMBER(SEARCH("%",$Q81)),0,IFERROR(VALUE(LEFT($Q81,IF(NOT(OR(AND(MID($Q81,1,1)&gt;="0",MID($Q81,1,1)&lt;="9"),MID($Q81,1,1)=".")),0,IF(NOT(OR(AND(MID($Q81,2,1)&gt;="0",MID($Q81,2,1)&lt;="9"),MID($Q81,2,1)=".")),1,IF(NOT(OR(AND(MID($Q81,3,1)&gt;="0",MID($Q81,3,1)&lt;="9"),MID($Q81,3,1)=".")),2,IF(NOT(OR(AND(MID($Q81,4,1)&gt;="0",MID($Q81,4,1)&lt;="9"),MID($Q81,4,1)=".")),3,IF(NOT(OR(AND(MID($Q81,5,1)&gt;="0",MID($Q81,5,1)&lt;="9"),MID($Q81,5,1)=".")),4,IF(NOT(OR(AND(MID($Q81,6,1)&gt;="0",MID($Q81,6,1)&lt;="9"),MID($Q81,6,1)=".")),5,6)))))))),0)))</f>
        <v>0</v>
      </c>
      <c r="S81" s="224">
        <f>IF($Q81="",-1,IF(ISNUMBER(SEARCH("immediate",$Q81)),0,IF(ISNUMBER(SEARCH("month",$Q81)),IF($R81=0,-1,$R81*30),IF(ISNUMBER(SEARCH("day",$Q81)),IF($R81=0,-1,$R81),-1))))</f>
        <v>-1</v>
      </c>
      <c r="T81" s="220">
        <f>IF($B81="","",IF($S81&lt;0,"Not recorded",IF($S81=0,"Immediate",IF($S81&lt;=30,"1-30 days",IF($S81&lt;=60,"31-60 days","60+ days")))))</f>
      </c>
      <c r="U81" s="220">
        <f>IF($B81="","",IFERROR(MATCH($B81,'Submission template'!$D$17:$D$300,0),""))</f>
      </c>
      <c r="V81" s="220">
        <f>IF($U81="","",IFERROR(TRIM(INDEX('Submission template'!$I$17:$I$300,$U81)),""))</f>
      </c>
      <c r="W81" s="225">
        <f>IF($V81="",0,IF(ISNUMBER(SEARCH("%",$V81)),0,IFERROR(VALUE(LEFT($V81,IF(NOT(OR(AND(MID($V81,1,1)&gt;="0",MID($V81,1,1)&lt;="9"),MID($V81,1,1)=".")),0,IF(NOT(OR(AND(MID($V81,2,1)&gt;="0",MID($V81,2,1)&lt;="9"),MID($V81,2,1)=".")),1,IF(NOT(OR(AND(MID($V81,3,1)&gt;="0",MID($V81,3,1)&lt;="9"),MID($V81,3,1)=".")),2,IF(NOT(OR(AND(MID($V81,4,1)&gt;="0",MID($V81,4,1)&lt;="9"),MID($V81,4,1)=".")),3,IF(NOT(OR(AND(MID($V81,5,1)&gt;="0",MID($V81,5,1)&lt;="9"),MID($V81,5,1)=".")),4,IF(NOT(OR(AND(MID($V81,6,1)&gt;="0",MID($V81,6,1)&lt;="9"),MID($V81,6,1)=".")),5,6)))))))),0)))</f>
        <v>0</v>
      </c>
      <c r="X81" s="220">
        <f>IF($U81="","",IFERROR(TRIM(INDEX('Submission template'!$J$17:$J$300,$U81)),""))</f>
      </c>
      <c r="Y81" s="220">
        <f>IF($U81="","",IFERROR(TRIM(INDEX('Submission template'!$K$17:$K$300,$U81)),""))</f>
      </c>
      <c r="Z81" s="220">
        <f>IF($U81="","",IFERROR(TRIM(INDEX('Submission template'!$M$17:$M$300,$U81)),""))</f>
      </c>
      <c r="AA81" s="220">
        <f>IF($U81="","",IFERROR(TRIM(INDEX('Submission template'!$O$17:$O$300,$U81)),""))</f>
      </c>
      <c r="AB81" s="220">
        <f>IF($U81="","",IFERROR(TRIM(INDEX('Submission template'!$S$17:$S$300,$U81)),""))</f>
      </c>
      <c r="AC81" s="220">
        <f>IF($B81="",0,IF($U81="",0,1))</f>
        <v>0</v>
      </c>
      <c r="AD81" s="220">
        <f>IF($B81="",0,IF(OR($H81=TargetLocation,AND($AA81&lt;&gt;"",ISNUMBER(SEARCH(TargetLocation,$AA81)))),1,0))</f>
        <v>0</v>
      </c>
      <c r="AE81" s="220">
        <f>IF($B81="",0,IF(AND(OR(SelRecruiter="All",$C81=SelRecruiter),OR(SelCity="All",$H81=SelCity),OR(SelStage="All",$I81=SelStage),OR(SelRequisition="All",$F81=SelRequisition)),1,0))</f>
        <v>0</v>
      </c>
      <c r="AF81" s="220">
        <f>IF($B81="","",COUNT($AF$5:AF80)+1)</f>
      </c>
      <c r="AG81" s="220">
        <f>IF($C81="","",IF(COUNTIF($C$6:$C81,$C81)=1,COUNT($AG$5:AG80)+1,""))</f>
      </c>
      <c r="AH81" s="220">
        <f>IF($F81="","",IF(COUNTIF($F$6:$F81,$F81)=1,COUNT($AH$5:AH80)+1,""))</f>
      </c>
      <c r="AI81" s="220">
        <f>IF($H81="","",IF(COUNTIF($H$6:$H81,$H81)=1,COUNT($AI$5:AI80)+1,""))</f>
      </c>
      <c r="AJ81" s="220">
        <f>IF(OR($B81="",$J81=0),"",$J81*100000000+IF(ISNUMBER($D81),$D81,0)*1000+(170-$A81))</f>
      </c>
      <c r="AK81" s="220">
        <f>IF(OR($B81="",$W81&lt;=0),"",ROUND($W81*10,0)*100000+(170-$A81))</f>
      </c>
      <c r="AL81" s="220">
        <f>IF(OR($B81="",$P81&lt;=0),"",ROUND($P81*10000,0)*1000+(170-$A81))</f>
      </c>
      <c r="AM81" s="220">
        <f>IF(AND($W81&gt;0,$O81&gt;0),COUNT($AM$5:AM80)+1,"")</f>
      </c>
      <c r="AN81">
        <f>IF($B81="",0,IF($G81="",0,SUMPRODUCT(MAX(ISNUMBER(SEARCH(LocPattern,$G81))*LocIdx))))</f>
        <v>0</v>
      </c>
      <c r="BL81">
        <f>IFERROR(INDEX($B$6:$B$125,MATCH(76,$AF$6:$AF$125,0)),"")</f>
      </c>
    </row>
    <row r="82">
      <c r="A82" s="214" t="n">
        <v>77</v>
      </c>
      <c r="B82" s="214">
        <f>IF(TRIM('Master Data-2026'!D78)="","",TRIM('Master Data-2026'!D78))</f>
      </c>
      <c r="C82" s="214">
        <f>IF($B82="","",TRIM('Master Data-2026'!A78))</f>
      </c>
      <c r="D82" s="215">
        <f>IF($B82="","",IF('Master Data-2026'!B78="","",'Master Data-2026'!B78))</f>
      </c>
      <c r="E82" s="214">
        <f>IF($B82="","",TRIM('Master Data-2026'!C78))</f>
      </c>
      <c r="F82" s="214">
        <f>IF($B82="","",TRIM('Master Data-2026'!G78))</f>
      </c>
      <c r="G82" s="214">
        <f>IF($B82="","",TRIM('Master Data-2026'!F78))</f>
      </c>
      <c r="H82" s="214">
        <f>IF($B82="","",IF($G82="","Not recorded",IF($AN82=0,"Other",INDEX(LocCity,$AN82))))</f>
      </c>
      <c r="I82" s="214">
        <f>IF($B82="","",TRIM('Master Data-2026'!H78))</f>
      </c>
      <c r="J82" s="214">
        <f>IF($B82="",0,IFERROR(INDEX(StageOrderRef,MATCH($I82,StageNameRef,0)),0))</f>
        <v>0</v>
      </c>
      <c r="K82" s="214">
        <f>IF($B82="","",TRIM('Master Data-2026'!I78))</f>
      </c>
      <c r="L82" s="214">
        <f>IF($B82="","",TRIM('Master Data-2026'!J78))</f>
      </c>
      <c r="M82" s="216">
        <f>IF($L82="",0,IF(ISNUMBER(SEARCH("%",$L82)),0,IFERROR(VALUE(LEFT($L82,IF(NOT(OR(AND(MID($L82,1,1)&gt;="0",MID($L82,1,1)&lt;="9"),MID($L82,1,1)=".")),0,IF(NOT(OR(AND(MID($L82,2,1)&gt;="0",MID($L82,2,1)&lt;="9"),MID($L82,2,1)=".")),1,IF(NOT(OR(AND(MID($L82,3,1)&gt;="0",MID($L82,3,1)&lt;="9"),MID($L82,3,1)=".")),2,IF(NOT(OR(AND(MID($L82,4,1)&gt;="0",MID($L82,4,1)&lt;="9"),MID($L82,4,1)=".")),3,IF(NOT(OR(AND(MID($L82,5,1)&gt;="0",MID($L82,5,1)&lt;="9"),MID($L82,5,1)=".")),4,IF(NOT(OR(AND(MID($L82,6,1)&gt;="0",MID($L82,6,1)&lt;="9"),MID($L82,6,1)=".")),5,6)))))))),0)))</f>
        <v>0</v>
      </c>
      <c r="N82" s="214">
        <f>IF($B82="","",TRIM('Master Data-2026'!K78))</f>
      </c>
      <c r="O82" s="216">
        <f>IF($N82="",0,IF(ISNUMBER(SEARCH("%",$N82)),0,IFERROR(VALUE(LEFT($N82,IF(NOT(OR(AND(MID($N82,1,1)&gt;="0",MID($N82,1,1)&lt;="9"),MID($N82,1,1)=".")),0,IF(NOT(OR(AND(MID($N82,2,1)&gt;="0",MID($N82,2,1)&lt;="9"),MID($N82,2,1)=".")),1,IF(NOT(OR(AND(MID($N82,3,1)&gt;="0",MID($N82,3,1)&lt;="9"),MID($N82,3,1)=".")),2,IF(NOT(OR(AND(MID($N82,4,1)&gt;="0",MID($N82,4,1)&lt;="9"),MID($N82,4,1)=".")),3,IF(NOT(OR(AND(MID($N82,5,1)&gt;="0",MID($N82,5,1)&lt;="9"),MID($N82,5,1)=".")),4,IF(NOT(OR(AND(MID($N82,6,1)&gt;="0",MID($N82,6,1)&lt;="9"),MID($N82,6,1)=".")),5,6)))))))),0)))</f>
        <v>0</v>
      </c>
      <c r="P82" s="217">
        <f>IF(AND($M82&gt;0,$O82&gt;0),$O82/$M82-1,0)</f>
        <v>0</v>
      </c>
      <c r="Q82" s="214">
        <f>IF($B82="","",TRIM('Master Data-2026'!L78))</f>
      </c>
      <c r="R82" s="214">
        <f>IF($Q82="",0,IF(ISNUMBER(SEARCH("%",$Q82)),0,IFERROR(VALUE(LEFT($Q82,IF(NOT(OR(AND(MID($Q82,1,1)&gt;="0",MID($Q82,1,1)&lt;="9"),MID($Q82,1,1)=".")),0,IF(NOT(OR(AND(MID($Q82,2,1)&gt;="0",MID($Q82,2,1)&lt;="9"),MID($Q82,2,1)=".")),1,IF(NOT(OR(AND(MID($Q82,3,1)&gt;="0",MID($Q82,3,1)&lt;="9"),MID($Q82,3,1)=".")),2,IF(NOT(OR(AND(MID($Q82,4,1)&gt;="0",MID($Q82,4,1)&lt;="9"),MID($Q82,4,1)=".")),3,IF(NOT(OR(AND(MID($Q82,5,1)&gt;="0",MID($Q82,5,1)&lt;="9"),MID($Q82,5,1)=".")),4,IF(NOT(OR(AND(MID($Q82,6,1)&gt;="0",MID($Q82,6,1)&lt;="9"),MID($Q82,6,1)=".")),5,6)))))))),0)))</f>
        <v>0</v>
      </c>
      <c r="S82" s="218">
        <f>IF($Q82="",-1,IF(ISNUMBER(SEARCH("immediate",$Q82)),0,IF(ISNUMBER(SEARCH("month",$Q82)),IF($R82=0,-1,$R82*30),IF(ISNUMBER(SEARCH("day",$Q82)),IF($R82=0,-1,$R82),-1))))</f>
        <v>-1</v>
      </c>
      <c r="T82" s="214">
        <f>IF($B82="","",IF($S82&lt;0,"Not recorded",IF($S82=0,"Immediate",IF($S82&lt;=30,"1-30 days",IF($S82&lt;=60,"31-60 days","60+ days")))))</f>
      </c>
      <c r="U82" s="214">
        <f>IF($B82="","",IFERROR(MATCH($B82,'Submission template'!$D$17:$D$300,0),""))</f>
      </c>
      <c r="V82" s="214">
        <f>IF($U82="","",IFERROR(TRIM(INDEX('Submission template'!$I$17:$I$300,$U82)),""))</f>
      </c>
      <c r="W82" s="219">
        <f>IF($V82="",0,IF(ISNUMBER(SEARCH("%",$V82)),0,IFERROR(VALUE(LEFT($V82,IF(NOT(OR(AND(MID($V82,1,1)&gt;="0",MID($V82,1,1)&lt;="9"),MID($V82,1,1)=".")),0,IF(NOT(OR(AND(MID($V82,2,1)&gt;="0",MID($V82,2,1)&lt;="9"),MID($V82,2,1)=".")),1,IF(NOT(OR(AND(MID($V82,3,1)&gt;="0",MID($V82,3,1)&lt;="9"),MID($V82,3,1)=".")),2,IF(NOT(OR(AND(MID($V82,4,1)&gt;="0",MID($V82,4,1)&lt;="9"),MID($V82,4,1)=".")),3,IF(NOT(OR(AND(MID($V82,5,1)&gt;="0",MID($V82,5,1)&lt;="9"),MID($V82,5,1)=".")),4,IF(NOT(OR(AND(MID($V82,6,1)&gt;="0",MID($V82,6,1)&lt;="9"),MID($V82,6,1)=".")),5,6)))))))),0)))</f>
        <v>0</v>
      </c>
      <c r="X82" s="214">
        <f>IF($U82="","",IFERROR(TRIM(INDEX('Submission template'!$J$17:$J$300,$U82)),""))</f>
      </c>
      <c r="Y82" s="214">
        <f>IF($U82="","",IFERROR(TRIM(INDEX('Submission template'!$K$17:$K$300,$U82)),""))</f>
      </c>
      <c r="Z82" s="214">
        <f>IF($U82="","",IFERROR(TRIM(INDEX('Submission template'!$M$17:$M$300,$U82)),""))</f>
      </c>
      <c r="AA82" s="214">
        <f>IF($U82="","",IFERROR(TRIM(INDEX('Submission template'!$O$17:$O$300,$U82)),""))</f>
      </c>
      <c r="AB82" s="214">
        <f>IF($U82="","",IFERROR(TRIM(INDEX('Submission template'!$S$17:$S$300,$U82)),""))</f>
      </c>
      <c r="AC82" s="214">
        <f>IF($B82="",0,IF($U82="",0,1))</f>
        <v>0</v>
      </c>
      <c r="AD82" s="214">
        <f>IF($B82="",0,IF(OR($H82=TargetLocation,AND($AA82&lt;&gt;"",ISNUMBER(SEARCH(TargetLocation,$AA82)))),1,0))</f>
        <v>0</v>
      </c>
      <c r="AE82" s="214">
        <f>IF($B82="",0,IF(AND(OR(SelRecruiter="All",$C82=SelRecruiter),OR(SelCity="All",$H82=SelCity),OR(SelStage="All",$I82=SelStage),OR(SelRequisition="All",$F82=SelRequisition)),1,0))</f>
        <v>0</v>
      </c>
      <c r="AF82" s="214">
        <f>IF($B82="","",COUNT($AF$5:AF81)+1)</f>
      </c>
      <c r="AG82" s="214">
        <f>IF($C82="","",IF(COUNTIF($C$6:$C82,$C82)=1,COUNT($AG$5:AG81)+1,""))</f>
      </c>
      <c r="AH82" s="214">
        <f>IF($F82="","",IF(COUNTIF($F$6:$F82,$F82)=1,COUNT($AH$5:AH81)+1,""))</f>
      </c>
      <c r="AI82" s="214">
        <f>IF($H82="","",IF(COUNTIF($H$6:$H82,$H82)=1,COUNT($AI$5:AI81)+1,""))</f>
      </c>
      <c r="AJ82" s="214">
        <f>IF(OR($B82="",$J82=0),"",$J82*100000000+IF(ISNUMBER($D82),$D82,0)*1000+(170-$A82))</f>
      </c>
      <c r="AK82" s="214">
        <f>IF(OR($B82="",$W82&lt;=0),"",ROUND($W82*10,0)*100000+(170-$A82))</f>
      </c>
      <c r="AL82" s="214">
        <f>IF(OR($B82="",$P82&lt;=0),"",ROUND($P82*10000,0)*1000+(170-$A82))</f>
      </c>
      <c r="AM82" s="214">
        <f>IF(AND($W82&gt;0,$O82&gt;0),COUNT($AM$5:AM81)+1,"")</f>
      </c>
      <c r="AN82">
        <f>IF($B82="",0,IF($G82="",0,SUMPRODUCT(MAX(ISNUMBER(SEARCH(LocPattern,$G82))*LocIdx))))</f>
        <v>0</v>
      </c>
      <c r="BL82">
        <f>IFERROR(INDEX($B$6:$B$125,MATCH(77,$AF$6:$AF$125,0)),"")</f>
      </c>
    </row>
    <row r="83">
      <c r="A83" s="220" t="n">
        <v>78</v>
      </c>
      <c r="B83" s="220">
        <f>IF(TRIM('Master Data-2026'!D79)="","",TRIM('Master Data-2026'!D79))</f>
      </c>
      <c r="C83" s="220">
        <f>IF($B83="","",TRIM('Master Data-2026'!A79))</f>
      </c>
      <c r="D83" s="221">
        <f>IF($B83="","",IF('Master Data-2026'!B79="","",'Master Data-2026'!B79))</f>
      </c>
      <c r="E83" s="220">
        <f>IF($B83="","",TRIM('Master Data-2026'!C79))</f>
      </c>
      <c r="F83" s="220">
        <f>IF($B83="","",TRIM('Master Data-2026'!G79))</f>
      </c>
      <c r="G83" s="220">
        <f>IF($B83="","",TRIM('Master Data-2026'!F79))</f>
      </c>
      <c r="H83" s="220">
        <f>IF($B83="","",IF($G83="","Not recorded",IF($AN83=0,"Other",INDEX(LocCity,$AN83))))</f>
      </c>
      <c r="I83" s="220">
        <f>IF($B83="","",TRIM('Master Data-2026'!H79))</f>
      </c>
      <c r="J83" s="220">
        <f>IF($B83="",0,IFERROR(INDEX(StageOrderRef,MATCH($I83,StageNameRef,0)),0))</f>
        <v>0</v>
      </c>
      <c r="K83" s="220">
        <f>IF($B83="","",TRIM('Master Data-2026'!I79))</f>
      </c>
      <c r="L83" s="220">
        <f>IF($B83="","",TRIM('Master Data-2026'!J79))</f>
      </c>
      <c r="M83" s="222">
        <f>IF($L83="",0,IF(ISNUMBER(SEARCH("%",$L83)),0,IFERROR(VALUE(LEFT($L83,IF(NOT(OR(AND(MID($L83,1,1)&gt;="0",MID($L83,1,1)&lt;="9"),MID($L83,1,1)=".")),0,IF(NOT(OR(AND(MID($L83,2,1)&gt;="0",MID($L83,2,1)&lt;="9"),MID($L83,2,1)=".")),1,IF(NOT(OR(AND(MID($L83,3,1)&gt;="0",MID($L83,3,1)&lt;="9"),MID($L83,3,1)=".")),2,IF(NOT(OR(AND(MID($L83,4,1)&gt;="0",MID($L83,4,1)&lt;="9"),MID($L83,4,1)=".")),3,IF(NOT(OR(AND(MID($L83,5,1)&gt;="0",MID($L83,5,1)&lt;="9"),MID($L83,5,1)=".")),4,IF(NOT(OR(AND(MID($L83,6,1)&gt;="0",MID($L83,6,1)&lt;="9"),MID($L83,6,1)=".")),5,6)))))))),0)))</f>
        <v>0</v>
      </c>
      <c r="N83" s="220">
        <f>IF($B83="","",TRIM('Master Data-2026'!K79))</f>
      </c>
      <c r="O83" s="222">
        <f>IF($N83="",0,IF(ISNUMBER(SEARCH("%",$N83)),0,IFERROR(VALUE(LEFT($N83,IF(NOT(OR(AND(MID($N83,1,1)&gt;="0",MID($N83,1,1)&lt;="9"),MID($N83,1,1)=".")),0,IF(NOT(OR(AND(MID($N83,2,1)&gt;="0",MID($N83,2,1)&lt;="9"),MID($N83,2,1)=".")),1,IF(NOT(OR(AND(MID($N83,3,1)&gt;="0",MID($N83,3,1)&lt;="9"),MID($N83,3,1)=".")),2,IF(NOT(OR(AND(MID($N83,4,1)&gt;="0",MID($N83,4,1)&lt;="9"),MID($N83,4,1)=".")),3,IF(NOT(OR(AND(MID($N83,5,1)&gt;="0",MID($N83,5,1)&lt;="9"),MID($N83,5,1)=".")),4,IF(NOT(OR(AND(MID($N83,6,1)&gt;="0",MID($N83,6,1)&lt;="9"),MID($N83,6,1)=".")),5,6)))))))),0)))</f>
        <v>0</v>
      </c>
      <c r="P83" s="223">
        <f>IF(AND($M83&gt;0,$O83&gt;0),$O83/$M83-1,0)</f>
        <v>0</v>
      </c>
      <c r="Q83" s="220">
        <f>IF($B83="","",TRIM('Master Data-2026'!L79))</f>
      </c>
      <c r="R83" s="220">
        <f>IF($Q83="",0,IF(ISNUMBER(SEARCH("%",$Q83)),0,IFERROR(VALUE(LEFT($Q83,IF(NOT(OR(AND(MID($Q83,1,1)&gt;="0",MID($Q83,1,1)&lt;="9"),MID($Q83,1,1)=".")),0,IF(NOT(OR(AND(MID($Q83,2,1)&gt;="0",MID($Q83,2,1)&lt;="9"),MID($Q83,2,1)=".")),1,IF(NOT(OR(AND(MID($Q83,3,1)&gt;="0",MID($Q83,3,1)&lt;="9"),MID($Q83,3,1)=".")),2,IF(NOT(OR(AND(MID($Q83,4,1)&gt;="0",MID($Q83,4,1)&lt;="9"),MID($Q83,4,1)=".")),3,IF(NOT(OR(AND(MID($Q83,5,1)&gt;="0",MID($Q83,5,1)&lt;="9"),MID($Q83,5,1)=".")),4,IF(NOT(OR(AND(MID($Q83,6,1)&gt;="0",MID($Q83,6,1)&lt;="9"),MID($Q83,6,1)=".")),5,6)))))))),0)))</f>
        <v>0</v>
      </c>
      <c r="S83" s="224">
        <f>IF($Q83="",-1,IF(ISNUMBER(SEARCH("immediate",$Q83)),0,IF(ISNUMBER(SEARCH("month",$Q83)),IF($R83=0,-1,$R83*30),IF(ISNUMBER(SEARCH("day",$Q83)),IF($R83=0,-1,$R83),-1))))</f>
        <v>-1</v>
      </c>
      <c r="T83" s="220">
        <f>IF($B83="","",IF($S83&lt;0,"Not recorded",IF($S83=0,"Immediate",IF($S83&lt;=30,"1-30 days",IF($S83&lt;=60,"31-60 days","60+ days")))))</f>
      </c>
      <c r="U83" s="220">
        <f>IF($B83="","",IFERROR(MATCH($B83,'Submission template'!$D$17:$D$300,0),""))</f>
      </c>
      <c r="V83" s="220">
        <f>IF($U83="","",IFERROR(TRIM(INDEX('Submission template'!$I$17:$I$300,$U83)),""))</f>
      </c>
      <c r="W83" s="225">
        <f>IF($V83="",0,IF(ISNUMBER(SEARCH("%",$V83)),0,IFERROR(VALUE(LEFT($V83,IF(NOT(OR(AND(MID($V83,1,1)&gt;="0",MID($V83,1,1)&lt;="9"),MID($V83,1,1)=".")),0,IF(NOT(OR(AND(MID($V83,2,1)&gt;="0",MID($V83,2,1)&lt;="9"),MID($V83,2,1)=".")),1,IF(NOT(OR(AND(MID($V83,3,1)&gt;="0",MID($V83,3,1)&lt;="9"),MID($V83,3,1)=".")),2,IF(NOT(OR(AND(MID($V83,4,1)&gt;="0",MID($V83,4,1)&lt;="9"),MID($V83,4,1)=".")),3,IF(NOT(OR(AND(MID($V83,5,1)&gt;="0",MID($V83,5,1)&lt;="9"),MID($V83,5,1)=".")),4,IF(NOT(OR(AND(MID($V83,6,1)&gt;="0",MID($V83,6,1)&lt;="9"),MID($V83,6,1)=".")),5,6)))))))),0)))</f>
        <v>0</v>
      </c>
      <c r="X83" s="220">
        <f>IF($U83="","",IFERROR(TRIM(INDEX('Submission template'!$J$17:$J$300,$U83)),""))</f>
      </c>
      <c r="Y83" s="220">
        <f>IF($U83="","",IFERROR(TRIM(INDEX('Submission template'!$K$17:$K$300,$U83)),""))</f>
      </c>
      <c r="Z83" s="220">
        <f>IF($U83="","",IFERROR(TRIM(INDEX('Submission template'!$M$17:$M$300,$U83)),""))</f>
      </c>
      <c r="AA83" s="220">
        <f>IF($U83="","",IFERROR(TRIM(INDEX('Submission template'!$O$17:$O$300,$U83)),""))</f>
      </c>
      <c r="AB83" s="220">
        <f>IF($U83="","",IFERROR(TRIM(INDEX('Submission template'!$S$17:$S$300,$U83)),""))</f>
      </c>
      <c r="AC83" s="220">
        <f>IF($B83="",0,IF($U83="",0,1))</f>
        <v>0</v>
      </c>
      <c r="AD83" s="220">
        <f>IF($B83="",0,IF(OR($H83=TargetLocation,AND($AA83&lt;&gt;"",ISNUMBER(SEARCH(TargetLocation,$AA83)))),1,0))</f>
        <v>0</v>
      </c>
      <c r="AE83" s="220">
        <f>IF($B83="",0,IF(AND(OR(SelRecruiter="All",$C83=SelRecruiter),OR(SelCity="All",$H83=SelCity),OR(SelStage="All",$I83=SelStage),OR(SelRequisition="All",$F83=SelRequisition)),1,0))</f>
        <v>0</v>
      </c>
      <c r="AF83" s="220">
        <f>IF($B83="","",COUNT($AF$5:AF82)+1)</f>
      </c>
      <c r="AG83" s="220">
        <f>IF($C83="","",IF(COUNTIF($C$6:$C83,$C83)=1,COUNT($AG$5:AG82)+1,""))</f>
      </c>
      <c r="AH83" s="220">
        <f>IF($F83="","",IF(COUNTIF($F$6:$F83,$F83)=1,COUNT($AH$5:AH82)+1,""))</f>
      </c>
      <c r="AI83" s="220">
        <f>IF($H83="","",IF(COUNTIF($H$6:$H83,$H83)=1,COUNT($AI$5:AI82)+1,""))</f>
      </c>
      <c r="AJ83" s="220">
        <f>IF(OR($B83="",$J83=0),"",$J83*100000000+IF(ISNUMBER($D83),$D83,0)*1000+(170-$A83))</f>
      </c>
      <c r="AK83" s="220">
        <f>IF(OR($B83="",$W83&lt;=0),"",ROUND($W83*10,0)*100000+(170-$A83))</f>
      </c>
      <c r="AL83" s="220">
        <f>IF(OR($B83="",$P83&lt;=0),"",ROUND($P83*10000,0)*1000+(170-$A83))</f>
      </c>
      <c r="AM83" s="220">
        <f>IF(AND($W83&gt;0,$O83&gt;0),COUNT($AM$5:AM82)+1,"")</f>
      </c>
      <c r="AN83">
        <f>IF($B83="",0,IF($G83="",0,SUMPRODUCT(MAX(ISNUMBER(SEARCH(LocPattern,$G83))*LocIdx))))</f>
        <v>0</v>
      </c>
      <c r="BL83">
        <f>IFERROR(INDEX($B$6:$B$125,MATCH(78,$AF$6:$AF$125,0)),"")</f>
      </c>
    </row>
    <row r="84">
      <c r="A84" s="214" t="n">
        <v>79</v>
      </c>
      <c r="B84" s="214">
        <f>IF(TRIM('Master Data-2026'!D80)="","",TRIM('Master Data-2026'!D80))</f>
      </c>
      <c r="C84" s="214">
        <f>IF($B84="","",TRIM('Master Data-2026'!A80))</f>
      </c>
      <c r="D84" s="215">
        <f>IF($B84="","",IF('Master Data-2026'!B80="","",'Master Data-2026'!B80))</f>
      </c>
      <c r="E84" s="214">
        <f>IF($B84="","",TRIM('Master Data-2026'!C80))</f>
      </c>
      <c r="F84" s="214">
        <f>IF($B84="","",TRIM('Master Data-2026'!G80))</f>
      </c>
      <c r="G84" s="214">
        <f>IF($B84="","",TRIM('Master Data-2026'!F80))</f>
      </c>
      <c r="H84" s="214">
        <f>IF($B84="","",IF($G84="","Not recorded",IF($AN84=0,"Other",INDEX(LocCity,$AN84))))</f>
      </c>
      <c r="I84" s="214">
        <f>IF($B84="","",TRIM('Master Data-2026'!H80))</f>
      </c>
      <c r="J84" s="214">
        <f>IF($B84="",0,IFERROR(INDEX(StageOrderRef,MATCH($I84,StageNameRef,0)),0))</f>
        <v>0</v>
      </c>
      <c r="K84" s="214">
        <f>IF($B84="","",TRIM('Master Data-2026'!I80))</f>
      </c>
      <c r="L84" s="214">
        <f>IF($B84="","",TRIM('Master Data-2026'!J80))</f>
      </c>
      <c r="M84" s="216">
        <f>IF($L84="",0,IF(ISNUMBER(SEARCH("%",$L84)),0,IFERROR(VALUE(LEFT($L84,IF(NOT(OR(AND(MID($L84,1,1)&gt;="0",MID($L84,1,1)&lt;="9"),MID($L84,1,1)=".")),0,IF(NOT(OR(AND(MID($L84,2,1)&gt;="0",MID($L84,2,1)&lt;="9"),MID($L84,2,1)=".")),1,IF(NOT(OR(AND(MID($L84,3,1)&gt;="0",MID($L84,3,1)&lt;="9"),MID($L84,3,1)=".")),2,IF(NOT(OR(AND(MID($L84,4,1)&gt;="0",MID($L84,4,1)&lt;="9"),MID($L84,4,1)=".")),3,IF(NOT(OR(AND(MID($L84,5,1)&gt;="0",MID($L84,5,1)&lt;="9"),MID($L84,5,1)=".")),4,IF(NOT(OR(AND(MID($L84,6,1)&gt;="0",MID($L84,6,1)&lt;="9"),MID($L84,6,1)=".")),5,6)))))))),0)))</f>
        <v>0</v>
      </c>
      <c r="N84" s="214">
        <f>IF($B84="","",TRIM('Master Data-2026'!K80))</f>
      </c>
      <c r="O84" s="216">
        <f>IF($N84="",0,IF(ISNUMBER(SEARCH("%",$N84)),0,IFERROR(VALUE(LEFT($N84,IF(NOT(OR(AND(MID($N84,1,1)&gt;="0",MID($N84,1,1)&lt;="9"),MID($N84,1,1)=".")),0,IF(NOT(OR(AND(MID($N84,2,1)&gt;="0",MID($N84,2,1)&lt;="9"),MID($N84,2,1)=".")),1,IF(NOT(OR(AND(MID($N84,3,1)&gt;="0",MID($N84,3,1)&lt;="9"),MID($N84,3,1)=".")),2,IF(NOT(OR(AND(MID($N84,4,1)&gt;="0",MID($N84,4,1)&lt;="9"),MID($N84,4,1)=".")),3,IF(NOT(OR(AND(MID($N84,5,1)&gt;="0",MID($N84,5,1)&lt;="9"),MID($N84,5,1)=".")),4,IF(NOT(OR(AND(MID($N84,6,1)&gt;="0",MID($N84,6,1)&lt;="9"),MID($N84,6,1)=".")),5,6)))))))),0)))</f>
        <v>0</v>
      </c>
      <c r="P84" s="217">
        <f>IF(AND($M84&gt;0,$O84&gt;0),$O84/$M84-1,0)</f>
        <v>0</v>
      </c>
      <c r="Q84" s="214">
        <f>IF($B84="","",TRIM('Master Data-2026'!L80))</f>
      </c>
      <c r="R84" s="214">
        <f>IF($Q84="",0,IF(ISNUMBER(SEARCH("%",$Q84)),0,IFERROR(VALUE(LEFT($Q84,IF(NOT(OR(AND(MID($Q84,1,1)&gt;="0",MID($Q84,1,1)&lt;="9"),MID($Q84,1,1)=".")),0,IF(NOT(OR(AND(MID($Q84,2,1)&gt;="0",MID($Q84,2,1)&lt;="9"),MID($Q84,2,1)=".")),1,IF(NOT(OR(AND(MID($Q84,3,1)&gt;="0",MID($Q84,3,1)&lt;="9"),MID($Q84,3,1)=".")),2,IF(NOT(OR(AND(MID($Q84,4,1)&gt;="0",MID($Q84,4,1)&lt;="9"),MID($Q84,4,1)=".")),3,IF(NOT(OR(AND(MID($Q84,5,1)&gt;="0",MID($Q84,5,1)&lt;="9"),MID($Q84,5,1)=".")),4,IF(NOT(OR(AND(MID($Q84,6,1)&gt;="0",MID($Q84,6,1)&lt;="9"),MID($Q84,6,1)=".")),5,6)))))))),0)))</f>
        <v>0</v>
      </c>
      <c r="S84" s="218">
        <f>IF($Q84="",-1,IF(ISNUMBER(SEARCH("immediate",$Q84)),0,IF(ISNUMBER(SEARCH("month",$Q84)),IF($R84=0,-1,$R84*30),IF(ISNUMBER(SEARCH("day",$Q84)),IF($R84=0,-1,$R84),-1))))</f>
        <v>-1</v>
      </c>
      <c r="T84" s="214">
        <f>IF($B84="","",IF($S84&lt;0,"Not recorded",IF($S84=0,"Immediate",IF($S84&lt;=30,"1-30 days",IF($S84&lt;=60,"31-60 days","60+ days")))))</f>
      </c>
      <c r="U84" s="214">
        <f>IF($B84="","",IFERROR(MATCH($B84,'Submission template'!$D$17:$D$300,0),""))</f>
      </c>
      <c r="V84" s="214">
        <f>IF($U84="","",IFERROR(TRIM(INDEX('Submission template'!$I$17:$I$300,$U84)),""))</f>
      </c>
      <c r="W84" s="219">
        <f>IF($V84="",0,IF(ISNUMBER(SEARCH("%",$V84)),0,IFERROR(VALUE(LEFT($V84,IF(NOT(OR(AND(MID($V84,1,1)&gt;="0",MID($V84,1,1)&lt;="9"),MID($V84,1,1)=".")),0,IF(NOT(OR(AND(MID($V84,2,1)&gt;="0",MID($V84,2,1)&lt;="9"),MID($V84,2,1)=".")),1,IF(NOT(OR(AND(MID($V84,3,1)&gt;="0",MID($V84,3,1)&lt;="9"),MID($V84,3,1)=".")),2,IF(NOT(OR(AND(MID($V84,4,1)&gt;="0",MID($V84,4,1)&lt;="9"),MID($V84,4,1)=".")),3,IF(NOT(OR(AND(MID($V84,5,1)&gt;="0",MID($V84,5,1)&lt;="9"),MID($V84,5,1)=".")),4,IF(NOT(OR(AND(MID($V84,6,1)&gt;="0",MID($V84,6,1)&lt;="9"),MID($V84,6,1)=".")),5,6)))))))),0)))</f>
        <v>0</v>
      </c>
      <c r="X84" s="214">
        <f>IF($U84="","",IFERROR(TRIM(INDEX('Submission template'!$J$17:$J$300,$U84)),""))</f>
      </c>
      <c r="Y84" s="214">
        <f>IF($U84="","",IFERROR(TRIM(INDEX('Submission template'!$K$17:$K$300,$U84)),""))</f>
      </c>
      <c r="Z84" s="214">
        <f>IF($U84="","",IFERROR(TRIM(INDEX('Submission template'!$M$17:$M$300,$U84)),""))</f>
      </c>
      <c r="AA84" s="214">
        <f>IF($U84="","",IFERROR(TRIM(INDEX('Submission template'!$O$17:$O$300,$U84)),""))</f>
      </c>
      <c r="AB84" s="214">
        <f>IF($U84="","",IFERROR(TRIM(INDEX('Submission template'!$S$17:$S$300,$U84)),""))</f>
      </c>
      <c r="AC84" s="214">
        <f>IF($B84="",0,IF($U84="",0,1))</f>
        <v>0</v>
      </c>
      <c r="AD84" s="214">
        <f>IF($B84="",0,IF(OR($H84=TargetLocation,AND($AA84&lt;&gt;"",ISNUMBER(SEARCH(TargetLocation,$AA84)))),1,0))</f>
        <v>0</v>
      </c>
      <c r="AE84" s="214">
        <f>IF($B84="",0,IF(AND(OR(SelRecruiter="All",$C84=SelRecruiter),OR(SelCity="All",$H84=SelCity),OR(SelStage="All",$I84=SelStage),OR(SelRequisition="All",$F84=SelRequisition)),1,0))</f>
        <v>0</v>
      </c>
      <c r="AF84" s="214">
        <f>IF($B84="","",COUNT($AF$5:AF83)+1)</f>
      </c>
      <c r="AG84" s="214">
        <f>IF($C84="","",IF(COUNTIF($C$6:$C84,$C84)=1,COUNT($AG$5:AG83)+1,""))</f>
      </c>
      <c r="AH84" s="214">
        <f>IF($F84="","",IF(COUNTIF($F$6:$F84,$F84)=1,COUNT($AH$5:AH83)+1,""))</f>
      </c>
      <c r="AI84" s="214">
        <f>IF($H84="","",IF(COUNTIF($H$6:$H84,$H84)=1,COUNT($AI$5:AI83)+1,""))</f>
      </c>
      <c r="AJ84" s="214">
        <f>IF(OR($B84="",$J84=0),"",$J84*100000000+IF(ISNUMBER($D84),$D84,0)*1000+(170-$A84))</f>
      </c>
      <c r="AK84" s="214">
        <f>IF(OR($B84="",$W84&lt;=0),"",ROUND($W84*10,0)*100000+(170-$A84))</f>
      </c>
      <c r="AL84" s="214">
        <f>IF(OR($B84="",$P84&lt;=0),"",ROUND($P84*10000,0)*1000+(170-$A84))</f>
      </c>
      <c r="AM84" s="214">
        <f>IF(AND($W84&gt;0,$O84&gt;0),COUNT($AM$5:AM83)+1,"")</f>
      </c>
      <c r="AN84">
        <f>IF($B84="",0,IF($G84="",0,SUMPRODUCT(MAX(ISNUMBER(SEARCH(LocPattern,$G84))*LocIdx))))</f>
        <v>0</v>
      </c>
      <c r="BL84">
        <f>IFERROR(INDEX($B$6:$B$125,MATCH(79,$AF$6:$AF$125,0)),"")</f>
      </c>
    </row>
    <row r="85">
      <c r="A85" s="220" t="n">
        <v>80</v>
      </c>
      <c r="B85" s="220">
        <f>IF(TRIM('Master Data-2026'!D81)="","",TRIM('Master Data-2026'!D81))</f>
      </c>
      <c r="C85" s="220">
        <f>IF($B85="","",TRIM('Master Data-2026'!A81))</f>
      </c>
      <c r="D85" s="221">
        <f>IF($B85="","",IF('Master Data-2026'!B81="","",'Master Data-2026'!B81))</f>
      </c>
      <c r="E85" s="220">
        <f>IF($B85="","",TRIM('Master Data-2026'!C81))</f>
      </c>
      <c r="F85" s="220">
        <f>IF($B85="","",TRIM('Master Data-2026'!G81))</f>
      </c>
      <c r="G85" s="220">
        <f>IF($B85="","",TRIM('Master Data-2026'!F81))</f>
      </c>
      <c r="H85" s="220">
        <f>IF($B85="","",IF($G85="","Not recorded",IF($AN85=0,"Other",INDEX(LocCity,$AN85))))</f>
      </c>
      <c r="I85" s="220">
        <f>IF($B85="","",TRIM('Master Data-2026'!H81))</f>
      </c>
      <c r="J85" s="220">
        <f>IF($B85="",0,IFERROR(INDEX(StageOrderRef,MATCH($I85,StageNameRef,0)),0))</f>
        <v>0</v>
      </c>
      <c r="K85" s="220">
        <f>IF($B85="","",TRIM('Master Data-2026'!I81))</f>
      </c>
      <c r="L85" s="220">
        <f>IF($B85="","",TRIM('Master Data-2026'!J81))</f>
      </c>
      <c r="M85" s="222">
        <f>IF($L85="",0,IF(ISNUMBER(SEARCH("%",$L85)),0,IFERROR(VALUE(LEFT($L85,IF(NOT(OR(AND(MID($L85,1,1)&gt;="0",MID($L85,1,1)&lt;="9"),MID($L85,1,1)=".")),0,IF(NOT(OR(AND(MID($L85,2,1)&gt;="0",MID($L85,2,1)&lt;="9"),MID($L85,2,1)=".")),1,IF(NOT(OR(AND(MID($L85,3,1)&gt;="0",MID($L85,3,1)&lt;="9"),MID($L85,3,1)=".")),2,IF(NOT(OR(AND(MID($L85,4,1)&gt;="0",MID($L85,4,1)&lt;="9"),MID($L85,4,1)=".")),3,IF(NOT(OR(AND(MID($L85,5,1)&gt;="0",MID($L85,5,1)&lt;="9"),MID($L85,5,1)=".")),4,IF(NOT(OR(AND(MID($L85,6,1)&gt;="0",MID($L85,6,1)&lt;="9"),MID($L85,6,1)=".")),5,6)))))))),0)))</f>
        <v>0</v>
      </c>
      <c r="N85" s="220">
        <f>IF($B85="","",TRIM('Master Data-2026'!K81))</f>
      </c>
      <c r="O85" s="222">
        <f>IF($N85="",0,IF(ISNUMBER(SEARCH("%",$N85)),0,IFERROR(VALUE(LEFT($N85,IF(NOT(OR(AND(MID($N85,1,1)&gt;="0",MID($N85,1,1)&lt;="9"),MID($N85,1,1)=".")),0,IF(NOT(OR(AND(MID($N85,2,1)&gt;="0",MID($N85,2,1)&lt;="9"),MID($N85,2,1)=".")),1,IF(NOT(OR(AND(MID($N85,3,1)&gt;="0",MID($N85,3,1)&lt;="9"),MID($N85,3,1)=".")),2,IF(NOT(OR(AND(MID($N85,4,1)&gt;="0",MID($N85,4,1)&lt;="9"),MID($N85,4,1)=".")),3,IF(NOT(OR(AND(MID($N85,5,1)&gt;="0",MID($N85,5,1)&lt;="9"),MID($N85,5,1)=".")),4,IF(NOT(OR(AND(MID($N85,6,1)&gt;="0",MID($N85,6,1)&lt;="9"),MID($N85,6,1)=".")),5,6)))))))),0)))</f>
        <v>0</v>
      </c>
      <c r="P85" s="223">
        <f>IF(AND($M85&gt;0,$O85&gt;0),$O85/$M85-1,0)</f>
        <v>0</v>
      </c>
      <c r="Q85" s="220">
        <f>IF($B85="","",TRIM('Master Data-2026'!L81))</f>
      </c>
      <c r="R85" s="220">
        <f>IF($Q85="",0,IF(ISNUMBER(SEARCH("%",$Q85)),0,IFERROR(VALUE(LEFT($Q85,IF(NOT(OR(AND(MID($Q85,1,1)&gt;="0",MID($Q85,1,1)&lt;="9"),MID($Q85,1,1)=".")),0,IF(NOT(OR(AND(MID($Q85,2,1)&gt;="0",MID($Q85,2,1)&lt;="9"),MID($Q85,2,1)=".")),1,IF(NOT(OR(AND(MID($Q85,3,1)&gt;="0",MID($Q85,3,1)&lt;="9"),MID($Q85,3,1)=".")),2,IF(NOT(OR(AND(MID($Q85,4,1)&gt;="0",MID($Q85,4,1)&lt;="9"),MID($Q85,4,1)=".")),3,IF(NOT(OR(AND(MID($Q85,5,1)&gt;="0",MID($Q85,5,1)&lt;="9"),MID($Q85,5,1)=".")),4,IF(NOT(OR(AND(MID($Q85,6,1)&gt;="0",MID($Q85,6,1)&lt;="9"),MID($Q85,6,1)=".")),5,6)))))))),0)))</f>
        <v>0</v>
      </c>
      <c r="S85" s="224">
        <f>IF($Q85="",-1,IF(ISNUMBER(SEARCH("immediate",$Q85)),0,IF(ISNUMBER(SEARCH("month",$Q85)),IF($R85=0,-1,$R85*30),IF(ISNUMBER(SEARCH("day",$Q85)),IF($R85=0,-1,$R85),-1))))</f>
        <v>-1</v>
      </c>
      <c r="T85" s="220">
        <f>IF($B85="","",IF($S85&lt;0,"Not recorded",IF($S85=0,"Immediate",IF($S85&lt;=30,"1-30 days",IF($S85&lt;=60,"31-60 days","60+ days")))))</f>
      </c>
      <c r="U85" s="220">
        <f>IF($B85="","",IFERROR(MATCH($B85,'Submission template'!$D$17:$D$300,0),""))</f>
      </c>
      <c r="V85" s="220">
        <f>IF($U85="","",IFERROR(TRIM(INDEX('Submission template'!$I$17:$I$300,$U85)),""))</f>
      </c>
      <c r="W85" s="225">
        <f>IF($V85="",0,IF(ISNUMBER(SEARCH("%",$V85)),0,IFERROR(VALUE(LEFT($V85,IF(NOT(OR(AND(MID($V85,1,1)&gt;="0",MID($V85,1,1)&lt;="9"),MID($V85,1,1)=".")),0,IF(NOT(OR(AND(MID($V85,2,1)&gt;="0",MID($V85,2,1)&lt;="9"),MID($V85,2,1)=".")),1,IF(NOT(OR(AND(MID($V85,3,1)&gt;="0",MID($V85,3,1)&lt;="9"),MID($V85,3,1)=".")),2,IF(NOT(OR(AND(MID($V85,4,1)&gt;="0",MID($V85,4,1)&lt;="9"),MID($V85,4,1)=".")),3,IF(NOT(OR(AND(MID($V85,5,1)&gt;="0",MID($V85,5,1)&lt;="9"),MID($V85,5,1)=".")),4,IF(NOT(OR(AND(MID($V85,6,1)&gt;="0",MID($V85,6,1)&lt;="9"),MID($V85,6,1)=".")),5,6)))))))),0)))</f>
        <v>0</v>
      </c>
      <c r="X85" s="220">
        <f>IF($U85="","",IFERROR(TRIM(INDEX('Submission template'!$J$17:$J$300,$U85)),""))</f>
      </c>
      <c r="Y85" s="220">
        <f>IF($U85="","",IFERROR(TRIM(INDEX('Submission template'!$K$17:$K$300,$U85)),""))</f>
      </c>
      <c r="Z85" s="220">
        <f>IF($U85="","",IFERROR(TRIM(INDEX('Submission template'!$M$17:$M$300,$U85)),""))</f>
      </c>
      <c r="AA85" s="220">
        <f>IF($U85="","",IFERROR(TRIM(INDEX('Submission template'!$O$17:$O$300,$U85)),""))</f>
      </c>
      <c r="AB85" s="220">
        <f>IF($U85="","",IFERROR(TRIM(INDEX('Submission template'!$S$17:$S$300,$U85)),""))</f>
      </c>
      <c r="AC85" s="220">
        <f>IF($B85="",0,IF($U85="",0,1))</f>
        <v>0</v>
      </c>
      <c r="AD85" s="220">
        <f>IF($B85="",0,IF(OR($H85=TargetLocation,AND($AA85&lt;&gt;"",ISNUMBER(SEARCH(TargetLocation,$AA85)))),1,0))</f>
        <v>0</v>
      </c>
      <c r="AE85" s="220">
        <f>IF($B85="",0,IF(AND(OR(SelRecruiter="All",$C85=SelRecruiter),OR(SelCity="All",$H85=SelCity),OR(SelStage="All",$I85=SelStage),OR(SelRequisition="All",$F85=SelRequisition)),1,0))</f>
        <v>0</v>
      </c>
      <c r="AF85" s="220">
        <f>IF($B85="","",COUNT($AF$5:AF84)+1)</f>
      </c>
      <c r="AG85" s="220">
        <f>IF($C85="","",IF(COUNTIF($C$6:$C85,$C85)=1,COUNT($AG$5:AG84)+1,""))</f>
      </c>
      <c r="AH85" s="220">
        <f>IF($F85="","",IF(COUNTIF($F$6:$F85,$F85)=1,COUNT($AH$5:AH84)+1,""))</f>
      </c>
      <c r="AI85" s="220">
        <f>IF($H85="","",IF(COUNTIF($H$6:$H85,$H85)=1,COUNT($AI$5:AI84)+1,""))</f>
      </c>
      <c r="AJ85" s="220">
        <f>IF(OR($B85="",$J85=0),"",$J85*100000000+IF(ISNUMBER($D85),$D85,0)*1000+(170-$A85))</f>
      </c>
      <c r="AK85" s="220">
        <f>IF(OR($B85="",$W85&lt;=0),"",ROUND($W85*10,0)*100000+(170-$A85))</f>
      </c>
      <c r="AL85" s="220">
        <f>IF(OR($B85="",$P85&lt;=0),"",ROUND($P85*10000,0)*1000+(170-$A85))</f>
      </c>
      <c r="AM85" s="220">
        <f>IF(AND($W85&gt;0,$O85&gt;0),COUNT($AM$5:AM84)+1,"")</f>
      </c>
      <c r="AN85">
        <f>IF($B85="",0,IF($G85="",0,SUMPRODUCT(MAX(ISNUMBER(SEARCH(LocPattern,$G85))*LocIdx))))</f>
        <v>0</v>
      </c>
      <c r="BL85">
        <f>IFERROR(INDEX($B$6:$B$125,MATCH(80,$AF$6:$AF$125,0)),"")</f>
      </c>
    </row>
    <row r="86">
      <c r="A86" s="214" t="n">
        <v>81</v>
      </c>
      <c r="B86" s="214">
        <f>IF(TRIM('Master Data-2026'!D82)="","",TRIM('Master Data-2026'!D82))</f>
      </c>
      <c r="C86" s="214">
        <f>IF($B86="","",TRIM('Master Data-2026'!A82))</f>
      </c>
      <c r="D86" s="215">
        <f>IF($B86="","",IF('Master Data-2026'!B82="","",'Master Data-2026'!B82))</f>
      </c>
      <c r="E86" s="214">
        <f>IF($B86="","",TRIM('Master Data-2026'!C82))</f>
      </c>
      <c r="F86" s="214">
        <f>IF($B86="","",TRIM('Master Data-2026'!G82))</f>
      </c>
      <c r="G86" s="214">
        <f>IF($B86="","",TRIM('Master Data-2026'!F82))</f>
      </c>
      <c r="H86" s="214">
        <f>IF($B86="","",IF($G86="","Not recorded",IF($AN86=0,"Other",INDEX(LocCity,$AN86))))</f>
      </c>
      <c r="I86" s="214">
        <f>IF($B86="","",TRIM('Master Data-2026'!H82))</f>
      </c>
      <c r="J86" s="214">
        <f>IF($B86="",0,IFERROR(INDEX(StageOrderRef,MATCH($I86,StageNameRef,0)),0))</f>
        <v>0</v>
      </c>
      <c r="K86" s="214">
        <f>IF($B86="","",TRIM('Master Data-2026'!I82))</f>
      </c>
      <c r="L86" s="214">
        <f>IF($B86="","",TRIM('Master Data-2026'!J82))</f>
      </c>
      <c r="M86" s="216">
        <f>IF($L86="",0,IF(ISNUMBER(SEARCH("%",$L86)),0,IFERROR(VALUE(LEFT($L86,IF(NOT(OR(AND(MID($L86,1,1)&gt;="0",MID($L86,1,1)&lt;="9"),MID($L86,1,1)=".")),0,IF(NOT(OR(AND(MID($L86,2,1)&gt;="0",MID($L86,2,1)&lt;="9"),MID($L86,2,1)=".")),1,IF(NOT(OR(AND(MID($L86,3,1)&gt;="0",MID($L86,3,1)&lt;="9"),MID($L86,3,1)=".")),2,IF(NOT(OR(AND(MID($L86,4,1)&gt;="0",MID($L86,4,1)&lt;="9"),MID($L86,4,1)=".")),3,IF(NOT(OR(AND(MID($L86,5,1)&gt;="0",MID($L86,5,1)&lt;="9"),MID($L86,5,1)=".")),4,IF(NOT(OR(AND(MID($L86,6,1)&gt;="0",MID($L86,6,1)&lt;="9"),MID($L86,6,1)=".")),5,6)))))))),0)))</f>
        <v>0</v>
      </c>
      <c r="N86" s="214">
        <f>IF($B86="","",TRIM('Master Data-2026'!K82))</f>
      </c>
      <c r="O86" s="216">
        <f>IF($N86="",0,IF(ISNUMBER(SEARCH("%",$N86)),0,IFERROR(VALUE(LEFT($N86,IF(NOT(OR(AND(MID($N86,1,1)&gt;="0",MID($N86,1,1)&lt;="9"),MID($N86,1,1)=".")),0,IF(NOT(OR(AND(MID($N86,2,1)&gt;="0",MID($N86,2,1)&lt;="9"),MID($N86,2,1)=".")),1,IF(NOT(OR(AND(MID($N86,3,1)&gt;="0",MID($N86,3,1)&lt;="9"),MID($N86,3,1)=".")),2,IF(NOT(OR(AND(MID($N86,4,1)&gt;="0",MID($N86,4,1)&lt;="9"),MID($N86,4,1)=".")),3,IF(NOT(OR(AND(MID($N86,5,1)&gt;="0",MID($N86,5,1)&lt;="9"),MID($N86,5,1)=".")),4,IF(NOT(OR(AND(MID($N86,6,1)&gt;="0",MID($N86,6,1)&lt;="9"),MID($N86,6,1)=".")),5,6)))))))),0)))</f>
        <v>0</v>
      </c>
      <c r="P86" s="217">
        <f>IF(AND($M86&gt;0,$O86&gt;0),$O86/$M86-1,0)</f>
        <v>0</v>
      </c>
      <c r="Q86" s="214">
        <f>IF($B86="","",TRIM('Master Data-2026'!L82))</f>
      </c>
      <c r="R86" s="214">
        <f>IF($Q86="",0,IF(ISNUMBER(SEARCH("%",$Q86)),0,IFERROR(VALUE(LEFT($Q86,IF(NOT(OR(AND(MID($Q86,1,1)&gt;="0",MID($Q86,1,1)&lt;="9"),MID($Q86,1,1)=".")),0,IF(NOT(OR(AND(MID($Q86,2,1)&gt;="0",MID($Q86,2,1)&lt;="9"),MID($Q86,2,1)=".")),1,IF(NOT(OR(AND(MID($Q86,3,1)&gt;="0",MID($Q86,3,1)&lt;="9"),MID($Q86,3,1)=".")),2,IF(NOT(OR(AND(MID($Q86,4,1)&gt;="0",MID($Q86,4,1)&lt;="9"),MID($Q86,4,1)=".")),3,IF(NOT(OR(AND(MID($Q86,5,1)&gt;="0",MID($Q86,5,1)&lt;="9"),MID($Q86,5,1)=".")),4,IF(NOT(OR(AND(MID($Q86,6,1)&gt;="0",MID($Q86,6,1)&lt;="9"),MID($Q86,6,1)=".")),5,6)))))))),0)))</f>
        <v>0</v>
      </c>
      <c r="S86" s="218">
        <f>IF($Q86="",-1,IF(ISNUMBER(SEARCH("immediate",$Q86)),0,IF(ISNUMBER(SEARCH("month",$Q86)),IF($R86=0,-1,$R86*30),IF(ISNUMBER(SEARCH("day",$Q86)),IF($R86=0,-1,$R86),-1))))</f>
        <v>-1</v>
      </c>
      <c r="T86" s="214">
        <f>IF($B86="","",IF($S86&lt;0,"Not recorded",IF($S86=0,"Immediate",IF($S86&lt;=30,"1-30 days",IF($S86&lt;=60,"31-60 days","60+ days")))))</f>
      </c>
      <c r="U86" s="214">
        <f>IF($B86="","",IFERROR(MATCH($B86,'Submission template'!$D$17:$D$300,0),""))</f>
      </c>
      <c r="V86" s="214">
        <f>IF($U86="","",IFERROR(TRIM(INDEX('Submission template'!$I$17:$I$300,$U86)),""))</f>
      </c>
      <c r="W86" s="219">
        <f>IF($V86="",0,IF(ISNUMBER(SEARCH("%",$V86)),0,IFERROR(VALUE(LEFT($V86,IF(NOT(OR(AND(MID($V86,1,1)&gt;="0",MID($V86,1,1)&lt;="9"),MID($V86,1,1)=".")),0,IF(NOT(OR(AND(MID($V86,2,1)&gt;="0",MID($V86,2,1)&lt;="9"),MID($V86,2,1)=".")),1,IF(NOT(OR(AND(MID($V86,3,1)&gt;="0",MID($V86,3,1)&lt;="9"),MID($V86,3,1)=".")),2,IF(NOT(OR(AND(MID($V86,4,1)&gt;="0",MID($V86,4,1)&lt;="9"),MID($V86,4,1)=".")),3,IF(NOT(OR(AND(MID($V86,5,1)&gt;="0",MID($V86,5,1)&lt;="9"),MID($V86,5,1)=".")),4,IF(NOT(OR(AND(MID($V86,6,1)&gt;="0",MID($V86,6,1)&lt;="9"),MID($V86,6,1)=".")),5,6)))))))),0)))</f>
        <v>0</v>
      </c>
      <c r="X86" s="214">
        <f>IF($U86="","",IFERROR(TRIM(INDEX('Submission template'!$J$17:$J$300,$U86)),""))</f>
      </c>
      <c r="Y86" s="214">
        <f>IF($U86="","",IFERROR(TRIM(INDEX('Submission template'!$K$17:$K$300,$U86)),""))</f>
      </c>
      <c r="Z86" s="214">
        <f>IF($U86="","",IFERROR(TRIM(INDEX('Submission template'!$M$17:$M$300,$U86)),""))</f>
      </c>
      <c r="AA86" s="214">
        <f>IF($U86="","",IFERROR(TRIM(INDEX('Submission template'!$O$17:$O$300,$U86)),""))</f>
      </c>
      <c r="AB86" s="214">
        <f>IF($U86="","",IFERROR(TRIM(INDEX('Submission template'!$S$17:$S$300,$U86)),""))</f>
      </c>
      <c r="AC86" s="214">
        <f>IF($B86="",0,IF($U86="",0,1))</f>
        <v>0</v>
      </c>
      <c r="AD86" s="214">
        <f>IF($B86="",0,IF(OR($H86=TargetLocation,AND($AA86&lt;&gt;"",ISNUMBER(SEARCH(TargetLocation,$AA86)))),1,0))</f>
        <v>0</v>
      </c>
      <c r="AE86" s="214">
        <f>IF($B86="",0,IF(AND(OR(SelRecruiter="All",$C86=SelRecruiter),OR(SelCity="All",$H86=SelCity),OR(SelStage="All",$I86=SelStage),OR(SelRequisition="All",$F86=SelRequisition)),1,0))</f>
        <v>0</v>
      </c>
      <c r="AF86" s="214">
        <f>IF($B86="","",COUNT($AF$5:AF85)+1)</f>
      </c>
      <c r="AG86" s="214">
        <f>IF($C86="","",IF(COUNTIF($C$6:$C86,$C86)=1,COUNT($AG$5:AG85)+1,""))</f>
      </c>
      <c r="AH86" s="214">
        <f>IF($F86="","",IF(COUNTIF($F$6:$F86,$F86)=1,COUNT($AH$5:AH85)+1,""))</f>
      </c>
      <c r="AI86" s="214">
        <f>IF($H86="","",IF(COUNTIF($H$6:$H86,$H86)=1,COUNT($AI$5:AI85)+1,""))</f>
      </c>
      <c r="AJ86" s="214">
        <f>IF(OR($B86="",$J86=0),"",$J86*100000000+IF(ISNUMBER($D86),$D86,0)*1000+(170-$A86))</f>
      </c>
      <c r="AK86" s="214">
        <f>IF(OR($B86="",$W86&lt;=0),"",ROUND($W86*10,0)*100000+(170-$A86))</f>
      </c>
      <c r="AL86" s="214">
        <f>IF(OR($B86="",$P86&lt;=0),"",ROUND($P86*10000,0)*1000+(170-$A86))</f>
      </c>
      <c r="AM86" s="214">
        <f>IF(AND($W86&gt;0,$O86&gt;0),COUNT($AM$5:AM85)+1,"")</f>
      </c>
      <c r="AN86">
        <f>IF($B86="",0,IF($G86="",0,SUMPRODUCT(MAX(ISNUMBER(SEARCH(LocPattern,$G86))*LocIdx))))</f>
        <v>0</v>
      </c>
      <c r="BL86">
        <f>IFERROR(INDEX($B$6:$B$125,MATCH(81,$AF$6:$AF$125,0)),"")</f>
      </c>
    </row>
    <row r="87">
      <c r="A87" s="220" t="n">
        <v>82</v>
      </c>
      <c r="B87" s="220">
        <f>IF(TRIM('Master Data-2026'!D83)="","",TRIM('Master Data-2026'!D83))</f>
      </c>
      <c r="C87" s="220">
        <f>IF($B87="","",TRIM('Master Data-2026'!A83))</f>
      </c>
      <c r="D87" s="221">
        <f>IF($B87="","",IF('Master Data-2026'!B83="","",'Master Data-2026'!B83))</f>
      </c>
      <c r="E87" s="220">
        <f>IF($B87="","",TRIM('Master Data-2026'!C83))</f>
      </c>
      <c r="F87" s="220">
        <f>IF($B87="","",TRIM('Master Data-2026'!G83))</f>
      </c>
      <c r="G87" s="220">
        <f>IF($B87="","",TRIM('Master Data-2026'!F83))</f>
      </c>
      <c r="H87" s="220">
        <f>IF($B87="","",IF($G87="","Not recorded",IF($AN87=0,"Other",INDEX(LocCity,$AN87))))</f>
      </c>
      <c r="I87" s="220">
        <f>IF($B87="","",TRIM('Master Data-2026'!H83))</f>
      </c>
      <c r="J87" s="220">
        <f>IF($B87="",0,IFERROR(INDEX(StageOrderRef,MATCH($I87,StageNameRef,0)),0))</f>
        <v>0</v>
      </c>
      <c r="K87" s="220">
        <f>IF($B87="","",TRIM('Master Data-2026'!I83))</f>
      </c>
      <c r="L87" s="220">
        <f>IF($B87="","",TRIM('Master Data-2026'!J83))</f>
      </c>
      <c r="M87" s="222">
        <f>IF($L87="",0,IF(ISNUMBER(SEARCH("%",$L87)),0,IFERROR(VALUE(LEFT($L87,IF(NOT(OR(AND(MID($L87,1,1)&gt;="0",MID($L87,1,1)&lt;="9"),MID($L87,1,1)=".")),0,IF(NOT(OR(AND(MID($L87,2,1)&gt;="0",MID($L87,2,1)&lt;="9"),MID($L87,2,1)=".")),1,IF(NOT(OR(AND(MID($L87,3,1)&gt;="0",MID($L87,3,1)&lt;="9"),MID($L87,3,1)=".")),2,IF(NOT(OR(AND(MID($L87,4,1)&gt;="0",MID($L87,4,1)&lt;="9"),MID($L87,4,1)=".")),3,IF(NOT(OR(AND(MID($L87,5,1)&gt;="0",MID($L87,5,1)&lt;="9"),MID($L87,5,1)=".")),4,IF(NOT(OR(AND(MID($L87,6,1)&gt;="0",MID($L87,6,1)&lt;="9"),MID($L87,6,1)=".")),5,6)))))))),0)))</f>
        <v>0</v>
      </c>
      <c r="N87" s="220">
        <f>IF($B87="","",TRIM('Master Data-2026'!K83))</f>
      </c>
      <c r="O87" s="222">
        <f>IF($N87="",0,IF(ISNUMBER(SEARCH("%",$N87)),0,IFERROR(VALUE(LEFT($N87,IF(NOT(OR(AND(MID($N87,1,1)&gt;="0",MID($N87,1,1)&lt;="9"),MID($N87,1,1)=".")),0,IF(NOT(OR(AND(MID($N87,2,1)&gt;="0",MID($N87,2,1)&lt;="9"),MID($N87,2,1)=".")),1,IF(NOT(OR(AND(MID($N87,3,1)&gt;="0",MID($N87,3,1)&lt;="9"),MID($N87,3,1)=".")),2,IF(NOT(OR(AND(MID($N87,4,1)&gt;="0",MID($N87,4,1)&lt;="9"),MID($N87,4,1)=".")),3,IF(NOT(OR(AND(MID($N87,5,1)&gt;="0",MID($N87,5,1)&lt;="9"),MID($N87,5,1)=".")),4,IF(NOT(OR(AND(MID($N87,6,1)&gt;="0",MID($N87,6,1)&lt;="9"),MID($N87,6,1)=".")),5,6)))))))),0)))</f>
        <v>0</v>
      </c>
      <c r="P87" s="223">
        <f>IF(AND($M87&gt;0,$O87&gt;0),$O87/$M87-1,0)</f>
        <v>0</v>
      </c>
      <c r="Q87" s="220">
        <f>IF($B87="","",TRIM('Master Data-2026'!L83))</f>
      </c>
      <c r="R87" s="220">
        <f>IF($Q87="",0,IF(ISNUMBER(SEARCH("%",$Q87)),0,IFERROR(VALUE(LEFT($Q87,IF(NOT(OR(AND(MID($Q87,1,1)&gt;="0",MID($Q87,1,1)&lt;="9"),MID($Q87,1,1)=".")),0,IF(NOT(OR(AND(MID($Q87,2,1)&gt;="0",MID($Q87,2,1)&lt;="9"),MID($Q87,2,1)=".")),1,IF(NOT(OR(AND(MID($Q87,3,1)&gt;="0",MID($Q87,3,1)&lt;="9"),MID($Q87,3,1)=".")),2,IF(NOT(OR(AND(MID($Q87,4,1)&gt;="0",MID($Q87,4,1)&lt;="9"),MID($Q87,4,1)=".")),3,IF(NOT(OR(AND(MID($Q87,5,1)&gt;="0",MID($Q87,5,1)&lt;="9"),MID($Q87,5,1)=".")),4,IF(NOT(OR(AND(MID($Q87,6,1)&gt;="0",MID($Q87,6,1)&lt;="9"),MID($Q87,6,1)=".")),5,6)))))))),0)))</f>
        <v>0</v>
      </c>
      <c r="S87" s="224">
        <f>IF($Q87="",-1,IF(ISNUMBER(SEARCH("immediate",$Q87)),0,IF(ISNUMBER(SEARCH("month",$Q87)),IF($R87=0,-1,$R87*30),IF(ISNUMBER(SEARCH("day",$Q87)),IF($R87=0,-1,$R87),-1))))</f>
        <v>-1</v>
      </c>
      <c r="T87" s="220">
        <f>IF($B87="","",IF($S87&lt;0,"Not recorded",IF($S87=0,"Immediate",IF($S87&lt;=30,"1-30 days",IF($S87&lt;=60,"31-60 days","60+ days")))))</f>
      </c>
      <c r="U87" s="220">
        <f>IF($B87="","",IFERROR(MATCH($B87,'Submission template'!$D$17:$D$300,0),""))</f>
      </c>
      <c r="V87" s="220">
        <f>IF($U87="","",IFERROR(TRIM(INDEX('Submission template'!$I$17:$I$300,$U87)),""))</f>
      </c>
      <c r="W87" s="225">
        <f>IF($V87="",0,IF(ISNUMBER(SEARCH("%",$V87)),0,IFERROR(VALUE(LEFT($V87,IF(NOT(OR(AND(MID($V87,1,1)&gt;="0",MID($V87,1,1)&lt;="9"),MID($V87,1,1)=".")),0,IF(NOT(OR(AND(MID($V87,2,1)&gt;="0",MID($V87,2,1)&lt;="9"),MID($V87,2,1)=".")),1,IF(NOT(OR(AND(MID($V87,3,1)&gt;="0",MID($V87,3,1)&lt;="9"),MID($V87,3,1)=".")),2,IF(NOT(OR(AND(MID($V87,4,1)&gt;="0",MID($V87,4,1)&lt;="9"),MID($V87,4,1)=".")),3,IF(NOT(OR(AND(MID($V87,5,1)&gt;="0",MID($V87,5,1)&lt;="9"),MID($V87,5,1)=".")),4,IF(NOT(OR(AND(MID($V87,6,1)&gt;="0",MID($V87,6,1)&lt;="9"),MID($V87,6,1)=".")),5,6)))))))),0)))</f>
        <v>0</v>
      </c>
      <c r="X87" s="220">
        <f>IF($U87="","",IFERROR(TRIM(INDEX('Submission template'!$J$17:$J$300,$U87)),""))</f>
      </c>
      <c r="Y87" s="220">
        <f>IF($U87="","",IFERROR(TRIM(INDEX('Submission template'!$K$17:$K$300,$U87)),""))</f>
      </c>
      <c r="Z87" s="220">
        <f>IF($U87="","",IFERROR(TRIM(INDEX('Submission template'!$M$17:$M$300,$U87)),""))</f>
      </c>
      <c r="AA87" s="220">
        <f>IF($U87="","",IFERROR(TRIM(INDEX('Submission template'!$O$17:$O$300,$U87)),""))</f>
      </c>
      <c r="AB87" s="220">
        <f>IF($U87="","",IFERROR(TRIM(INDEX('Submission template'!$S$17:$S$300,$U87)),""))</f>
      </c>
      <c r="AC87" s="220">
        <f>IF($B87="",0,IF($U87="",0,1))</f>
        <v>0</v>
      </c>
      <c r="AD87" s="220">
        <f>IF($B87="",0,IF(OR($H87=TargetLocation,AND($AA87&lt;&gt;"",ISNUMBER(SEARCH(TargetLocation,$AA87)))),1,0))</f>
        <v>0</v>
      </c>
      <c r="AE87" s="220">
        <f>IF($B87="",0,IF(AND(OR(SelRecruiter="All",$C87=SelRecruiter),OR(SelCity="All",$H87=SelCity),OR(SelStage="All",$I87=SelStage),OR(SelRequisition="All",$F87=SelRequisition)),1,0))</f>
        <v>0</v>
      </c>
      <c r="AF87" s="220">
        <f>IF($B87="","",COUNT($AF$5:AF86)+1)</f>
      </c>
      <c r="AG87" s="220">
        <f>IF($C87="","",IF(COUNTIF($C$6:$C87,$C87)=1,COUNT($AG$5:AG86)+1,""))</f>
      </c>
      <c r="AH87" s="220">
        <f>IF($F87="","",IF(COUNTIF($F$6:$F87,$F87)=1,COUNT($AH$5:AH86)+1,""))</f>
      </c>
      <c r="AI87" s="220">
        <f>IF($H87="","",IF(COUNTIF($H$6:$H87,$H87)=1,COUNT($AI$5:AI86)+1,""))</f>
      </c>
      <c r="AJ87" s="220">
        <f>IF(OR($B87="",$J87=0),"",$J87*100000000+IF(ISNUMBER($D87),$D87,0)*1000+(170-$A87))</f>
      </c>
      <c r="AK87" s="220">
        <f>IF(OR($B87="",$W87&lt;=0),"",ROUND($W87*10,0)*100000+(170-$A87))</f>
      </c>
      <c r="AL87" s="220">
        <f>IF(OR($B87="",$P87&lt;=0),"",ROUND($P87*10000,0)*1000+(170-$A87))</f>
      </c>
      <c r="AM87" s="220">
        <f>IF(AND($W87&gt;0,$O87&gt;0),COUNT($AM$5:AM86)+1,"")</f>
      </c>
      <c r="AN87">
        <f>IF($B87="",0,IF($G87="",0,SUMPRODUCT(MAX(ISNUMBER(SEARCH(LocPattern,$G87))*LocIdx))))</f>
        <v>0</v>
      </c>
      <c r="BL87">
        <f>IFERROR(INDEX($B$6:$B$125,MATCH(82,$AF$6:$AF$125,0)),"")</f>
      </c>
    </row>
    <row r="88">
      <c r="A88" s="214" t="n">
        <v>83</v>
      </c>
      <c r="B88" s="214">
        <f>IF(TRIM('Master Data-2026'!D84)="","",TRIM('Master Data-2026'!D84))</f>
      </c>
      <c r="C88" s="214">
        <f>IF($B88="","",TRIM('Master Data-2026'!A84))</f>
      </c>
      <c r="D88" s="215">
        <f>IF($B88="","",IF('Master Data-2026'!B84="","",'Master Data-2026'!B84))</f>
      </c>
      <c r="E88" s="214">
        <f>IF($B88="","",TRIM('Master Data-2026'!C84))</f>
      </c>
      <c r="F88" s="214">
        <f>IF($B88="","",TRIM('Master Data-2026'!G84))</f>
      </c>
      <c r="G88" s="214">
        <f>IF($B88="","",TRIM('Master Data-2026'!F84))</f>
      </c>
      <c r="H88" s="214">
        <f>IF($B88="","",IF($G88="","Not recorded",IF($AN88=0,"Other",INDEX(LocCity,$AN88))))</f>
      </c>
      <c r="I88" s="214">
        <f>IF($B88="","",TRIM('Master Data-2026'!H84))</f>
      </c>
      <c r="J88" s="214">
        <f>IF($B88="",0,IFERROR(INDEX(StageOrderRef,MATCH($I88,StageNameRef,0)),0))</f>
        <v>0</v>
      </c>
      <c r="K88" s="214">
        <f>IF($B88="","",TRIM('Master Data-2026'!I84))</f>
      </c>
      <c r="L88" s="214">
        <f>IF($B88="","",TRIM('Master Data-2026'!J84))</f>
      </c>
      <c r="M88" s="216">
        <f>IF($L88="",0,IF(ISNUMBER(SEARCH("%",$L88)),0,IFERROR(VALUE(LEFT($L88,IF(NOT(OR(AND(MID($L88,1,1)&gt;="0",MID($L88,1,1)&lt;="9"),MID($L88,1,1)=".")),0,IF(NOT(OR(AND(MID($L88,2,1)&gt;="0",MID($L88,2,1)&lt;="9"),MID($L88,2,1)=".")),1,IF(NOT(OR(AND(MID($L88,3,1)&gt;="0",MID($L88,3,1)&lt;="9"),MID($L88,3,1)=".")),2,IF(NOT(OR(AND(MID($L88,4,1)&gt;="0",MID($L88,4,1)&lt;="9"),MID($L88,4,1)=".")),3,IF(NOT(OR(AND(MID($L88,5,1)&gt;="0",MID($L88,5,1)&lt;="9"),MID($L88,5,1)=".")),4,IF(NOT(OR(AND(MID($L88,6,1)&gt;="0",MID($L88,6,1)&lt;="9"),MID($L88,6,1)=".")),5,6)))))))),0)))</f>
        <v>0</v>
      </c>
      <c r="N88" s="214">
        <f>IF($B88="","",TRIM('Master Data-2026'!K84))</f>
      </c>
      <c r="O88" s="216">
        <f>IF($N88="",0,IF(ISNUMBER(SEARCH("%",$N88)),0,IFERROR(VALUE(LEFT($N88,IF(NOT(OR(AND(MID($N88,1,1)&gt;="0",MID($N88,1,1)&lt;="9"),MID($N88,1,1)=".")),0,IF(NOT(OR(AND(MID($N88,2,1)&gt;="0",MID($N88,2,1)&lt;="9"),MID($N88,2,1)=".")),1,IF(NOT(OR(AND(MID($N88,3,1)&gt;="0",MID($N88,3,1)&lt;="9"),MID($N88,3,1)=".")),2,IF(NOT(OR(AND(MID($N88,4,1)&gt;="0",MID($N88,4,1)&lt;="9"),MID($N88,4,1)=".")),3,IF(NOT(OR(AND(MID($N88,5,1)&gt;="0",MID($N88,5,1)&lt;="9"),MID($N88,5,1)=".")),4,IF(NOT(OR(AND(MID($N88,6,1)&gt;="0",MID($N88,6,1)&lt;="9"),MID($N88,6,1)=".")),5,6)))))))),0)))</f>
        <v>0</v>
      </c>
      <c r="P88" s="217">
        <f>IF(AND($M88&gt;0,$O88&gt;0),$O88/$M88-1,0)</f>
        <v>0</v>
      </c>
      <c r="Q88" s="214">
        <f>IF($B88="","",TRIM('Master Data-2026'!L84))</f>
      </c>
      <c r="R88" s="214">
        <f>IF($Q88="",0,IF(ISNUMBER(SEARCH("%",$Q88)),0,IFERROR(VALUE(LEFT($Q88,IF(NOT(OR(AND(MID($Q88,1,1)&gt;="0",MID($Q88,1,1)&lt;="9"),MID($Q88,1,1)=".")),0,IF(NOT(OR(AND(MID($Q88,2,1)&gt;="0",MID($Q88,2,1)&lt;="9"),MID($Q88,2,1)=".")),1,IF(NOT(OR(AND(MID($Q88,3,1)&gt;="0",MID($Q88,3,1)&lt;="9"),MID($Q88,3,1)=".")),2,IF(NOT(OR(AND(MID($Q88,4,1)&gt;="0",MID($Q88,4,1)&lt;="9"),MID($Q88,4,1)=".")),3,IF(NOT(OR(AND(MID($Q88,5,1)&gt;="0",MID($Q88,5,1)&lt;="9"),MID($Q88,5,1)=".")),4,IF(NOT(OR(AND(MID($Q88,6,1)&gt;="0",MID($Q88,6,1)&lt;="9"),MID($Q88,6,1)=".")),5,6)))))))),0)))</f>
        <v>0</v>
      </c>
      <c r="S88" s="218">
        <f>IF($Q88="",-1,IF(ISNUMBER(SEARCH("immediate",$Q88)),0,IF(ISNUMBER(SEARCH("month",$Q88)),IF($R88=0,-1,$R88*30),IF(ISNUMBER(SEARCH("day",$Q88)),IF($R88=0,-1,$R88),-1))))</f>
        <v>-1</v>
      </c>
      <c r="T88" s="214">
        <f>IF($B88="","",IF($S88&lt;0,"Not recorded",IF($S88=0,"Immediate",IF($S88&lt;=30,"1-30 days",IF($S88&lt;=60,"31-60 days","60+ days")))))</f>
      </c>
      <c r="U88" s="214">
        <f>IF($B88="","",IFERROR(MATCH($B88,'Submission template'!$D$17:$D$300,0),""))</f>
      </c>
      <c r="V88" s="214">
        <f>IF($U88="","",IFERROR(TRIM(INDEX('Submission template'!$I$17:$I$300,$U88)),""))</f>
      </c>
      <c r="W88" s="219">
        <f>IF($V88="",0,IF(ISNUMBER(SEARCH("%",$V88)),0,IFERROR(VALUE(LEFT($V88,IF(NOT(OR(AND(MID($V88,1,1)&gt;="0",MID($V88,1,1)&lt;="9"),MID($V88,1,1)=".")),0,IF(NOT(OR(AND(MID($V88,2,1)&gt;="0",MID($V88,2,1)&lt;="9"),MID($V88,2,1)=".")),1,IF(NOT(OR(AND(MID($V88,3,1)&gt;="0",MID($V88,3,1)&lt;="9"),MID($V88,3,1)=".")),2,IF(NOT(OR(AND(MID($V88,4,1)&gt;="0",MID($V88,4,1)&lt;="9"),MID($V88,4,1)=".")),3,IF(NOT(OR(AND(MID($V88,5,1)&gt;="0",MID($V88,5,1)&lt;="9"),MID($V88,5,1)=".")),4,IF(NOT(OR(AND(MID($V88,6,1)&gt;="0",MID($V88,6,1)&lt;="9"),MID($V88,6,1)=".")),5,6)))))))),0)))</f>
        <v>0</v>
      </c>
      <c r="X88" s="214">
        <f>IF($U88="","",IFERROR(TRIM(INDEX('Submission template'!$J$17:$J$300,$U88)),""))</f>
      </c>
      <c r="Y88" s="214">
        <f>IF($U88="","",IFERROR(TRIM(INDEX('Submission template'!$K$17:$K$300,$U88)),""))</f>
      </c>
      <c r="Z88" s="214">
        <f>IF($U88="","",IFERROR(TRIM(INDEX('Submission template'!$M$17:$M$300,$U88)),""))</f>
      </c>
      <c r="AA88" s="214">
        <f>IF($U88="","",IFERROR(TRIM(INDEX('Submission template'!$O$17:$O$300,$U88)),""))</f>
      </c>
      <c r="AB88" s="214">
        <f>IF($U88="","",IFERROR(TRIM(INDEX('Submission template'!$S$17:$S$300,$U88)),""))</f>
      </c>
      <c r="AC88" s="214">
        <f>IF($B88="",0,IF($U88="",0,1))</f>
        <v>0</v>
      </c>
      <c r="AD88" s="214">
        <f>IF($B88="",0,IF(OR($H88=TargetLocation,AND($AA88&lt;&gt;"",ISNUMBER(SEARCH(TargetLocation,$AA88)))),1,0))</f>
        <v>0</v>
      </c>
      <c r="AE88" s="214">
        <f>IF($B88="",0,IF(AND(OR(SelRecruiter="All",$C88=SelRecruiter),OR(SelCity="All",$H88=SelCity),OR(SelStage="All",$I88=SelStage),OR(SelRequisition="All",$F88=SelRequisition)),1,0))</f>
        <v>0</v>
      </c>
      <c r="AF88" s="214">
        <f>IF($B88="","",COUNT($AF$5:AF87)+1)</f>
      </c>
      <c r="AG88" s="214">
        <f>IF($C88="","",IF(COUNTIF($C$6:$C88,$C88)=1,COUNT($AG$5:AG87)+1,""))</f>
      </c>
      <c r="AH88" s="214">
        <f>IF($F88="","",IF(COUNTIF($F$6:$F88,$F88)=1,COUNT($AH$5:AH87)+1,""))</f>
      </c>
      <c r="AI88" s="214">
        <f>IF($H88="","",IF(COUNTIF($H$6:$H88,$H88)=1,COUNT($AI$5:AI87)+1,""))</f>
      </c>
      <c r="AJ88" s="214">
        <f>IF(OR($B88="",$J88=0),"",$J88*100000000+IF(ISNUMBER($D88),$D88,0)*1000+(170-$A88))</f>
      </c>
      <c r="AK88" s="214">
        <f>IF(OR($B88="",$W88&lt;=0),"",ROUND($W88*10,0)*100000+(170-$A88))</f>
      </c>
      <c r="AL88" s="214">
        <f>IF(OR($B88="",$P88&lt;=0),"",ROUND($P88*10000,0)*1000+(170-$A88))</f>
      </c>
      <c r="AM88" s="214">
        <f>IF(AND($W88&gt;0,$O88&gt;0),COUNT($AM$5:AM87)+1,"")</f>
      </c>
      <c r="AN88">
        <f>IF($B88="",0,IF($G88="",0,SUMPRODUCT(MAX(ISNUMBER(SEARCH(LocPattern,$G88))*LocIdx))))</f>
        <v>0</v>
      </c>
      <c r="BL88">
        <f>IFERROR(INDEX($B$6:$B$125,MATCH(83,$AF$6:$AF$125,0)),"")</f>
      </c>
    </row>
    <row r="89">
      <c r="A89" s="220" t="n">
        <v>84</v>
      </c>
      <c r="B89" s="220">
        <f>IF(TRIM('Master Data-2026'!D85)="","",TRIM('Master Data-2026'!D85))</f>
      </c>
      <c r="C89" s="220">
        <f>IF($B89="","",TRIM('Master Data-2026'!A85))</f>
      </c>
      <c r="D89" s="221">
        <f>IF($B89="","",IF('Master Data-2026'!B85="","",'Master Data-2026'!B85))</f>
      </c>
      <c r="E89" s="220">
        <f>IF($B89="","",TRIM('Master Data-2026'!C85))</f>
      </c>
      <c r="F89" s="220">
        <f>IF($B89="","",TRIM('Master Data-2026'!G85))</f>
      </c>
      <c r="G89" s="220">
        <f>IF($B89="","",TRIM('Master Data-2026'!F85))</f>
      </c>
      <c r="H89" s="220">
        <f>IF($B89="","",IF($G89="","Not recorded",IF($AN89=0,"Other",INDEX(LocCity,$AN89))))</f>
      </c>
      <c r="I89" s="220">
        <f>IF($B89="","",TRIM('Master Data-2026'!H85))</f>
      </c>
      <c r="J89" s="220">
        <f>IF($B89="",0,IFERROR(INDEX(StageOrderRef,MATCH($I89,StageNameRef,0)),0))</f>
        <v>0</v>
      </c>
      <c r="K89" s="220">
        <f>IF($B89="","",TRIM('Master Data-2026'!I85))</f>
      </c>
      <c r="L89" s="220">
        <f>IF($B89="","",TRIM('Master Data-2026'!J85))</f>
      </c>
      <c r="M89" s="222">
        <f>IF($L89="",0,IF(ISNUMBER(SEARCH("%",$L89)),0,IFERROR(VALUE(LEFT($L89,IF(NOT(OR(AND(MID($L89,1,1)&gt;="0",MID($L89,1,1)&lt;="9"),MID($L89,1,1)=".")),0,IF(NOT(OR(AND(MID($L89,2,1)&gt;="0",MID($L89,2,1)&lt;="9"),MID($L89,2,1)=".")),1,IF(NOT(OR(AND(MID($L89,3,1)&gt;="0",MID($L89,3,1)&lt;="9"),MID($L89,3,1)=".")),2,IF(NOT(OR(AND(MID($L89,4,1)&gt;="0",MID($L89,4,1)&lt;="9"),MID($L89,4,1)=".")),3,IF(NOT(OR(AND(MID($L89,5,1)&gt;="0",MID($L89,5,1)&lt;="9"),MID($L89,5,1)=".")),4,IF(NOT(OR(AND(MID($L89,6,1)&gt;="0",MID($L89,6,1)&lt;="9"),MID($L89,6,1)=".")),5,6)))))))),0)))</f>
        <v>0</v>
      </c>
      <c r="N89" s="220">
        <f>IF($B89="","",TRIM('Master Data-2026'!K85))</f>
      </c>
      <c r="O89" s="222">
        <f>IF($N89="",0,IF(ISNUMBER(SEARCH("%",$N89)),0,IFERROR(VALUE(LEFT($N89,IF(NOT(OR(AND(MID($N89,1,1)&gt;="0",MID($N89,1,1)&lt;="9"),MID($N89,1,1)=".")),0,IF(NOT(OR(AND(MID($N89,2,1)&gt;="0",MID($N89,2,1)&lt;="9"),MID($N89,2,1)=".")),1,IF(NOT(OR(AND(MID($N89,3,1)&gt;="0",MID($N89,3,1)&lt;="9"),MID($N89,3,1)=".")),2,IF(NOT(OR(AND(MID($N89,4,1)&gt;="0",MID($N89,4,1)&lt;="9"),MID($N89,4,1)=".")),3,IF(NOT(OR(AND(MID($N89,5,1)&gt;="0",MID($N89,5,1)&lt;="9"),MID($N89,5,1)=".")),4,IF(NOT(OR(AND(MID($N89,6,1)&gt;="0",MID($N89,6,1)&lt;="9"),MID($N89,6,1)=".")),5,6)))))))),0)))</f>
        <v>0</v>
      </c>
      <c r="P89" s="223">
        <f>IF(AND($M89&gt;0,$O89&gt;0),$O89/$M89-1,0)</f>
        <v>0</v>
      </c>
      <c r="Q89" s="220">
        <f>IF($B89="","",TRIM('Master Data-2026'!L85))</f>
      </c>
      <c r="R89" s="220">
        <f>IF($Q89="",0,IF(ISNUMBER(SEARCH("%",$Q89)),0,IFERROR(VALUE(LEFT($Q89,IF(NOT(OR(AND(MID($Q89,1,1)&gt;="0",MID($Q89,1,1)&lt;="9"),MID($Q89,1,1)=".")),0,IF(NOT(OR(AND(MID($Q89,2,1)&gt;="0",MID($Q89,2,1)&lt;="9"),MID($Q89,2,1)=".")),1,IF(NOT(OR(AND(MID($Q89,3,1)&gt;="0",MID($Q89,3,1)&lt;="9"),MID($Q89,3,1)=".")),2,IF(NOT(OR(AND(MID($Q89,4,1)&gt;="0",MID($Q89,4,1)&lt;="9"),MID($Q89,4,1)=".")),3,IF(NOT(OR(AND(MID($Q89,5,1)&gt;="0",MID($Q89,5,1)&lt;="9"),MID($Q89,5,1)=".")),4,IF(NOT(OR(AND(MID($Q89,6,1)&gt;="0",MID($Q89,6,1)&lt;="9"),MID($Q89,6,1)=".")),5,6)))))))),0)))</f>
        <v>0</v>
      </c>
      <c r="S89" s="224">
        <f>IF($Q89="",-1,IF(ISNUMBER(SEARCH("immediate",$Q89)),0,IF(ISNUMBER(SEARCH("month",$Q89)),IF($R89=0,-1,$R89*30),IF(ISNUMBER(SEARCH("day",$Q89)),IF($R89=0,-1,$R89),-1))))</f>
        <v>-1</v>
      </c>
      <c r="T89" s="220">
        <f>IF($B89="","",IF($S89&lt;0,"Not recorded",IF($S89=0,"Immediate",IF($S89&lt;=30,"1-30 days",IF($S89&lt;=60,"31-60 days","60+ days")))))</f>
      </c>
      <c r="U89" s="220">
        <f>IF($B89="","",IFERROR(MATCH($B89,'Submission template'!$D$17:$D$300,0),""))</f>
      </c>
      <c r="V89" s="220">
        <f>IF($U89="","",IFERROR(TRIM(INDEX('Submission template'!$I$17:$I$300,$U89)),""))</f>
      </c>
      <c r="W89" s="225">
        <f>IF($V89="",0,IF(ISNUMBER(SEARCH("%",$V89)),0,IFERROR(VALUE(LEFT($V89,IF(NOT(OR(AND(MID($V89,1,1)&gt;="0",MID($V89,1,1)&lt;="9"),MID($V89,1,1)=".")),0,IF(NOT(OR(AND(MID($V89,2,1)&gt;="0",MID($V89,2,1)&lt;="9"),MID($V89,2,1)=".")),1,IF(NOT(OR(AND(MID($V89,3,1)&gt;="0",MID($V89,3,1)&lt;="9"),MID($V89,3,1)=".")),2,IF(NOT(OR(AND(MID($V89,4,1)&gt;="0",MID($V89,4,1)&lt;="9"),MID($V89,4,1)=".")),3,IF(NOT(OR(AND(MID($V89,5,1)&gt;="0",MID($V89,5,1)&lt;="9"),MID($V89,5,1)=".")),4,IF(NOT(OR(AND(MID($V89,6,1)&gt;="0",MID($V89,6,1)&lt;="9"),MID($V89,6,1)=".")),5,6)))))))),0)))</f>
        <v>0</v>
      </c>
      <c r="X89" s="220">
        <f>IF($U89="","",IFERROR(TRIM(INDEX('Submission template'!$J$17:$J$300,$U89)),""))</f>
      </c>
      <c r="Y89" s="220">
        <f>IF($U89="","",IFERROR(TRIM(INDEX('Submission template'!$K$17:$K$300,$U89)),""))</f>
      </c>
      <c r="Z89" s="220">
        <f>IF($U89="","",IFERROR(TRIM(INDEX('Submission template'!$M$17:$M$300,$U89)),""))</f>
      </c>
      <c r="AA89" s="220">
        <f>IF($U89="","",IFERROR(TRIM(INDEX('Submission template'!$O$17:$O$300,$U89)),""))</f>
      </c>
      <c r="AB89" s="220">
        <f>IF($U89="","",IFERROR(TRIM(INDEX('Submission template'!$S$17:$S$300,$U89)),""))</f>
      </c>
      <c r="AC89" s="220">
        <f>IF($B89="",0,IF($U89="",0,1))</f>
        <v>0</v>
      </c>
      <c r="AD89" s="220">
        <f>IF($B89="",0,IF(OR($H89=TargetLocation,AND($AA89&lt;&gt;"",ISNUMBER(SEARCH(TargetLocation,$AA89)))),1,0))</f>
        <v>0</v>
      </c>
      <c r="AE89" s="220">
        <f>IF($B89="",0,IF(AND(OR(SelRecruiter="All",$C89=SelRecruiter),OR(SelCity="All",$H89=SelCity),OR(SelStage="All",$I89=SelStage),OR(SelRequisition="All",$F89=SelRequisition)),1,0))</f>
        <v>0</v>
      </c>
      <c r="AF89" s="220">
        <f>IF($B89="","",COUNT($AF$5:AF88)+1)</f>
      </c>
      <c r="AG89" s="220">
        <f>IF($C89="","",IF(COUNTIF($C$6:$C89,$C89)=1,COUNT($AG$5:AG88)+1,""))</f>
      </c>
      <c r="AH89" s="220">
        <f>IF($F89="","",IF(COUNTIF($F$6:$F89,$F89)=1,COUNT($AH$5:AH88)+1,""))</f>
      </c>
      <c r="AI89" s="220">
        <f>IF($H89="","",IF(COUNTIF($H$6:$H89,$H89)=1,COUNT($AI$5:AI88)+1,""))</f>
      </c>
      <c r="AJ89" s="220">
        <f>IF(OR($B89="",$J89=0),"",$J89*100000000+IF(ISNUMBER($D89),$D89,0)*1000+(170-$A89))</f>
      </c>
      <c r="AK89" s="220">
        <f>IF(OR($B89="",$W89&lt;=0),"",ROUND($W89*10,0)*100000+(170-$A89))</f>
      </c>
      <c r="AL89" s="220">
        <f>IF(OR($B89="",$P89&lt;=0),"",ROUND($P89*10000,0)*1000+(170-$A89))</f>
      </c>
      <c r="AM89" s="220">
        <f>IF(AND($W89&gt;0,$O89&gt;0),COUNT($AM$5:AM88)+1,"")</f>
      </c>
      <c r="AN89">
        <f>IF($B89="",0,IF($G89="",0,SUMPRODUCT(MAX(ISNUMBER(SEARCH(LocPattern,$G89))*LocIdx))))</f>
        <v>0</v>
      </c>
      <c r="BL89">
        <f>IFERROR(INDEX($B$6:$B$125,MATCH(84,$AF$6:$AF$125,0)),"")</f>
      </c>
    </row>
    <row r="90">
      <c r="A90" s="214" t="n">
        <v>85</v>
      </c>
      <c r="B90" s="214">
        <f>IF(TRIM('Master Data-2026'!D86)="","",TRIM('Master Data-2026'!D86))</f>
      </c>
      <c r="C90" s="214">
        <f>IF($B90="","",TRIM('Master Data-2026'!A86))</f>
      </c>
      <c r="D90" s="215">
        <f>IF($B90="","",IF('Master Data-2026'!B86="","",'Master Data-2026'!B86))</f>
      </c>
      <c r="E90" s="214">
        <f>IF($B90="","",TRIM('Master Data-2026'!C86))</f>
      </c>
      <c r="F90" s="214">
        <f>IF($B90="","",TRIM('Master Data-2026'!G86))</f>
      </c>
      <c r="G90" s="214">
        <f>IF($B90="","",TRIM('Master Data-2026'!F86))</f>
      </c>
      <c r="H90" s="214">
        <f>IF($B90="","",IF($G90="","Not recorded",IF($AN90=0,"Other",INDEX(LocCity,$AN90))))</f>
      </c>
      <c r="I90" s="214">
        <f>IF($B90="","",TRIM('Master Data-2026'!H86))</f>
      </c>
      <c r="J90" s="214">
        <f>IF($B90="",0,IFERROR(INDEX(StageOrderRef,MATCH($I90,StageNameRef,0)),0))</f>
        <v>0</v>
      </c>
      <c r="K90" s="214">
        <f>IF($B90="","",TRIM('Master Data-2026'!I86))</f>
      </c>
      <c r="L90" s="214">
        <f>IF($B90="","",TRIM('Master Data-2026'!J86))</f>
      </c>
      <c r="M90" s="216">
        <f>IF($L90="",0,IF(ISNUMBER(SEARCH("%",$L90)),0,IFERROR(VALUE(LEFT($L90,IF(NOT(OR(AND(MID($L90,1,1)&gt;="0",MID($L90,1,1)&lt;="9"),MID($L90,1,1)=".")),0,IF(NOT(OR(AND(MID($L90,2,1)&gt;="0",MID($L90,2,1)&lt;="9"),MID($L90,2,1)=".")),1,IF(NOT(OR(AND(MID($L90,3,1)&gt;="0",MID($L90,3,1)&lt;="9"),MID($L90,3,1)=".")),2,IF(NOT(OR(AND(MID($L90,4,1)&gt;="0",MID($L90,4,1)&lt;="9"),MID($L90,4,1)=".")),3,IF(NOT(OR(AND(MID($L90,5,1)&gt;="0",MID($L90,5,1)&lt;="9"),MID($L90,5,1)=".")),4,IF(NOT(OR(AND(MID($L90,6,1)&gt;="0",MID($L90,6,1)&lt;="9"),MID($L90,6,1)=".")),5,6)))))))),0)))</f>
        <v>0</v>
      </c>
      <c r="N90" s="214">
        <f>IF($B90="","",TRIM('Master Data-2026'!K86))</f>
      </c>
      <c r="O90" s="216">
        <f>IF($N90="",0,IF(ISNUMBER(SEARCH("%",$N90)),0,IFERROR(VALUE(LEFT($N90,IF(NOT(OR(AND(MID($N90,1,1)&gt;="0",MID($N90,1,1)&lt;="9"),MID($N90,1,1)=".")),0,IF(NOT(OR(AND(MID($N90,2,1)&gt;="0",MID($N90,2,1)&lt;="9"),MID($N90,2,1)=".")),1,IF(NOT(OR(AND(MID($N90,3,1)&gt;="0",MID($N90,3,1)&lt;="9"),MID($N90,3,1)=".")),2,IF(NOT(OR(AND(MID($N90,4,1)&gt;="0",MID($N90,4,1)&lt;="9"),MID($N90,4,1)=".")),3,IF(NOT(OR(AND(MID($N90,5,1)&gt;="0",MID($N90,5,1)&lt;="9"),MID($N90,5,1)=".")),4,IF(NOT(OR(AND(MID($N90,6,1)&gt;="0",MID($N90,6,1)&lt;="9"),MID($N90,6,1)=".")),5,6)))))))),0)))</f>
        <v>0</v>
      </c>
      <c r="P90" s="217">
        <f>IF(AND($M90&gt;0,$O90&gt;0),$O90/$M90-1,0)</f>
        <v>0</v>
      </c>
      <c r="Q90" s="214">
        <f>IF($B90="","",TRIM('Master Data-2026'!L86))</f>
      </c>
      <c r="R90" s="214">
        <f>IF($Q90="",0,IF(ISNUMBER(SEARCH("%",$Q90)),0,IFERROR(VALUE(LEFT($Q90,IF(NOT(OR(AND(MID($Q90,1,1)&gt;="0",MID($Q90,1,1)&lt;="9"),MID($Q90,1,1)=".")),0,IF(NOT(OR(AND(MID($Q90,2,1)&gt;="0",MID($Q90,2,1)&lt;="9"),MID($Q90,2,1)=".")),1,IF(NOT(OR(AND(MID($Q90,3,1)&gt;="0",MID($Q90,3,1)&lt;="9"),MID($Q90,3,1)=".")),2,IF(NOT(OR(AND(MID($Q90,4,1)&gt;="0",MID($Q90,4,1)&lt;="9"),MID($Q90,4,1)=".")),3,IF(NOT(OR(AND(MID($Q90,5,1)&gt;="0",MID($Q90,5,1)&lt;="9"),MID($Q90,5,1)=".")),4,IF(NOT(OR(AND(MID($Q90,6,1)&gt;="0",MID($Q90,6,1)&lt;="9"),MID($Q90,6,1)=".")),5,6)))))))),0)))</f>
        <v>0</v>
      </c>
      <c r="S90" s="218">
        <f>IF($Q90="",-1,IF(ISNUMBER(SEARCH("immediate",$Q90)),0,IF(ISNUMBER(SEARCH("month",$Q90)),IF($R90=0,-1,$R90*30),IF(ISNUMBER(SEARCH("day",$Q90)),IF($R90=0,-1,$R90),-1))))</f>
        <v>-1</v>
      </c>
      <c r="T90" s="214">
        <f>IF($B90="","",IF($S90&lt;0,"Not recorded",IF($S90=0,"Immediate",IF($S90&lt;=30,"1-30 days",IF($S90&lt;=60,"31-60 days","60+ days")))))</f>
      </c>
      <c r="U90" s="214">
        <f>IF($B90="","",IFERROR(MATCH($B90,'Submission template'!$D$17:$D$300,0),""))</f>
      </c>
      <c r="V90" s="214">
        <f>IF($U90="","",IFERROR(TRIM(INDEX('Submission template'!$I$17:$I$300,$U90)),""))</f>
      </c>
      <c r="W90" s="219">
        <f>IF($V90="",0,IF(ISNUMBER(SEARCH("%",$V90)),0,IFERROR(VALUE(LEFT($V90,IF(NOT(OR(AND(MID($V90,1,1)&gt;="0",MID($V90,1,1)&lt;="9"),MID($V90,1,1)=".")),0,IF(NOT(OR(AND(MID($V90,2,1)&gt;="0",MID($V90,2,1)&lt;="9"),MID($V90,2,1)=".")),1,IF(NOT(OR(AND(MID($V90,3,1)&gt;="0",MID($V90,3,1)&lt;="9"),MID($V90,3,1)=".")),2,IF(NOT(OR(AND(MID($V90,4,1)&gt;="0",MID($V90,4,1)&lt;="9"),MID($V90,4,1)=".")),3,IF(NOT(OR(AND(MID($V90,5,1)&gt;="0",MID($V90,5,1)&lt;="9"),MID($V90,5,1)=".")),4,IF(NOT(OR(AND(MID($V90,6,1)&gt;="0",MID($V90,6,1)&lt;="9"),MID($V90,6,1)=".")),5,6)))))))),0)))</f>
        <v>0</v>
      </c>
      <c r="X90" s="214">
        <f>IF($U90="","",IFERROR(TRIM(INDEX('Submission template'!$J$17:$J$300,$U90)),""))</f>
      </c>
      <c r="Y90" s="214">
        <f>IF($U90="","",IFERROR(TRIM(INDEX('Submission template'!$K$17:$K$300,$U90)),""))</f>
      </c>
      <c r="Z90" s="214">
        <f>IF($U90="","",IFERROR(TRIM(INDEX('Submission template'!$M$17:$M$300,$U90)),""))</f>
      </c>
      <c r="AA90" s="214">
        <f>IF($U90="","",IFERROR(TRIM(INDEX('Submission template'!$O$17:$O$300,$U90)),""))</f>
      </c>
      <c r="AB90" s="214">
        <f>IF($U90="","",IFERROR(TRIM(INDEX('Submission template'!$S$17:$S$300,$U90)),""))</f>
      </c>
      <c r="AC90" s="214">
        <f>IF($B90="",0,IF($U90="",0,1))</f>
        <v>0</v>
      </c>
      <c r="AD90" s="214">
        <f>IF($B90="",0,IF(OR($H90=TargetLocation,AND($AA90&lt;&gt;"",ISNUMBER(SEARCH(TargetLocation,$AA90)))),1,0))</f>
        <v>0</v>
      </c>
      <c r="AE90" s="214">
        <f>IF($B90="",0,IF(AND(OR(SelRecruiter="All",$C90=SelRecruiter),OR(SelCity="All",$H90=SelCity),OR(SelStage="All",$I90=SelStage),OR(SelRequisition="All",$F90=SelRequisition)),1,0))</f>
        <v>0</v>
      </c>
      <c r="AF90" s="214">
        <f>IF($B90="","",COUNT($AF$5:AF89)+1)</f>
      </c>
      <c r="AG90" s="214">
        <f>IF($C90="","",IF(COUNTIF($C$6:$C90,$C90)=1,COUNT($AG$5:AG89)+1,""))</f>
      </c>
      <c r="AH90" s="214">
        <f>IF($F90="","",IF(COUNTIF($F$6:$F90,$F90)=1,COUNT($AH$5:AH89)+1,""))</f>
      </c>
      <c r="AI90" s="214">
        <f>IF($H90="","",IF(COUNTIF($H$6:$H90,$H90)=1,COUNT($AI$5:AI89)+1,""))</f>
      </c>
      <c r="AJ90" s="214">
        <f>IF(OR($B90="",$J90=0),"",$J90*100000000+IF(ISNUMBER($D90),$D90,0)*1000+(170-$A90))</f>
      </c>
      <c r="AK90" s="214">
        <f>IF(OR($B90="",$W90&lt;=0),"",ROUND($W90*10,0)*100000+(170-$A90))</f>
      </c>
      <c r="AL90" s="214">
        <f>IF(OR($B90="",$P90&lt;=0),"",ROUND($P90*10000,0)*1000+(170-$A90))</f>
      </c>
      <c r="AM90" s="214">
        <f>IF(AND($W90&gt;0,$O90&gt;0),COUNT($AM$5:AM89)+1,"")</f>
      </c>
      <c r="AN90">
        <f>IF($B90="",0,IF($G90="",0,SUMPRODUCT(MAX(ISNUMBER(SEARCH(LocPattern,$G90))*LocIdx))))</f>
        <v>0</v>
      </c>
      <c r="BL90">
        <f>IFERROR(INDEX($B$6:$B$125,MATCH(85,$AF$6:$AF$125,0)),"")</f>
      </c>
    </row>
    <row r="91">
      <c r="A91" s="220" t="n">
        <v>86</v>
      </c>
      <c r="B91" s="220">
        <f>IF(TRIM('Master Data-2026'!D87)="","",TRIM('Master Data-2026'!D87))</f>
      </c>
      <c r="C91" s="220">
        <f>IF($B91="","",TRIM('Master Data-2026'!A87))</f>
      </c>
      <c r="D91" s="221">
        <f>IF($B91="","",IF('Master Data-2026'!B87="","",'Master Data-2026'!B87))</f>
      </c>
      <c r="E91" s="220">
        <f>IF($B91="","",TRIM('Master Data-2026'!C87))</f>
      </c>
      <c r="F91" s="220">
        <f>IF($B91="","",TRIM('Master Data-2026'!G87))</f>
      </c>
      <c r="G91" s="220">
        <f>IF($B91="","",TRIM('Master Data-2026'!F87))</f>
      </c>
      <c r="H91" s="220">
        <f>IF($B91="","",IF($G91="","Not recorded",IF($AN91=0,"Other",INDEX(LocCity,$AN91))))</f>
      </c>
      <c r="I91" s="220">
        <f>IF($B91="","",TRIM('Master Data-2026'!H87))</f>
      </c>
      <c r="J91" s="220">
        <f>IF($B91="",0,IFERROR(INDEX(StageOrderRef,MATCH($I91,StageNameRef,0)),0))</f>
        <v>0</v>
      </c>
      <c r="K91" s="220">
        <f>IF($B91="","",TRIM('Master Data-2026'!I87))</f>
      </c>
      <c r="L91" s="220">
        <f>IF($B91="","",TRIM('Master Data-2026'!J87))</f>
      </c>
      <c r="M91" s="222">
        <f>IF($L91="",0,IF(ISNUMBER(SEARCH("%",$L91)),0,IFERROR(VALUE(LEFT($L91,IF(NOT(OR(AND(MID($L91,1,1)&gt;="0",MID($L91,1,1)&lt;="9"),MID($L91,1,1)=".")),0,IF(NOT(OR(AND(MID($L91,2,1)&gt;="0",MID($L91,2,1)&lt;="9"),MID($L91,2,1)=".")),1,IF(NOT(OR(AND(MID($L91,3,1)&gt;="0",MID($L91,3,1)&lt;="9"),MID($L91,3,1)=".")),2,IF(NOT(OR(AND(MID($L91,4,1)&gt;="0",MID($L91,4,1)&lt;="9"),MID($L91,4,1)=".")),3,IF(NOT(OR(AND(MID($L91,5,1)&gt;="0",MID($L91,5,1)&lt;="9"),MID($L91,5,1)=".")),4,IF(NOT(OR(AND(MID($L91,6,1)&gt;="0",MID($L91,6,1)&lt;="9"),MID($L91,6,1)=".")),5,6)))))))),0)))</f>
        <v>0</v>
      </c>
      <c r="N91" s="220">
        <f>IF($B91="","",TRIM('Master Data-2026'!K87))</f>
      </c>
      <c r="O91" s="222">
        <f>IF($N91="",0,IF(ISNUMBER(SEARCH("%",$N91)),0,IFERROR(VALUE(LEFT($N91,IF(NOT(OR(AND(MID($N91,1,1)&gt;="0",MID($N91,1,1)&lt;="9"),MID($N91,1,1)=".")),0,IF(NOT(OR(AND(MID($N91,2,1)&gt;="0",MID($N91,2,1)&lt;="9"),MID($N91,2,1)=".")),1,IF(NOT(OR(AND(MID($N91,3,1)&gt;="0",MID($N91,3,1)&lt;="9"),MID($N91,3,1)=".")),2,IF(NOT(OR(AND(MID($N91,4,1)&gt;="0",MID($N91,4,1)&lt;="9"),MID($N91,4,1)=".")),3,IF(NOT(OR(AND(MID($N91,5,1)&gt;="0",MID($N91,5,1)&lt;="9"),MID($N91,5,1)=".")),4,IF(NOT(OR(AND(MID($N91,6,1)&gt;="0",MID($N91,6,1)&lt;="9"),MID($N91,6,1)=".")),5,6)))))))),0)))</f>
        <v>0</v>
      </c>
      <c r="P91" s="223">
        <f>IF(AND($M91&gt;0,$O91&gt;0),$O91/$M91-1,0)</f>
        <v>0</v>
      </c>
      <c r="Q91" s="220">
        <f>IF($B91="","",TRIM('Master Data-2026'!L87))</f>
      </c>
      <c r="R91" s="220">
        <f>IF($Q91="",0,IF(ISNUMBER(SEARCH("%",$Q91)),0,IFERROR(VALUE(LEFT($Q91,IF(NOT(OR(AND(MID($Q91,1,1)&gt;="0",MID($Q91,1,1)&lt;="9"),MID($Q91,1,1)=".")),0,IF(NOT(OR(AND(MID($Q91,2,1)&gt;="0",MID($Q91,2,1)&lt;="9"),MID($Q91,2,1)=".")),1,IF(NOT(OR(AND(MID($Q91,3,1)&gt;="0",MID($Q91,3,1)&lt;="9"),MID($Q91,3,1)=".")),2,IF(NOT(OR(AND(MID($Q91,4,1)&gt;="0",MID($Q91,4,1)&lt;="9"),MID($Q91,4,1)=".")),3,IF(NOT(OR(AND(MID($Q91,5,1)&gt;="0",MID($Q91,5,1)&lt;="9"),MID($Q91,5,1)=".")),4,IF(NOT(OR(AND(MID($Q91,6,1)&gt;="0",MID($Q91,6,1)&lt;="9"),MID($Q91,6,1)=".")),5,6)))))))),0)))</f>
        <v>0</v>
      </c>
      <c r="S91" s="224">
        <f>IF($Q91="",-1,IF(ISNUMBER(SEARCH("immediate",$Q91)),0,IF(ISNUMBER(SEARCH("month",$Q91)),IF($R91=0,-1,$R91*30),IF(ISNUMBER(SEARCH("day",$Q91)),IF($R91=0,-1,$R91),-1))))</f>
        <v>-1</v>
      </c>
      <c r="T91" s="220">
        <f>IF($B91="","",IF($S91&lt;0,"Not recorded",IF($S91=0,"Immediate",IF($S91&lt;=30,"1-30 days",IF($S91&lt;=60,"31-60 days","60+ days")))))</f>
      </c>
      <c r="U91" s="220">
        <f>IF($B91="","",IFERROR(MATCH($B91,'Submission template'!$D$17:$D$300,0),""))</f>
      </c>
      <c r="V91" s="220">
        <f>IF($U91="","",IFERROR(TRIM(INDEX('Submission template'!$I$17:$I$300,$U91)),""))</f>
      </c>
      <c r="W91" s="225">
        <f>IF($V91="",0,IF(ISNUMBER(SEARCH("%",$V91)),0,IFERROR(VALUE(LEFT($V91,IF(NOT(OR(AND(MID($V91,1,1)&gt;="0",MID($V91,1,1)&lt;="9"),MID($V91,1,1)=".")),0,IF(NOT(OR(AND(MID($V91,2,1)&gt;="0",MID($V91,2,1)&lt;="9"),MID($V91,2,1)=".")),1,IF(NOT(OR(AND(MID($V91,3,1)&gt;="0",MID($V91,3,1)&lt;="9"),MID($V91,3,1)=".")),2,IF(NOT(OR(AND(MID($V91,4,1)&gt;="0",MID($V91,4,1)&lt;="9"),MID($V91,4,1)=".")),3,IF(NOT(OR(AND(MID($V91,5,1)&gt;="0",MID($V91,5,1)&lt;="9"),MID($V91,5,1)=".")),4,IF(NOT(OR(AND(MID($V91,6,1)&gt;="0",MID($V91,6,1)&lt;="9"),MID($V91,6,1)=".")),5,6)))))))),0)))</f>
        <v>0</v>
      </c>
      <c r="X91" s="220">
        <f>IF($U91="","",IFERROR(TRIM(INDEX('Submission template'!$J$17:$J$300,$U91)),""))</f>
      </c>
      <c r="Y91" s="220">
        <f>IF($U91="","",IFERROR(TRIM(INDEX('Submission template'!$K$17:$K$300,$U91)),""))</f>
      </c>
      <c r="Z91" s="220">
        <f>IF($U91="","",IFERROR(TRIM(INDEX('Submission template'!$M$17:$M$300,$U91)),""))</f>
      </c>
      <c r="AA91" s="220">
        <f>IF($U91="","",IFERROR(TRIM(INDEX('Submission template'!$O$17:$O$300,$U91)),""))</f>
      </c>
      <c r="AB91" s="220">
        <f>IF($U91="","",IFERROR(TRIM(INDEX('Submission template'!$S$17:$S$300,$U91)),""))</f>
      </c>
      <c r="AC91" s="220">
        <f>IF($B91="",0,IF($U91="",0,1))</f>
        <v>0</v>
      </c>
      <c r="AD91" s="220">
        <f>IF($B91="",0,IF(OR($H91=TargetLocation,AND($AA91&lt;&gt;"",ISNUMBER(SEARCH(TargetLocation,$AA91)))),1,0))</f>
        <v>0</v>
      </c>
      <c r="AE91" s="220">
        <f>IF($B91="",0,IF(AND(OR(SelRecruiter="All",$C91=SelRecruiter),OR(SelCity="All",$H91=SelCity),OR(SelStage="All",$I91=SelStage),OR(SelRequisition="All",$F91=SelRequisition)),1,0))</f>
        <v>0</v>
      </c>
      <c r="AF91" s="220">
        <f>IF($B91="","",COUNT($AF$5:AF90)+1)</f>
      </c>
      <c r="AG91" s="220">
        <f>IF($C91="","",IF(COUNTIF($C$6:$C91,$C91)=1,COUNT($AG$5:AG90)+1,""))</f>
      </c>
      <c r="AH91" s="220">
        <f>IF($F91="","",IF(COUNTIF($F$6:$F91,$F91)=1,COUNT($AH$5:AH90)+1,""))</f>
      </c>
      <c r="AI91" s="220">
        <f>IF($H91="","",IF(COUNTIF($H$6:$H91,$H91)=1,COUNT($AI$5:AI90)+1,""))</f>
      </c>
      <c r="AJ91" s="220">
        <f>IF(OR($B91="",$J91=0),"",$J91*100000000+IF(ISNUMBER($D91),$D91,0)*1000+(170-$A91))</f>
      </c>
      <c r="AK91" s="220">
        <f>IF(OR($B91="",$W91&lt;=0),"",ROUND($W91*10,0)*100000+(170-$A91))</f>
      </c>
      <c r="AL91" s="220">
        <f>IF(OR($B91="",$P91&lt;=0),"",ROUND($P91*10000,0)*1000+(170-$A91))</f>
      </c>
      <c r="AM91" s="220">
        <f>IF(AND($W91&gt;0,$O91&gt;0),COUNT($AM$5:AM90)+1,"")</f>
      </c>
      <c r="AN91">
        <f>IF($B91="",0,IF($G91="",0,SUMPRODUCT(MAX(ISNUMBER(SEARCH(LocPattern,$G91))*LocIdx))))</f>
        <v>0</v>
      </c>
      <c r="BL91">
        <f>IFERROR(INDEX($B$6:$B$125,MATCH(86,$AF$6:$AF$125,0)),"")</f>
      </c>
    </row>
    <row r="92">
      <c r="A92" s="214" t="n">
        <v>87</v>
      </c>
      <c r="B92" s="214">
        <f>IF(TRIM('Master Data-2026'!D88)="","",TRIM('Master Data-2026'!D88))</f>
      </c>
      <c r="C92" s="214">
        <f>IF($B92="","",TRIM('Master Data-2026'!A88))</f>
      </c>
      <c r="D92" s="215">
        <f>IF($B92="","",IF('Master Data-2026'!B88="","",'Master Data-2026'!B88))</f>
      </c>
      <c r="E92" s="214">
        <f>IF($B92="","",TRIM('Master Data-2026'!C88))</f>
      </c>
      <c r="F92" s="214">
        <f>IF($B92="","",TRIM('Master Data-2026'!G88))</f>
      </c>
      <c r="G92" s="214">
        <f>IF($B92="","",TRIM('Master Data-2026'!F88))</f>
      </c>
      <c r="H92" s="214">
        <f>IF($B92="","",IF($G92="","Not recorded",IF($AN92=0,"Other",INDEX(LocCity,$AN92))))</f>
      </c>
      <c r="I92" s="214">
        <f>IF($B92="","",TRIM('Master Data-2026'!H88))</f>
      </c>
      <c r="J92" s="214">
        <f>IF($B92="",0,IFERROR(INDEX(StageOrderRef,MATCH($I92,StageNameRef,0)),0))</f>
        <v>0</v>
      </c>
      <c r="K92" s="214">
        <f>IF($B92="","",TRIM('Master Data-2026'!I88))</f>
      </c>
      <c r="L92" s="214">
        <f>IF($B92="","",TRIM('Master Data-2026'!J88))</f>
      </c>
      <c r="M92" s="216">
        <f>IF($L92="",0,IF(ISNUMBER(SEARCH("%",$L92)),0,IFERROR(VALUE(LEFT($L92,IF(NOT(OR(AND(MID($L92,1,1)&gt;="0",MID($L92,1,1)&lt;="9"),MID($L92,1,1)=".")),0,IF(NOT(OR(AND(MID($L92,2,1)&gt;="0",MID($L92,2,1)&lt;="9"),MID($L92,2,1)=".")),1,IF(NOT(OR(AND(MID($L92,3,1)&gt;="0",MID($L92,3,1)&lt;="9"),MID($L92,3,1)=".")),2,IF(NOT(OR(AND(MID($L92,4,1)&gt;="0",MID($L92,4,1)&lt;="9"),MID($L92,4,1)=".")),3,IF(NOT(OR(AND(MID($L92,5,1)&gt;="0",MID($L92,5,1)&lt;="9"),MID($L92,5,1)=".")),4,IF(NOT(OR(AND(MID($L92,6,1)&gt;="0",MID($L92,6,1)&lt;="9"),MID($L92,6,1)=".")),5,6)))))))),0)))</f>
        <v>0</v>
      </c>
      <c r="N92" s="214">
        <f>IF($B92="","",TRIM('Master Data-2026'!K88))</f>
      </c>
      <c r="O92" s="216">
        <f>IF($N92="",0,IF(ISNUMBER(SEARCH("%",$N92)),0,IFERROR(VALUE(LEFT($N92,IF(NOT(OR(AND(MID($N92,1,1)&gt;="0",MID($N92,1,1)&lt;="9"),MID($N92,1,1)=".")),0,IF(NOT(OR(AND(MID($N92,2,1)&gt;="0",MID($N92,2,1)&lt;="9"),MID($N92,2,1)=".")),1,IF(NOT(OR(AND(MID($N92,3,1)&gt;="0",MID($N92,3,1)&lt;="9"),MID($N92,3,1)=".")),2,IF(NOT(OR(AND(MID($N92,4,1)&gt;="0",MID($N92,4,1)&lt;="9"),MID($N92,4,1)=".")),3,IF(NOT(OR(AND(MID($N92,5,1)&gt;="0",MID($N92,5,1)&lt;="9"),MID($N92,5,1)=".")),4,IF(NOT(OR(AND(MID($N92,6,1)&gt;="0",MID($N92,6,1)&lt;="9"),MID($N92,6,1)=".")),5,6)))))))),0)))</f>
        <v>0</v>
      </c>
      <c r="P92" s="217">
        <f>IF(AND($M92&gt;0,$O92&gt;0),$O92/$M92-1,0)</f>
        <v>0</v>
      </c>
      <c r="Q92" s="214">
        <f>IF($B92="","",TRIM('Master Data-2026'!L88))</f>
      </c>
      <c r="R92" s="214">
        <f>IF($Q92="",0,IF(ISNUMBER(SEARCH("%",$Q92)),0,IFERROR(VALUE(LEFT($Q92,IF(NOT(OR(AND(MID($Q92,1,1)&gt;="0",MID($Q92,1,1)&lt;="9"),MID($Q92,1,1)=".")),0,IF(NOT(OR(AND(MID($Q92,2,1)&gt;="0",MID($Q92,2,1)&lt;="9"),MID($Q92,2,1)=".")),1,IF(NOT(OR(AND(MID($Q92,3,1)&gt;="0",MID($Q92,3,1)&lt;="9"),MID($Q92,3,1)=".")),2,IF(NOT(OR(AND(MID($Q92,4,1)&gt;="0",MID($Q92,4,1)&lt;="9"),MID($Q92,4,1)=".")),3,IF(NOT(OR(AND(MID($Q92,5,1)&gt;="0",MID($Q92,5,1)&lt;="9"),MID($Q92,5,1)=".")),4,IF(NOT(OR(AND(MID($Q92,6,1)&gt;="0",MID($Q92,6,1)&lt;="9"),MID($Q92,6,1)=".")),5,6)))))))),0)))</f>
        <v>0</v>
      </c>
      <c r="S92" s="218">
        <f>IF($Q92="",-1,IF(ISNUMBER(SEARCH("immediate",$Q92)),0,IF(ISNUMBER(SEARCH("month",$Q92)),IF($R92=0,-1,$R92*30),IF(ISNUMBER(SEARCH("day",$Q92)),IF($R92=0,-1,$R92),-1))))</f>
        <v>-1</v>
      </c>
      <c r="T92" s="214">
        <f>IF($B92="","",IF($S92&lt;0,"Not recorded",IF($S92=0,"Immediate",IF($S92&lt;=30,"1-30 days",IF($S92&lt;=60,"31-60 days","60+ days")))))</f>
      </c>
      <c r="U92" s="214">
        <f>IF($B92="","",IFERROR(MATCH($B92,'Submission template'!$D$17:$D$300,0),""))</f>
      </c>
      <c r="V92" s="214">
        <f>IF($U92="","",IFERROR(TRIM(INDEX('Submission template'!$I$17:$I$300,$U92)),""))</f>
      </c>
      <c r="W92" s="219">
        <f>IF($V92="",0,IF(ISNUMBER(SEARCH("%",$V92)),0,IFERROR(VALUE(LEFT($V92,IF(NOT(OR(AND(MID($V92,1,1)&gt;="0",MID($V92,1,1)&lt;="9"),MID($V92,1,1)=".")),0,IF(NOT(OR(AND(MID($V92,2,1)&gt;="0",MID($V92,2,1)&lt;="9"),MID($V92,2,1)=".")),1,IF(NOT(OR(AND(MID($V92,3,1)&gt;="0",MID($V92,3,1)&lt;="9"),MID($V92,3,1)=".")),2,IF(NOT(OR(AND(MID($V92,4,1)&gt;="0",MID($V92,4,1)&lt;="9"),MID($V92,4,1)=".")),3,IF(NOT(OR(AND(MID($V92,5,1)&gt;="0",MID($V92,5,1)&lt;="9"),MID($V92,5,1)=".")),4,IF(NOT(OR(AND(MID($V92,6,1)&gt;="0",MID($V92,6,1)&lt;="9"),MID($V92,6,1)=".")),5,6)))))))),0)))</f>
        <v>0</v>
      </c>
      <c r="X92" s="214">
        <f>IF($U92="","",IFERROR(TRIM(INDEX('Submission template'!$J$17:$J$300,$U92)),""))</f>
      </c>
      <c r="Y92" s="214">
        <f>IF($U92="","",IFERROR(TRIM(INDEX('Submission template'!$K$17:$K$300,$U92)),""))</f>
      </c>
      <c r="Z92" s="214">
        <f>IF($U92="","",IFERROR(TRIM(INDEX('Submission template'!$M$17:$M$300,$U92)),""))</f>
      </c>
      <c r="AA92" s="214">
        <f>IF($U92="","",IFERROR(TRIM(INDEX('Submission template'!$O$17:$O$300,$U92)),""))</f>
      </c>
      <c r="AB92" s="214">
        <f>IF($U92="","",IFERROR(TRIM(INDEX('Submission template'!$S$17:$S$300,$U92)),""))</f>
      </c>
      <c r="AC92" s="214">
        <f>IF($B92="",0,IF($U92="",0,1))</f>
        <v>0</v>
      </c>
      <c r="AD92" s="214">
        <f>IF($B92="",0,IF(OR($H92=TargetLocation,AND($AA92&lt;&gt;"",ISNUMBER(SEARCH(TargetLocation,$AA92)))),1,0))</f>
        <v>0</v>
      </c>
      <c r="AE92" s="214">
        <f>IF($B92="",0,IF(AND(OR(SelRecruiter="All",$C92=SelRecruiter),OR(SelCity="All",$H92=SelCity),OR(SelStage="All",$I92=SelStage),OR(SelRequisition="All",$F92=SelRequisition)),1,0))</f>
        <v>0</v>
      </c>
      <c r="AF92" s="214">
        <f>IF($B92="","",COUNT($AF$5:AF91)+1)</f>
      </c>
      <c r="AG92" s="214">
        <f>IF($C92="","",IF(COUNTIF($C$6:$C92,$C92)=1,COUNT($AG$5:AG91)+1,""))</f>
      </c>
      <c r="AH92" s="214">
        <f>IF($F92="","",IF(COUNTIF($F$6:$F92,$F92)=1,COUNT($AH$5:AH91)+1,""))</f>
      </c>
      <c r="AI92" s="214">
        <f>IF($H92="","",IF(COUNTIF($H$6:$H92,$H92)=1,COUNT($AI$5:AI91)+1,""))</f>
      </c>
      <c r="AJ92" s="214">
        <f>IF(OR($B92="",$J92=0),"",$J92*100000000+IF(ISNUMBER($D92),$D92,0)*1000+(170-$A92))</f>
      </c>
      <c r="AK92" s="214">
        <f>IF(OR($B92="",$W92&lt;=0),"",ROUND($W92*10,0)*100000+(170-$A92))</f>
      </c>
      <c r="AL92" s="214">
        <f>IF(OR($B92="",$P92&lt;=0),"",ROUND($P92*10000,0)*1000+(170-$A92))</f>
      </c>
      <c r="AM92" s="214">
        <f>IF(AND($W92&gt;0,$O92&gt;0),COUNT($AM$5:AM91)+1,"")</f>
      </c>
      <c r="AN92">
        <f>IF($B92="",0,IF($G92="",0,SUMPRODUCT(MAX(ISNUMBER(SEARCH(LocPattern,$G92))*LocIdx))))</f>
        <v>0</v>
      </c>
      <c r="BL92">
        <f>IFERROR(INDEX($B$6:$B$125,MATCH(87,$AF$6:$AF$125,0)),"")</f>
      </c>
    </row>
    <row r="93">
      <c r="A93" s="220" t="n">
        <v>88</v>
      </c>
      <c r="B93" s="220">
        <f>IF(TRIM('Master Data-2026'!D89)="","",TRIM('Master Data-2026'!D89))</f>
      </c>
      <c r="C93" s="220">
        <f>IF($B93="","",TRIM('Master Data-2026'!A89))</f>
      </c>
      <c r="D93" s="221">
        <f>IF($B93="","",IF('Master Data-2026'!B89="","",'Master Data-2026'!B89))</f>
      </c>
      <c r="E93" s="220">
        <f>IF($B93="","",TRIM('Master Data-2026'!C89))</f>
      </c>
      <c r="F93" s="220">
        <f>IF($B93="","",TRIM('Master Data-2026'!G89))</f>
      </c>
      <c r="G93" s="220">
        <f>IF($B93="","",TRIM('Master Data-2026'!F89))</f>
      </c>
      <c r="H93" s="220">
        <f>IF($B93="","",IF($G93="","Not recorded",IF($AN93=0,"Other",INDEX(LocCity,$AN93))))</f>
      </c>
      <c r="I93" s="220">
        <f>IF($B93="","",TRIM('Master Data-2026'!H89))</f>
      </c>
      <c r="J93" s="220">
        <f>IF($B93="",0,IFERROR(INDEX(StageOrderRef,MATCH($I93,StageNameRef,0)),0))</f>
        <v>0</v>
      </c>
      <c r="K93" s="220">
        <f>IF($B93="","",TRIM('Master Data-2026'!I89))</f>
      </c>
      <c r="L93" s="220">
        <f>IF($B93="","",TRIM('Master Data-2026'!J89))</f>
      </c>
      <c r="M93" s="222">
        <f>IF($L93="",0,IF(ISNUMBER(SEARCH("%",$L93)),0,IFERROR(VALUE(LEFT($L93,IF(NOT(OR(AND(MID($L93,1,1)&gt;="0",MID($L93,1,1)&lt;="9"),MID($L93,1,1)=".")),0,IF(NOT(OR(AND(MID($L93,2,1)&gt;="0",MID($L93,2,1)&lt;="9"),MID($L93,2,1)=".")),1,IF(NOT(OR(AND(MID($L93,3,1)&gt;="0",MID($L93,3,1)&lt;="9"),MID($L93,3,1)=".")),2,IF(NOT(OR(AND(MID($L93,4,1)&gt;="0",MID($L93,4,1)&lt;="9"),MID($L93,4,1)=".")),3,IF(NOT(OR(AND(MID($L93,5,1)&gt;="0",MID($L93,5,1)&lt;="9"),MID($L93,5,1)=".")),4,IF(NOT(OR(AND(MID($L93,6,1)&gt;="0",MID($L93,6,1)&lt;="9"),MID($L93,6,1)=".")),5,6)))))))),0)))</f>
        <v>0</v>
      </c>
      <c r="N93" s="220">
        <f>IF($B93="","",TRIM('Master Data-2026'!K89))</f>
      </c>
      <c r="O93" s="222">
        <f>IF($N93="",0,IF(ISNUMBER(SEARCH("%",$N93)),0,IFERROR(VALUE(LEFT($N93,IF(NOT(OR(AND(MID($N93,1,1)&gt;="0",MID($N93,1,1)&lt;="9"),MID($N93,1,1)=".")),0,IF(NOT(OR(AND(MID($N93,2,1)&gt;="0",MID($N93,2,1)&lt;="9"),MID($N93,2,1)=".")),1,IF(NOT(OR(AND(MID($N93,3,1)&gt;="0",MID($N93,3,1)&lt;="9"),MID($N93,3,1)=".")),2,IF(NOT(OR(AND(MID($N93,4,1)&gt;="0",MID($N93,4,1)&lt;="9"),MID($N93,4,1)=".")),3,IF(NOT(OR(AND(MID($N93,5,1)&gt;="0",MID($N93,5,1)&lt;="9"),MID($N93,5,1)=".")),4,IF(NOT(OR(AND(MID($N93,6,1)&gt;="0",MID($N93,6,1)&lt;="9"),MID($N93,6,1)=".")),5,6)))))))),0)))</f>
        <v>0</v>
      </c>
      <c r="P93" s="223">
        <f>IF(AND($M93&gt;0,$O93&gt;0),$O93/$M93-1,0)</f>
        <v>0</v>
      </c>
      <c r="Q93" s="220">
        <f>IF($B93="","",TRIM('Master Data-2026'!L89))</f>
      </c>
      <c r="R93" s="220">
        <f>IF($Q93="",0,IF(ISNUMBER(SEARCH("%",$Q93)),0,IFERROR(VALUE(LEFT($Q93,IF(NOT(OR(AND(MID($Q93,1,1)&gt;="0",MID($Q93,1,1)&lt;="9"),MID($Q93,1,1)=".")),0,IF(NOT(OR(AND(MID($Q93,2,1)&gt;="0",MID($Q93,2,1)&lt;="9"),MID($Q93,2,1)=".")),1,IF(NOT(OR(AND(MID($Q93,3,1)&gt;="0",MID($Q93,3,1)&lt;="9"),MID($Q93,3,1)=".")),2,IF(NOT(OR(AND(MID($Q93,4,1)&gt;="0",MID($Q93,4,1)&lt;="9"),MID($Q93,4,1)=".")),3,IF(NOT(OR(AND(MID($Q93,5,1)&gt;="0",MID($Q93,5,1)&lt;="9"),MID($Q93,5,1)=".")),4,IF(NOT(OR(AND(MID($Q93,6,1)&gt;="0",MID($Q93,6,1)&lt;="9"),MID($Q93,6,1)=".")),5,6)))))))),0)))</f>
        <v>0</v>
      </c>
      <c r="S93" s="224">
        <f>IF($Q93="",-1,IF(ISNUMBER(SEARCH("immediate",$Q93)),0,IF(ISNUMBER(SEARCH("month",$Q93)),IF($R93=0,-1,$R93*30),IF(ISNUMBER(SEARCH("day",$Q93)),IF($R93=0,-1,$R93),-1))))</f>
        <v>-1</v>
      </c>
      <c r="T93" s="220">
        <f>IF($B93="","",IF($S93&lt;0,"Not recorded",IF($S93=0,"Immediate",IF($S93&lt;=30,"1-30 days",IF($S93&lt;=60,"31-60 days","60+ days")))))</f>
      </c>
      <c r="U93" s="220">
        <f>IF($B93="","",IFERROR(MATCH($B93,'Submission template'!$D$17:$D$300,0),""))</f>
      </c>
      <c r="V93" s="220">
        <f>IF($U93="","",IFERROR(TRIM(INDEX('Submission template'!$I$17:$I$300,$U93)),""))</f>
      </c>
      <c r="W93" s="225">
        <f>IF($V93="",0,IF(ISNUMBER(SEARCH("%",$V93)),0,IFERROR(VALUE(LEFT($V93,IF(NOT(OR(AND(MID($V93,1,1)&gt;="0",MID($V93,1,1)&lt;="9"),MID($V93,1,1)=".")),0,IF(NOT(OR(AND(MID($V93,2,1)&gt;="0",MID($V93,2,1)&lt;="9"),MID($V93,2,1)=".")),1,IF(NOT(OR(AND(MID($V93,3,1)&gt;="0",MID($V93,3,1)&lt;="9"),MID($V93,3,1)=".")),2,IF(NOT(OR(AND(MID($V93,4,1)&gt;="0",MID($V93,4,1)&lt;="9"),MID($V93,4,1)=".")),3,IF(NOT(OR(AND(MID($V93,5,1)&gt;="0",MID($V93,5,1)&lt;="9"),MID($V93,5,1)=".")),4,IF(NOT(OR(AND(MID($V93,6,1)&gt;="0",MID($V93,6,1)&lt;="9"),MID($V93,6,1)=".")),5,6)))))))),0)))</f>
        <v>0</v>
      </c>
      <c r="X93" s="220">
        <f>IF($U93="","",IFERROR(TRIM(INDEX('Submission template'!$J$17:$J$300,$U93)),""))</f>
      </c>
      <c r="Y93" s="220">
        <f>IF($U93="","",IFERROR(TRIM(INDEX('Submission template'!$K$17:$K$300,$U93)),""))</f>
      </c>
      <c r="Z93" s="220">
        <f>IF($U93="","",IFERROR(TRIM(INDEX('Submission template'!$M$17:$M$300,$U93)),""))</f>
      </c>
      <c r="AA93" s="220">
        <f>IF($U93="","",IFERROR(TRIM(INDEX('Submission template'!$O$17:$O$300,$U93)),""))</f>
      </c>
      <c r="AB93" s="220">
        <f>IF($U93="","",IFERROR(TRIM(INDEX('Submission template'!$S$17:$S$300,$U93)),""))</f>
      </c>
      <c r="AC93" s="220">
        <f>IF($B93="",0,IF($U93="",0,1))</f>
        <v>0</v>
      </c>
      <c r="AD93" s="220">
        <f>IF($B93="",0,IF(OR($H93=TargetLocation,AND($AA93&lt;&gt;"",ISNUMBER(SEARCH(TargetLocation,$AA93)))),1,0))</f>
        <v>0</v>
      </c>
      <c r="AE93" s="220">
        <f>IF($B93="",0,IF(AND(OR(SelRecruiter="All",$C93=SelRecruiter),OR(SelCity="All",$H93=SelCity),OR(SelStage="All",$I93=SelStage),OR(SelRequisition="All",$F93=SelRequisition)),1,0))</f>
        <v>0</v>
      </c>
      <c r="AF93" s="220">
        <f>IF($B93="","",COUNT($AF$5:AF92)+1)</f>
      </c>
      <c r="AG93" s="220">
        <f>IF($C93="","",IF(COUNTIF($C$6:$C93,$C93)=1,COUNT($AG$5:AG92)+1,""))</f>
      </c>
      <c r="AH93" s="220">
        <f>IF($F93="","",IF(COUNTIF($F$6:$F93,$F93)=1,COUNT($AH$5:AH92)+1,""))</f>
      </c>
      <c r="AI93" s="220">
        <f>IF($H93="","",IF(COUNTIF($H$6:$H93,$H93)=1,COUNT($AI$5:AI92)+1,""))</f>
      </c>
      <c r="AJ93" s="220">
        <f>IF(OR($B93="",$J93=0),"",$J93*100000000+IF(ISNUMBER($D93),$D93,0)*1000+(170-$A93))</f>
      </c>
      <c r="AK93" s="220">
        <f>IF(OR($B93="",$W93&lt;=0),"",ROUND($W93*10,0)*100000+(170-$A93))</f>
      </c>
      <c r="AL93" s="220">
        <f>IF(OR($B93="",$P93&lt;=0),"",ROUND($P93*10000,0)*1000+(170-$A93))</f>
      </c>
      <c r="AM93" s="220">
        <f>IF(AND($W93&gt;0,$O93&gt;0),COUNT($AM$5:AM92)+1,"")</f>
      </c>
      <c r="AN93">
        <f>IF($B93="",0,IF($G93="",0,SUMPRODUCT(MAX(ISNUMBER(SEARCH(LocPattern,$G93))*LocIdx))))</f>
        <v>0</v>
      </c>
      <c r="BL93">
        <f>IFERROR(INDEX($B$6:$B$125,MATCH(88,$AF$6:$AF$125,0)),"")</f>
      </c>
    </row>
    <row r="94">
      <c r="A94" s="214" t="n">
        <v>89</v>
      </c>
      <c r="B94" s="214">
        <f>IF(TRIM('Master Data-2026'!D90)="","",TRIM('Master Data-2026'!D90))</f>
      </c>
      <c r="C94" s="214">
        <f>IF($B94="","",TRIM('Master Data-2026'!A90))</f>
      </c>
      <c r="D94" s="215">
        <f>IF($B94="","",IF('Master Data-2026'!B90="","",'Master Data-2026'!B90))</f>
      </c>
      <c r="E94" s="214">
        <f>IF($B94="","",TRIM('Master Data-2026'!C90))</f>
      </c>
      <c r="F94" s="214">
        <f>IF($B94="","",TRIM('Master Data-2026'!G90))</f>
      </c>
      <c r="G94" s="214">
        <f>IF($B94="","",TRIM('Master Data-2026'!F90))</f>
      </c>
      <c r="H94" s="214">
        <f>IF($B94="","",IF($G94="","Not recorded",IF($AN94=0,"Other",INDEX(LocCity,$AN94))))</f>
      </c>
      <c r="I94" s="214">
        <f>IF($B94="","",TRIM('Master Data-2026'!H90))</f>
      </c>
      <c r="J94" s="214">
        <f>IF($B94="",0,IFERROR(INDEX(StageOrderRef,MATCH($I94,StageNameRef,0)),0))</f>
        <v>0</v>
      </c>
      <c r="K94" s="214">
        <f>IF($B94="","",TRIM('Master Data-2026'!I90))</f>
      </c>
      <c r="L94" s="214">
        <f>IF($B94="","",TRIM('Master Data-2026'!J90))</f>
      </c>
      <c r="M94" s="216">
        <f>IF($L94="",0,IF(ISNUMBER(SEARCH("%",$L94)),0,IFERROR(VALUE(LEFT($L94,IF(NOT(OR(AND(MID($L94,1,1)&gt;="0",MID($L94,1,1)&lt;="9"),MID($L94,1,1)=".")),0,IF(NOT(OR(AND(MID($L94,2,1)&gt;="0",MID($L94,2,1)&lt;="9"),MID($L94,2,1)=".")),1,IF(NOT(OR(AND(MID($L94,3,1)&gt;="0",MID($L94,3,1)&lt;="9"),MID($L94,3,1)=".")),2,IF(NOT(OR(AND(MID($L94,4,1)&gt;="0",MID($L94,4,1)&lt;="9"),MID($L94,4,1)=".")),3,IF(NOT(OR(AND(MID($L94,5,1)&gt;="0",MID($L94,5,1)&lt;="9"),MID($L94,5,1)=".")),4,IF(NOT(OR(AND(MID($L94,6,1)&gt;="0",MID($L94,6,1)&lt;="9"),MID($L94,6,1)=".")),5,6)))))))),0)))</f>
        <v>0</v>
      </c>
      <c r="N94" s="214">
        <f>IF($B94="","",TRIM('Master Data-2026'!K90))</f>
      </c>
      <c r="O94" s="216">
        <f>IF($N94="",0,IF(ISNUMBER(SEARCH("%",$N94)),0,IFERROR(VALUE(LEFT($N94,IF(NOT(OR(AND(MID($N94,1,1)&gt;="0",MID($N94,1,1)&lt;="9"),MID($N94,1,1)=".")),0,IF(NOT(OR(AND(MID($N94,2,1)&gt;="0",MID($N94,2,1)&lt;="9"),MID($N94,2,1)=".")),1,IF(NOT(OR(AND(MID($N94,3,1)&gt;="0",MID($N94,3,1)&lt;="9"),MID($N94,3,1)=".")),2,IF(NOT(OR(AND(MID($N94,4,1)&gt;="0",MID($N94,4,1)&lt;="9"),MID($N94,4,1)=".")),3,IF(NOT(OR(AND(MID($N94,5,1)&gt;="0",MID($N94,5,1)&lt;="9"),MID($N94,5,1)=".")),4,IF(NOT(OR(AND(MID($N94,6,1)&gt;="0",MID($N94,6,1)&lt;="9"),MID($N94,6,1)=".")),5,6)))))))),0)))</f>
        <v>0</v>
      </c>
      <c r="P94" s="217">
        <f>IF(AND($M94&gt;0,$O94&gt;0),$O94/$M94-1,0)</f>
        <v>0</v>
      </c>
      <c r="Q94" s="214">
        <f>IF($B94="","",TRIM('Master Data-2026'!L90))</f>
      </c>
      <c r="R94" s="214">
        <f>IF($Q94="",0,IF(ISNUMBER(SEARCH("%",$Q94)),0,IFERROR(VALUE(LEFT($Q94,IF(NOT(OR(AND(MID($Q94,1,1)&gt;="0",MID($Q94,1,1)&lt;="9"),MID($Q94,1,1)=".")),0,IF(NOT(OR(AND(MID($Q94,2,1)&gt;="0",MID($Q94,2,1)&lt;="9"),MID($Q94,2,1)=".")),1,IF(NOT(OR(AND(MID($Q94,3,1)&gt;="0",MID($Q94,3,1)&lt;="9"),MID($Q94,3,1)=".")),2,IF(NOT(OR(AND(MID($Q94,4,1)&gt;="0",MID($Q94,4,1)&lt;="9"),MID($Q94,4,1)=".")),3,IF(NOT(OR(AND(MID($Q94,5,1)&gt;="0",MID($Q94,5,1)&lt;="9"),MID($Q94,5,1)=".")),4,IF(NOT(OR(AND(MID($Q94,6,1)&gt;="0",MID($Q94,6,1)&lt;="9"),MID($Q94,6,1)=".")),5,6)))))))),0)))</f>
        <v>0</v>
      </c>
      <c r="S94" s="218">
        <f>IF($Q94="",-1,IF(ISNUMBER(SEARCH("immediate",$Q94)),0,IF(ISNUMBER(SEARCH("month",$Q94)),IF($R94=0,-1,$R94*30),IF(ISNUMBER(SEARCH("day",$Q94)),IF($R94=0,-1,$R94),-1))))</f>
        <v>-1</v>
      </c>
      <c r="T94" s="214">
        <f>IF($B94="","",IF($S94&lt;0,"Not recorded",IF($S94=0,"Immediate",IF($S94&lt;=30,"1-30 days",IF($S94&lt;=60,"31-60 days","60+ days")))))</f>
      </c>
      <c r="U94" s="214">
        <f>IF($B94="","",IFERROR(MATCH($B94,'Submission template'!$D$17:$D$300,0),""))</f>
      </c>
      <c r="V94" s="214">
        <f>IF($U94="","",IFERROR(TRIM(INDEX('Submission template'!$I$17:$I$300,$U94)),""))</f>
      </c>
      <c r="W94" s="219">
        <f>IF($V94="",0,IF(ISNUMBER(SEARCH("%",$V94)),0,IFERROR(VALUE(LEFT($V94,IF(NOT(OR(AND(MID($V94,1,1)&gt;="0",MID($V94,1,1)&lt;="9"),MID($V94,1,1)=".")),0,IF(NOT(OR(AND(MID($V94,2,1)&gt;="0",MID($V94,2,1)&lt;="9"),MID($V94,2,1)=".")),1,IF(NOT(OR(AND(MID($V94,3,1)&gt;="0",MID($V94,3,1)&lt;="9"),MID($V94,3,1)=".")),2,IF(NOT(OR(AND(MID($V94,4,1)&gt;="0",MID($V94,4,1)&lt;="9"),MID($V94,4,1)=".")),3,IF(NOT(OR(AND(MID($V94,5,1)&gt;="0",MID($V94,5,1)&lt;="9"),MID($V94,5,1)=".")),4,IF(NOT(OR(AND(MID($V94,6,1)&gt;="0",MID($V94,6,1)&lt;="9"),MID($V94,6,1)=".")),5,6)))))))),0)))</f>
        <v>0</v>
      </c>
      <c r="X94" s="214">
        <f>IF($U94="","",IFERROR(TRIM(INDEX('Submission template'!$J$17:$J$300,$U94)),""))</f>
      </c>
      <c r="Y94" s="214">
        <f>IF($U94="","",IFERROR(TRIM(INDEX('Submission template'!$K$17:$K$300,$U94)),""))</f>
      </c>
      <c r="Z94" s="214">
        <f>IF($U94="","",IFERROR(TRIM(INDEX('Submission template'!$M$17:$M$300,$U94)),""))</f>
      </c>
      <c r="AA94" s="214">
        <f>IF($U94="","",IFERROR(TRIM(INDEX('Submission template'!$O$17:$O$300,$U94)),""))</f>
      </c>
      <c r="AB94" s="214">
        <f>IF($U94="","",IFERROR(TRIM(INDEX('Submission template'!$S$17:$S$300,$U94)),""))</f>
      </c>
      <c r="AC94" s="214">
        <f>IF($B94="",0,IF($U94="",0,1))</f>
        <v>0</v>
      </c>
      <c r="AD94" s="214">
        <f>IF($B94="",0,IF(OR($H94=TargetLocation,AND($AA94&lt;&gt;"",ISNUMBER(SEARCH(TargetLocation,$AA94)))),1,0))</f>
        <v>0</v>
      </c>
      <c r="AE94" s="214">
        <f>IF($B94="",0,IF(AND(OR(SelRecruiter="All",$C94=SelRecruiter),OR(SelCity="All",$H94=SelCity),OR(SelStage="All",$I94=SelStage),OR(SelRequisition="All",$F94=SelRequisition)),1,0))</f>
        <v>0</v>
      </c>
      <c r="AF94" s="214">
        <f>IF($B94="","",COUNT($AF$5:AF93)+1)</f>
      </c>
      <c r="AG94" s="214">
        <f>IF($C94="","",IF(COUNTIF($C$6:$C94,$C94)=1,COUNT($AG$5:AG93)+1,""))</f>
      </c>
      <c r="AH94" s="214">
        <f>IF($F94="","",IF(COUNTIF($F$6:$F94,$F94)=1,COUNT($AH$5:AH93)+1,""))</f>
      </c>
      <c r="AI94" s="214">
        <f>IF($H94="","",IF(COUNTIF($H$6:$H94,$H94)=1,COUNT($AI$5:AI93)+1,""))</f>
      </c>
      <c r="AJ94" s="214">
        <f>IF(OR($B94="",$J94=0),"",$J94*100000000+IF(ISNUMBER($D94),$D94,0)*1000+(170-$A94))</f>
      </c>
      <c r="AK94" s="214">
        <f>IF(OR($B94="",$W94&lt;=0),"",ROUND($W94*10,0)*100000+(170-$A94))</f>
      </c>
      <c r="AL94" s="214">
        <f>IF(OR($B94="",$P94&lt;=0),"",ROUND($P94*10000,0)*1000+(170-$A94))</f>
      </c>
      <c r="AM94" s="214">
        <f>IF(AND($W94&gt;0,$O94&gt;0),COUNT($AM$5:AM93)+1,"")</f>
      </c>
      <c r="AN94">
        <f>IF($B94="",0,IF($G94="",0,SUMPRODUCT(MAX(ISNUMBER(SEARCH(LocPattern,$G94))*LocIdx))))</f>
        <v>0</v>
      </c>
      <c r="BL94">
        <f>IFERROR(INDEX($B$6:$B$125,MATCH(89,$AF$6:$AF$125,0)),"")</f>
      </c>
    </row>
    <row r="95">
      <c r="A95" s="220" t="n">
        <v>90</v>
      </c>
      <c r="B95" s="220">
        <f>IF(TRIM('Master Data-2026'!D91)="","",TRIM('Master Data-2026'!D91))</f>
      </c>
      <c r="C95" s="220">
        <f>IF($B95="","",TRIM('Master Data-2026'!A91))</f>
      </c>
      <c r="D95" s="221">
        <f>IF($B95="","",IF('Master Data-2026'!B91="","",'Master Data-2026'!B91))</f>
      </c>
      <c r="E95" s="220">
        <f>IF($B95="","",TRIM('Master Data-2026'!C91))</f>
      </c>
      <c r="F95" s="220">
        <f>IF($B95="","",TRIM('Master Data-2026'!G91))</f>
      </c>
      <c r="G95" s="220">
        <f>IF($B95="","",TRIM('Master Data-2026'!F91))</f>
      </c>
      <c r="H95" s="220">
        <f>IF($B95="","",IF($G95="","Not recorded",IF($AN95=0,"Other",INDEX(LocCity,$AN95))))</f>
      </c>
      <c r="I95" s="220">
        <f>IF($B95="","",TRIM('Master Data-2026'!H91))</f>
      </c>
      <c r="J95" s="220">
        <f>IF($B95="",0,IFERROR(INDEX(StageOrderRef,MATCH($I95,StageNameRef,0)),0))</f>
        <v>0</v>
      </c>
      <c r="K95" s="220">
        <f>IF($B95="","",TRIM('Master Data-2026'!I91))</f>
      </c>
      <c r="L95" s="220">
        <f>IF($B95="","",TRIM('Master Data-2026'!J91))</f>
      </c>
      <c r="M95" s="222">
        <f>IF($L95="",0,IF(ISNUMBER(SEARCH("%",$L95)),0,IFERROR(VALUE(LEFT($L95,IF(NOT(OR(AND(MID($L95,1,1)&gt;="0",MID($L95,1,1)&lt;="9"),MID($L95,1,1)=".")),0,IF(NOT(OR(AND(MID($L95,2,1)&gt;="0",MID($L95,2,1)&lt;="9"),MID($L95,2,1)=".")),1,IF(NOT(OR(AND(MID($L95,3,1)&gt;="0",MID($L95,3,1)&lt;="9"),MID($L95,3,1)=".")),2,IF(NOT(OR(AND(MID($L95,4,1)&gt;="0",MID($L95,4,1)&lt;="9"),MID($L95,4,1)=".")),3,IF(NOT(OR(AND(MID($L95,5,1)&gt;="0",MID($L95,5,1)&lt;="9"),MID($L95,5,1)=".")),4,IF(NOT(OR(AND(MID($L95,6,1)&gt;="0",MID($L95,6,1)&lt;="9"),MID($L95,6,1)=".")),5,6)))))))),0)))</f>
        <v>0</v>
      </c>
      <c r="N95" s="220">
        <f>IF($B95="","",TRIM('Master Data-2026'!K91))</f>
      </c>
      <c r="O95" s="222">
        <f>IF($N95="",0,IF(ISNUMBER(SEARCH("%",$N95)),0,IFERROR(VALUE(LEFT($N95,IF(NOT(OR(AND(MID($N95,1,1)&gt;="0",MID($N95,1,1)&lt;="9"),MID($N95,1,1)=".")),0,IF(NOT(OR(AND(MID($N95,2,1)&gt;="0",MID($N95,2,1)&lt;="9"),MID($N95,2,1)=".")),1,IF(NOT(OR(AND(MID($N95,3,1)&gt;="0",MID($N95,3,1)&lt;="9"),MID($N95,3,1)=".")),2,IF(NOT(OR(AND(MID($N95,4,1)&gt;="0",MID($N95,4,1)&lt;="9"),MID($N95,4,1)=".")),3,IF(NOT(OR(AND(MID($N95,5,1)&gt;="0",MID($N95,5,1)&lt;="9"),MID($N95,5,1)=".")),4,IF(NOT(OR(AND(MID($N95,6,1)&gt;="0",MID($N95,6,1)&lt;="9"),MID($N95,6,1)=".")),5,6)))))))),0)))</f>
        <v>0</v>
      </c>
      <c r="P95" s="223">
        <f>IF(AND($M95&gt;0,$O95&gt;0),$O95/$M95-1,0)</f>
        <v>0</v>
      </c>
      <c r="Q95" s="220">
        <f>IF($B95="","",TRIM('Master Data-2026'!L91))</f>
      </c>
      <c r="R95" s="220">
        <f>IF($Q95="",0,IF(ISNUMBER(SEARCH("%",$Q95)),0,IFERROR(VALUE(LEFT($Q95,IF(NOT(OR(AND(MID($Q95,1,1)&gt;="0",MID($Q95,1,1)&lt;="9"),MID($Q95,1,1)=".")),0,IF(NOT(OR(AND(MID($Q95,2,1)&gt;="0",MID($Q95,2,1)&lt;="9"),MID($Q95,2,1)=".")),1,IF(NOT(OR(AND(MID($Q95,3,1)&gt;="0",MID($Q95,3,1)&lt;="9"),MID($Q95,3,1)=".")),2,IF(NOT(OR(AND(MID($Q95,4,1)&gt;="0",MID($Q95,4,1)&lt;="9"),MID($Q95,4,1)=".")),3,IF(NOT(OR(AND(MID($Q95,5,1)&gt;="0",MID($Q95,5,1)&lt;="9"),MID($Q95,5,1)=".")),4,IF(NOT(OR(AND(MID($Q95,6,1)&gt;="0",MID($Q95,6,1)&lt;="9"),MID($Q95,6,1)=".")),5,6)))))))),0)))</f>
        <v>0</v>
      </c>
      <c r="S95" s="224">
        <f>IF($Q95="",-1,IF(ISNUMBER(SEARCH("immediate",$Q95)),0,IF(ISNUMBER(SEARCH("month",$Q95)),IF($R95=0,-1,$R95*30),IF(ISNUMBER(SEARCH("day",$Q95)),IF($R95=0,-1,$R95),-1))))</f>
        <v>-1</v>
      </c>
      <c r="T95" s="220">
        <f>IF($B95="","",IF($S95&lt;0,"Not recorded",IF($S95=0,"Immediate",IF($S95&lt;=30,"1-30 days",IF($S95&lt;=60,"31-60 days","60+ days")))))</f>
      </c>
      <c r="U95" s="220">
        <f>IF($B95="","",IFERROR(MATCH($B95,'Submission template'!$D$17:$D$300,0),""))</f>
      </c>
      <c r="V95" s="220">
        <f>IF($U95="","",IFERROR(TRIM(INDEX('Submission template'!$I$17:$I$300,$U95)),""))</f>
      </c>
      <c r="W95" s="225">
        <f>IF($V95="",0,IF(ISNUMBER(SEARCH("%",$V95)),0,IFERROR(VALUE(LEFT($V95,IF(NOT(OR(AND(MID($V95,1,1)&gt;="0",MID($V95,1,1)&lt;="9"),MID($V95,1,1)=".")),0,IF(NOT(OR(AND(MID($V95,2,1)&gt;="0",MID($V95,2,1)&lt;="9"),MID($V95,2,1)=".")),1,IF(NOT(OR(AND(MID($V95,3,1)&gt;="0",MID($V95,3,1)&lt;="9"),MID($V95,3,1)=".")),2,IF(NOT(OR(AND(MID($V95,4,1)&gt;="0",MID($V95,4,1)&lt;="9"),MID($V95,4,1)=".")),3,IF(NOT(OR(AND(MID($V95,5,1)&gt;="0",MID($V95,5,1)&lt;="9"),MID($V95,5,1)=".")),4,IF(NOT(OR(AND(MID($V95,6,1)&gt;="0",MID($V95,6,1)&lt;="9"),MID($V95,6,1)=".")),5,6)))))))),0)))</f>
        <v>0</v>
      </c>
      <c r="X95" s="220">
        <f>IF($U95="","",IFERROR(TRIM(INDEX('Submission template'!$J$17:$J$300,$U95)),""))</f>
      </c>
      <c r="Y95" s="220">
        <f>IF($U95="","",IFERROR(TRIM(INDEX('Submission template'!$K$17:$K$300,$U95)),""))</f>
      </c>
      <c r="Z95" s="220">
        <f>IF($U95="","",IFERROR(TRIM(INDEX('Submission template'!$M$17:$M$300,$U95)),""))</f>
      </c>
      <c r="AA95" s="220">
        <f>IF($U95="","",IFERROR(TRIM(INDEX('Submission template'!$O$17:$O$300,$U95)),""))</f>
      </c>
      <c r="AB95" s="220">
        <f>IF($U95="","",IFERROR(TRIM(INDEX('Submission template'!$S$17:$S$300,$U95)),""))</f>
      </c>
      <c r="AC95" s="220">
        <f>IF($B95="",0,IF($U95="",0,1))</f>
        <v>0</v>
      </c>
      <c r="AD95" s="220">
        <f>IF($B95="",0,IF(OR($H95=TargetLocation,AND($AA95&lt;&gt;"",ISNUMBER(SEARCH(TargetLocation,$AA95)))),1,0))</f>
        <v>0</v>
      </c>
      <c r="AE95" s="220">
        <f>IF($B95="",0,IF(AND(OR(SelRecruiter="All",$C95=SelRecruiter),OR(SelCity="All",$H95=SelCity),OR(SelStage="All",$I95=SelStage),OR(SelRequisition="All",$F95=SelRequisition)),1,0))</f>
        <v>0</v>
      </c>
      <c r="AF95" s="220">
        <f>IF($B95="","",COUNT($AF$5:AF94)+1)</f>
      </c>
      <c r="AG95" s="220">
        <f>IF($C95="","",IF(COUNTIF($C$6:$C95,$C95)=1,COUNT($AG$5:AG94)+1,""))</f>
      </c>
      <c r="AH95" s="220">
        <f>IF($F95="","",IF(COUNTIF($F$6:$F95,$F95)=1,COUNT($AH$5:AH94)+1,""))</f>
      </c>
      <c r="AI95" s="220">
        <f>IF($H95="","",IF(COUNTIF($H$6:$H95,$H95)=1,COUNT($AI$5:AI94)+1,""))</f>
      </c>
      <c r="AJ95" s="220">
        <f>IF(OR($B95="",$J95=0),"",$J95*100000000+IF(ISNUMBER($D95),$D95,0)*1000+(170-$A95))</f>
      </c>
      <c r="AK95" s="220">
        <f>IF(OR($B95="",$W95&lt;=0),"",ROUND($W95*10,0)*100000+(170-$A95))</f>
      </c>
      <c r="AL95" s="220">
        <f>IF(OR($B95="",$P95&lt;=0),"",ROUND($P95*10000,0)*1000+(170-$A95))</f>
      </c>
      <c r="AM95" s="220">
        <f>IF(AND($W95&gt;0,$O95&gt;0),COUNT($AM$5:AM94)+1,"")</f>
      </c>
      <c r="AN95">
        <f>IF($B95="",0,IF($G95="",0,SUMPRODUCT(MAX(ISNUMBER(SEARCH(LocPattern,$G95))*LocIdx))))</f>
        <v>0</v>
      </c>
      <c r="BL95">
        <f>IFERROR(INDEX($B$6:$B$125,MATCH(90,$AF$6:$AF$125,0)),"")</f>
      </c>
    </row>
    <row r="96">
      <c r="A96" s="214" t="n">
        <v>91</v>
      </c>
      <c r="B96" s="214">
        <f>IF(TRIM('Master Data-2026'!D92)="","",TRIM('Master Data-2026'!D92))</f>
      </c>
      <c r="C96" s="214">
        <f>IF($B96="","",TRIM('Master Data-2026'!A92))</f>
      </c>
      <c r="D96" s="215">
        <f>IF($B96="","",IF('Master Data-2026'!B92="","",'Master Data-2026'!B92))</f>
      </c>
      <c r="E96" s="214">
        <f>IF($B96="","",TRIM('Master Data-2026'!C92))</f>
      </c>
      <c r="F96" s="214">
        <f>IF($B96="","",TRIM('Master Data-2026'!G92))</f>
      </c>
      <c r="G96" s="214">
        <f>IF($B96="","",TRIM('Master Data-2026'!F92))</f>
      </c>
      <c r="H96" s="214">
        <f>IF($B96="","",IF($G96="","Not recorded",IF($AN96=0,"Other",INDEX(LocCity,$AN96))))</f>
      </c>
      <c r="I96" s="214">
        <f>IF($B96="","",TRIM('Master Data-2026'!H92))</f>
      </c>
      <c r="J96" s="214">
        <f>IF($B96="",0,IFERROR(INDEX(StageOrderRef,MATCH($I96,StageNameRef,0)),0))</f>
        <v>0</v>
      </c>
      <c r="K96" s="214">
        <f>IF($B96="","",TRIM('Master Data-2026'!I92))</f>
      </c>
      <c r="L96" s="214">
        <f>IF($B96="","",TRIM('Master Data-2026'!J92))</f>
      </c>
      <c r="M96" s="216">
        <f>IF($L96="",0,IF(ISNUMBER(SEARCH("%",$L96)),0,IFERROR(VALUE(LEFT($L96,IF(NOT(OR(AND(MID($L96,1,1)&gt;="0",MID($L96,1,1)&lt;="9"),MID($L96,1,1)=".")),0,IF(NOT(OR(AND(MID($L96,2,1)&gt;="0",MID($L96,2,1)&lt;="9"),MID($L96,2,1)=".")),1,IF(NOT(OR(AND(MID($L96,3,1)&gt;="0",MID($L96,3,1)&lt;="9"),MID($L96,3,1)=".")),2,IF(NOT(OR(AND(MID($L96,4,1)&gt;="0",MID($L96,4,1)&lt;="9"),MID($L96,4,1)=".")),3,IF(NOT(OR(AND(MID($L96,5,1)&gt;="0",MID($L96,5,1)&lt;="9"),MID($L96,5,1)=".")),4,IF(NOT(OR(AND(MID($L96,6,1)&gt;="0",MID($L96,6,1)&lt;="9"),MID($L96,6,1)=".")),5,6)))))))),0)))</f>
        <v>0</v>
      </c>
      <c r="N96" s="214">
        <f>IF($B96="","",TRIM('Master Data-2026'!K92))</f>
      </c>
      <c r="O96" s="216">
        <f>IF($N96="",0,IF(ISNUMBER(SEARCH("%",$N96)),0,IFERROR(VALUE(LEFT($N96,IF(NOT(OR(AND(MID($N96,1,1)&gt;="0",MID($N96,1,1)&lt;="9"),MID($N96,1,1)=".")),0,IF(NOT(OR(AND(MID($N96,2,1)&gt;="0",MID($N96,2,1)&lt;="9"),MID($N96,2,1)=".")),1,IF(NOT(OR(AND(MID($N96,3,1)&gt;="0",MID($N96,3,1)&lt;="9"),MID($N96,3,1)=".")),2,IF(NOT(OR(AND(MID($N96,4,1)&gt;="0",MID($N96,4,1)&lt;="9"),MID($N96,4,1)=".")),3,IF(NOT(OR(AND(MID($N96,5,1)&gt;="0",MID($N96,5,1)&lt;="9"),MID($N96,5,1)=".")),4,IF(NOT(OR(AND(MID($N96,6,1)&gt;="0",MID($N96,6,1)&lt;="9"),MID($N96,6,1)=".")),5,6)))))))),0)))</f>
        <v>0</v>
      </c>
      <c r="P96" s="217">
        <f>IF(AND($M96&gt;0,$O96&gt;0),$O96/$M96-1,0)</f>
        <v>0</v>
      </c>
      <c r="Q96" s="214">
        <f>IF($B96="","",TRIM('Master Data-2026'!L92))</f>
      </c>
      <c r="R96" s="214">
        <f>IF($Q96="",0,IF(ISNUMBER(SEARCH("%",$Q96)),0,IFERROR(VALUE(LEFT($Q96,IF(NOT(OR(AND(MID($Q96,1,1)&gt;="0",MID($Q96,1,1)&lt;="9"),MID($Q96,1,1)=".")),0,IF(NOT(OR(AND(MID($Q96,2,1)&gt;="0",MID($Q96,2,1)&lt;="9"),MID($Q96,2,1)=".")),1,IF(NOT(OR(AND(MID($Q96,3,1)&gt;="0",MID($Q96,3,1)&lt;="9"),MID($Q96,3,1)=".")),2,IF(NOT(OR(AND(MID($Q96,4,1)&gt;="0",MID($Q96,4,1)&lt;="9"),MID($Q96,4,1)=".")),3,IF(NOT(OR(AND(MID($Q96,5,1)&gt;="0",MID($Q96,5,1)&lt;="9"),MID($Q96,5,1)=".")),4,IF(NOT(OR(AND(MID($Q96,6,1)&gt;="0",MID($Q96,6,1)&lt;="9"),MID($Q96,6,1)=".")),5,6)))))))),0)))</f>
        <v>0</v>
      </c>
      <c r="S96" s="218">
        <f>IF($Q96="",-1,IF(ISNUMBER(SEARCH("immediate",$Q96)),0,IF(ISNUMBER(SEARCH("month",$Q96)),IF($R96=0,-1,$R96*30),IF(ISNUMBER(SEARCH("day",$Q96)),IF($R96=0,-1,$R96),-1))))</f>
        <v>-1</v>
      </c>
      <c r="T96" s="214">
        <f>IF($B96="","",IF($S96&lt;0,"Not recorded",IF($S96=0,"Immediate",IF($S96&lt;=30,"1-30 days",IF($S96&lt;=60,"31-60 days","60+ days")))))</f>
      </c>
      <c r="U96" s="214">
        <f>IF($B96="","",IFERROR(MATCH($B96,'Submission template'!$D$17:$D$300,0),""))</f>
      </c>
      <c r="V96" s="214">
        <f>IF($U96="","",IFERROR(TRIM(INDEX('Submission template'!$I$17:$I$300,$U96)),""))</f>
      </c>
      <c r="W96" s="219">
        <f>IF($V96="",0,IF(ISNUMBER(SEARCH("%",$V96)),0,IFERROR(VALUE(LEFT($V96,IF(NOT(OR(AND(MID($V96,1,1)&gt;="0",MID($V96,1,1)&lt;="9"),MID($V96,1,1)=".")),0,IF(NOT(OR(AND(MID($V96,2,1)&gt;="0",MID($V96,2,1)&lt;="9"),MID($V96,2,1)=".")),1,IF(NOT(OR(AND(MID($V96,3,1)&gt;="0",MID($V96,3,1)&lt;="9"),MID($V96,3,1)=".")),2,IF(NOT(OR(AND(MID($V96,4,1)&gt;="0",MID($V96,4,1)&lt;="9"),MID($V96,4,1)=".")),3,IF(NOT(OR(AND(MID($V96,5,1)&gt;="0",MID($V96,5,1)&lt;="9"),MID($V96,5,1)=".")),4,IF(NOT(OR(AND(MID($V96,6,1)&gt;="0",MID($V96,6,1)&lt;="9"),MID($V96,6,1)=".")),5,6)))))))),0)))</f>
        <v>0</v>
      </c>
      <c r="X96" s="214">
        <f>IF($U96="","",IFERROR(TRIM(INDEX('Submission template'!$J$17:$J$300,$U96)),""))</f>
      </c>
      <c r="Y96" s="214">
        <f>IF($U96="","",IFERROR(TRIM(INDEX('Submission template'!$K$17:$K$300,$U96)),""))</f>
      </c>
      <c r="Z96" s="214">
        <f>IF($U96="","",IFERROR(TRIM(INDEX('Submission template'!$M$17:$M$300,$U96)),""))</f>
      </c>
      <c r="AA96" s="214">
        <f>IF($U96="","",IFERROR(TRIM(INDEX('Submission template'!$O$17:$O$300,$U96)),""))</f>
      </c>
      <c r="AB96" s="214">
        <f>IF($U96="","",IFERROR(TRIM(INDEX('Submission template'!$S$17:$S$300,$U96)),""))</f>
      </c>
      <c r="AC96" s="214">
        <f>IF($B96="",0,IF($U96="",0,1))</f>
        <v>0</v>
      </c>
      <c r="AD96" s="214">
        <f>IF($B96="",0,IF(OR($H96=TargetLocation,AND($AA96&lt;&gt;"",ISNUMBER(SEARCH(TargetLocation,$AA96)))),1,0))</f>
        <v>0</v>
      </c>
      <c r="AE96" s="214">
        <f>IF($B96="",0,IF(AND(OR(SelRecruiter="All",$C96=SelRecruiter),OR(SelCity="All",$H96=SelCity),OR(SelStage="All",$I96=SelStage),OR(SelRequisition="All",$F96=SelRequisition)),1,0))</f>
        <v>0</v>
      </c>
      <c r="AF96" s="214">
        <f>IF($B96="","",COUNT($AF$5:AF95)+1)</f>
      </c>
      <c r="AG96" s="214">
        <f>IF($C96="","",IF(COUNTIF($C$6:$C96,$C96)=1,COUNT($AG$5:AG95)+1,""))</f>
      </c>
      <c r="AH96" s="214">
        <f>IF($F96="","",IF(COUNTIF($F$6:$F96,$F96)=1,COUNT($AH$5:AH95)+1,""))</f>
      </c>
      <c r="AI96" s="214">
        <f>IF($H96="","",IF(COUNTIF($H$6:$H96,$H96)=1,COUNT($AI$5:AI95)+1,""))</f>
      </c>
      <c r="AJ96" s="214">
        <f>IF(OR($B96="",$J96=0),"",$J96*100000000+IF(ISNUMBER($D96),$D96,0)*1000+(170-$A96))</f>
      </c>
      <c r="AK96" s="214">
        <f>IF(OR($B96="",$W96&lt;=0),"",ROUND($W96*10,0)*100000+(170-$A96))</f>
      </c>
      <c r="AL96" s="214">
        <f>IF(OR($B96="",$P96&lt;=0),"",ROUND($P96*10000,0)*1000+(170-$A96))</f>
      </c>
      <c r="AM96" s="214">
        <f>IF(AND($W96&gt;0,$O96&gt;0),COUNT($AM$5:AM95)+1,"")</f>
      </c>
      <c r="AN96">
        <f>IF($B96="",0,IF($G96="",0,SUMPRODUCT(MAX(ISNUMBER(SEARCH(LocPattern,$G96))*LocIdx))))</f>
        <v>0</v>
      </c>
      <c r="BL96">
        <f>IFERROR(INDEX($B$6:$B$125,MATCH(91,$AF$6:$AF$125,0)),"")</f>
      </c>
    </row>
    <row r="97">
      <c r="A97" s="220" t="n">
        <v>92</v>
      </c>
      <c r="B97" s="220">
        <f>IF(TRIM('Master Data-2026'!D93)="","",TRIM('Master Data-2026'!D93))</f>
      </c>
      <c r="C97" s="220">
        <f>IF($B97="","",TRIM('Master Data-2026'!A93))</f>
      </c>
      <c r="D97" s="221">
        <f>IF($B97="","",IF('Master Data-2026'!B93="","",'Master Data-2026'!B93))</f>
      </c>
      <c r="E97" s="220">
        <f>IF($B97="","",TRIM('Master Data-2026'!C93))</f>
      </c>
      <c r="F97" s="220">
        <f>IF($B97="","",TRIM('Master Data-2026'!G93))</f>
      </c>
      <c r="G97" s="220">
        <f>IF($B97="","",TRIM('Master Data-2026'!F93))</f>
      </c>
      <c r="H97" s="220">
        <f>IF($B97="","",IF($G97="","Not recorded",IF($AN97=0,"Other",INDEX(LocCity,$AN97))))</f>
      </c>
      <c r="I97" s="220">
        <f>IF($B97="","",TRIM('Master Data-2026'!H93))</f>
      </c>
      <c r="J97" s="220">
        <f>IF($B97="",0,IFERROR(INDEX(StageOrderRef,MATCH($I97,StageNameRef,0)),0))</f>
        <v>0</v>
      </c>
      <c r="K97" s="220">
        <f>IF($B97="","",TRIM('Master Data-2026'!I93))</f>
      </c>
      <c r="L97" s="220">
        <f>IF($B97="","",TRIM('Master Data-2026'!J93))</f>
      </c>
      <c r="M97" s="222">
        <f>IF($L97="",0,IF(ISNUMBER(SEARCH("%",$L97)),0,IFERROR(VALUE(LEFT($L97,IF(NOT(OR(AND(MID($L97,1,1)&gt;="0",MID($L97,1,1)&lt;="9"),MID($L97,1,1)=".")),0,IF(NOT(OR(AND(MID($L97,2,1)&gt;="0",MID($L97,2,1)&lt;="9"),MID($L97,2,1)=".")),1,IF(NOT(OR(AND(MID($L97,3,1)&gt;="0",MID($L97,3,1)&lt;="9"),MID($L97,3,1)=".")),2,IF(NOT(OR(AND(MID($L97,4,1)&gt;="0",MID($L97,4,1)&lt;="9"),MID($L97,4,1)=".")),3,IF(NOT(OR(AND(MID($L97,5,1)&gt;="0",MID($L97,5,1)&lt;="9"),MID($L97,5,1)=".")),4,IF(NOT(OR(AND(MID($L97,6,1)&gt;="0",MID($L97,6,1)&lt;="9"),MID($L97,6,1)=".")),5,6)))))))),0)))</f>
        <v>0</v>
      </c>
      <c r="N97" s="220">
        <f>IF($B97="","",TRIM('Master Data-2026'!K93))</f>
      </c>
      <c r="O97" s="222">
        <f>IF($N97="",0,IF(ISNUMBER(SEARCH("%",$N97)),0,IFERROR(VALUE(LEFT($N97,IF(NOT(OR(AND(MID($N97,1,1)&gt;="0",MID($N97,1,1)&lt;="9"),MID($N97,1,1)=".")),0,IF(NOT(OR(AND(MID($N97,2,1)&gt;="0",MID($N97,2,1)&lt;="9"),MID($N97,2,1)=".")),1,IF(NOT(OR(AND(MID($N97,3,1)&gt;="0",MID($N97,3,1)&lt;="9"),MID($N97,3,1)=".")),2,IF(NOT(OR(AND(MID($N97,4,1)&gt;="0",MID($N97,4,1)&lt;="9"),MID($N97,4,1)=".")),3,IF(NOT(OR(AND(MID($N97,5,1)&gt;="0",MID($N97,5,1)&lt;="9"),MID($N97,5,1)=".")),4,IF(NOT(OR(AND(MID($N97,6,1)&gt;="0",MID($N97,6,1)&lt;="9"),MID($N97,6,1)=".")),5,6)))))))),0)))</f>
        <v>0</v>
      </c>
      <c r="P97" s="223">
        <f>IF(AND($M97&gt;0,$O97&gt;0),$O97/$M97-1,0)</f>
        <v>0</v>
      </c>
      <c r="Q97" s="220">
        <f>IF($B97="","",TRIM('Master Data-2026'!L93))</f>
      </c>
      <c r="R97" s="220">
        <f>IF($Q97="",0,IF(ISNUMBER(SEARCH("%",$Q97)),0,IFERROR(VALUE(LEFT($Q97,IF(NOT(OR(AND(MID($Q97,1,1)&gt;="0",MID($Q97,1,1)&lt;="9"),MID($Q97,1,1)=".")),0,IF(NOT(OR(AND(MID($Q97,2,1)&gt;="0",MID($Q97,2,1)&lt;="9"),MID($Q97,2,1)=".")),1,IF(NOT(OR(AND(MID($Q97,3,1)&gt;="0",MID($Q97,3,1)&lt;="9"),MID($Q97,3,1)=".")),2,IF(NOT(OR(AND(MID($Q97,4,1)&gt;="0",MID($Q97,4,1)&lt;="9"),MID($Q97,4,1)=".")),3,IF(NOT(OR(AND(MID($Q97,5,1)&gt;="0",MID($Q97,5,1)&lt;="9"),MID($Q97,5,1)=".")),4,IF(NOT(OR(AND(MID($Q97,6,1)&gt;="0",MID($Q97,6,1)&lt;="9"),MID($Q97,6,1)=".")),5,6)))))))),0)))</f>
        <v>0</v>
      </c>
      <c r="S97" s="224">
        <f>IF($Q97="",-1,IF(ISNUMBER(SEARCH("immediate",$Q97)),0,IF(ISNUMBER(SEARCH("month",$Q97)),IF($R97=0,-1,$R97*30),IF(ISNUMBER(SEARCH("day",$Q97)),IF($R97=0,-1,$R97),-1))))</f>
        <v>-1</v>
      </c>
      <c r="T97" s="220">
        <f>IF($B97="","",IF($S97&lt;0,"Not recorded",IF($S97=0,"Immediate",IF($S97&lt;=30,"1-30 days",IF($S97&lt;=60,"31-60 days","60+ days")))))</f>
      </c>
      <c r="U97" s="220">
        <f>IF($B97="","",IFERROR(MATCH($B97,'Submission template'!$D$17:$D$300,0),""))</f>
      </c>
      <c r="V97" s="220">
        <f>IF($U97="","",IFERROR(TRIM(INDEX('Submission template'!$I$17:$I$300,$U97)),""))</f>
      </c>
      <c r="W97" s="225">
        <f>IF($V97="",0,IF(ISNUMBER(SEARCH("%",$V97)),0,IFERROR(VALUE(LEFT($V97,IF(NOT(OR(AND(MID($V97,1,1)&gt;="0",MID($V97,1,1)&lt;="9"),MID($V97,1,1)=".")),0,IF(NOT(OR(AND(MID($V97,2,1)&gt;="0",MID($V97,2,1)&lt;="9"),MID($V97,2,1)=".")),1,IF(NOT(OR(AND(MID($V97,3,1)&gt;="0",MID($V97,3,1)&lt;="9"),MID($V97,3,1)=".")),2,IF(NOT(OR(AND(MID($V97,4,1)&gt;="0",MID($V97,4,1)&lt;="9"),MID($V97,4,1)=".")),3,IF(NOT(OR(AND(MID($V97,5,1)&gt;="0",MID($V97,5,1)&lt;="9"),MID($V97,5,1)=".")),4,IF(NOT(OR(AND(MID($V97,6,1)&gt;="0",MID($V97,6,1)&lt;="9"),MID($V97,6,1)=".")),5,6)))))))),0)))</f>
        <v>0</v>
      </c>
      <c r="X97" s="220">
        <f>IF($U97="","",IFERROR(TRIM(INDEX('Submission template'!$J$17:$J$300,$U97)),""))</f>
      </c>
      <c r="Y97" s="220">
        <f>IF($U97="","",IFERROR(TRIM(INDEX('Submission template'!$K$17:$K$300,$U97)),""))</f>
      </c>
      <c r="Z97" s="220">
        <f>IF($U97="","",IFERROR(TRIM(INDEX('Submission template'!$M$17:$M$300,$U97)),""))</f>
      </c>
      <c r="AA97" s="220">
        <f>IF($U97="","",IFERROR(TRIM(INDEX('Submission template'!$O$17:$O$300,$U97)),""))</f>
      </c>
      <c r="AB97" s="220">
        <f>IF($U97="","",IFERROR(TRIM(INDEX('Submission template'!$S$17:$S$300,$U97)),""))</f>
      </c>
      <c r="AC97" s="220">
        <f>IF($B97="",0,IF($U97="",0,1))</f>
        <v>0</v>
      </c>
      <c r="AD97" s="220">
        <f>IF($B97="",0,IF(OR($H97=TargetLocation,AND($AA97&lt;&gt;"",ISNUMBER(SEARCH(TargetLocation,$AA97)))),1,0))</f>
        <v>0</v>
      </c>
      <c r="AE97" s="220">
        <f>IF($B97="",0,IF(AND(OR(SelRecruiter="All",$C97=SelRecruiter),OR(SelCity="All",$H97=SelCity),OR(SelStage="All",$I97=SelStage),OR(SelRequisition="All",$F97=SelRequisition)),1,0))</f>
        <v>0</v>
      </c>
      <c r="AF97" s="220">
        <f>IF($B97="","",COUNT($AF$5:AF96)+1)</f>
      </c>
      <c r="AG97" s="220">
        <f>IF($C97="","",IF(COUNTIF($C$6:$C97,$C97)=1,COUNT($AG$5:AG96)+1,""))</f>
      </c>
      <c r="AH97" s="220">
        <f>IF($F97="","",IF(COUNTIF($F$6:$F97,$F97)=1,COUNT($AH$5:AH96)+1,""))</f>
      </c>
      <c r="AI97" s="220">
        <f>IF($H97="","",IF(COUNTIF($H$6:$H97,$H97)=1,COUNT($AI$5:AI96)+1,""))</f>
      </c>
      <c r="AJ97" s="220">
        <f>IF(OR($B97="",$J97=0),"",$J97*100000000+IF(ISNUMBER($D97),$D97,0)*1000+(170-$A97))</f>
      </c>
      <c r="AK97" s="220">
        <f>IF(OR($B97="",$W97&lt;=0),"",ROUND($W97*10,0)*100000+(170-$A97))</f>
      </c>
      <c r="AL97" s="220">
        <f>IF(OR($B97="",$P97&lt;=0),"",ROUND($P97*10000,0)*1000+(170-$A97))</f>
      </c>
      <c r="AM97" s="220">
        <f>IF(AND($W97&gt;0,$O97&gt;0),COUNT($AM$5:AM96)+1,"")</f>
      </c>
      <c r="AN97">
        <f>IF($B97="",0,IF($G97="",0,SUMPRODUCT(MAX(ISNUMBER(SEARCH(LocPattern,$G97))*LocIdx))))</f>
        <v>0</v>
      </c>
      <c r="BL97">
        <f>IFERROR(INDEX($B$6:$B$125,MATCH(92,$AF$6:$AF$125,0)),"")</f>
      </c>
    </row>
    <row r="98">
      <c r="A98" s="214" t="n">
        <v>93</v>
      </c>
      <c r="B98" s="214">
        <f>IF(TRIM('Master Data-2026'!D94)="","",TRIM('Master Data-2026'!D94))</f>
      </c>
      <c r="C98" s="214">
        <f>IF($B98="","",TRIM('Master Data-2026'!A94))</f>
      </c>
      <c r="D98" s="215">
        <f>IF($B98="","",IF('Master Data-2026'!B94="","",'Master Data-2026'!B94))</f>
      </c>
      <c r="E98" s="214">
        <f>IF($B98="","",TRIM('Master Data-2026'!C94))</f>
      </c>
      <c r="F98" s="214">
        <f>IF($B98="","",TRIM('Master Data-2026'!G94))</f>
      </c>
      <c r="G98" s="214">
        <f>IF($B98="","",TRIM('Master Data-2026'!F94))</f>
      </c>
      <c r="H98" s="214">
        <f>IF($B98="","",IF($G98="","Not recorded",IF($AN98=0,"Other",INDEX(LocCity,$AN98))))</f>
      </c>
      <c r="I98" s="214">
        <f>IF($B98="","",TRIM('Master Data-2026'!H94))</f>
      </c>
      <c r="J98" s="214">
        <f>IF($B98="",0,IFERROR(INDEX(StageOrderRef,MATCH($I98,StageNameRef,0)),0))</f>
        <v>0</v>
      </c>
      <c r="K98" s="214">
        <f>IF($B98="","",TRIM('Master Data-2026'!I94))</f>
      </c>
      <c r="L98" s="214">
        <f>IF($B98="","",TRIM('Master Data-2026'!J94))</f>
      </c>
      <c r="M98" s="216">
        <f>IF($L98="",0,IF(ISNUMBER(SEARCH("%",$L98)),0,IFERROR(VALUE(LEFT($L98,IF(NOT(OR(AND(MID($L98,1,1)&gt;="0",MID($L98,1,1)&lt;="9"),MID($L98,1,1)=".")),0,IF(NOT(OR(AND(MID($L98,2,1)&gt;="0",MID($L98,2,1)&lt;="9"),MID($L98,2,1)=".")),1,IF(NOT(OR(AND(MID($L98,3,1)&gt;="0",MID($L98,3,1)&lt;="9"),MID($L98,3,1)=".")),2,IF(NOT(OR(AND(MID($L98,4,1)&gt;="0",MID($L98,4,1)&lt;="9"),MID($L98,4,1)=".")),3,IF(NOT(OR(AND(MID($L98,5,1)&gt;="0",MID($L98,5,1)&lt;="9"),MID($L98,5,1)=".")),4,IF(NOT(OR(AND(MID($L98,6,1)&gt;="0",MID($L98,6,1)&lt;="9"),MID($L98,6,1)=".")),5,6)))))))),0)))</f>
        <v>0</v>
      </c>
      <c r="N98" s="214">
        <f>IF($B98="","",TRIM('Master Data-2026'!K94))</f>
      </c>
      <c r="O98" s="216">
        <f>IF($N98="",0,IF(ISNUMBER(SEARCH("%",$N98)),0,IFERROR(VALUE(LEFT($N98,IF(NOT(OR(AND(MID($N98,1,1)&gt;="0",MID($N98,1,1)&lt;="9"),MID($N98,1,1)=".")),0,IF(NOT(OR(AND(MID($N98,2,1)&gt;="0",MID($N98,2,1)&lt;="9"),MID($N98,2,1)=".")),1,IF(NOT(OR(AND(MID($N98,3,1)&gt;="0",MID($N98,3,1)&lt;="9"),MID($N98,3,1)=".")),2,IF(NOT(OR(AND(MID($N98,4,1)&gt;="0",MID($N98,4,1)&lt;="9"),MID($N98,4,1)=".")),3,IF(NOT(OR(AND(MID($N98,5,1)&gt;="0",MID($N98,5,1)&lt;="9"),MID($N98,5,1)=".")),4,IF(NOT(OR(AND(MID($N98,6,1)&gt;="0",MID($N98,6,1)&lt;="9"),MID($N98,6,1)=".")),5,6)))))))),0)))</f>
        <v>0</v>
      </c>
      <c r="P98" s="217">
        <f>IF(AND($M98&gt;0,$O98&gt;0),$O98/$M98-1,0)</f>
        <v>0</v>
      </c>
      <c r="Q98" s="214">
        <f>IF($B98="","",TRIM('Master Data-2026'!L94))</f>
      </c>
      <c r="R98" s="214">
        <f>IF($Q98="",0,IF(ISNUMBER(SEARCH("%",$Q98)),0,IFERROR(VALUE(LEFT($Q98,IF(NOT(OR(AND(MID($Q98,1,1)&gt;="0",MID($Q98,1,1)&lt;="9"),MID($Q98,1,1)=".")),0,IF(NOT(OR(AND(MID($Q98,2,1)&gt;="0",MID($Q98,2,1)&lt;="9"),MID($Q98,2,1)=".")),1,IF(NOT(OR(AND(MID($Q98,3,1)&gt;="0",MID($Q98,3,1)&lt;="9"),MID($Q98,3,1)=".")),2,IF(NOT(OR(AND(MID($Q98,4,1)&gt;="0",MID($Q98,4,1)&lt;="9"),MID($Q98,4,1)=".")),3,IF(NOT(OR(AND(MID($Q98,5,1)&gt;="0",MID($Q98,5,1)&lt;="9"),MID($Q98,5,1)=".")),4,IF(NOT(OR(AND(MID($Q98,6,1)&gt;="0",MID($Q98,6,1)&lt;="9"),MID($Q98,6,1)=".")),5,6)))))))),0)))</f>
        <v>0</v>
      </c>
      <c r="S98" s="218">
        <f>IF($Q98="",-1,IF(ISNUMBER(SEARCH("immediate",$Q98)),0,IF(ISNUMBER(SEARCH("month",$Q98)),IF($R98=0,-1,$R98*30),IF(ISNUMBER(SEARCH("day",$Q98)),IF($R98=0,-1,$R98),-1))))</f>
        <v>-1</v>
      </c>
      <c r="T98" s="214">
        <f>IF($B98="","",IF($S98&lt;0,"Not recorded",IF($S98=0,"Immediate",IF($S98&lt;=30,"1-30 days",IF($S98&lt;=60,"31-60 days","60+ days")))))</f>
      </c>
      <c r="U98" s="214">
        <f>IF($B98="","",IFERROR(MATCH($B98,'Submission template'!$D$17:$D$300,0),""))</f>
      </c>
      <c r="V98" s="214">
        <f>IF($U98="","",IFERROR(TRIM(INDEX('Submission template'!$I$17:$I$300,$U98)),""))</f>
      </c>
      <c r="W98" s="219">
        <f>IF($V98="",0,IF(ISNUMBER(SEARCH("%",$V98)),0,IFERROR(VALUE(LEFT($V98,IF(NOT(OR(AND(MID($V98,1,1)&gt;="0",MID($V98,1,1)&lt;="9"),MID($V98,1,1)=".")),0,IF(NOT(OR(AND(MID($V98,2,1)&gt;="0",MID($V98,2,1)&lt;="9"),MID($V98,2,1)=".")),1,IF(NOT(OR(AND(MID($V98,3,1)&gt;="0",MID($V98,3,1)&lt;="9"),MID($V98,3,1)=".")),2,IF(NOT(OR(AND(MID($V98,4,1)&gt;="0",MID($V98,4,1)&lt;="9"),MID($V98,4,1)=".")),3,IF(NOT(OR(AND(MID($V98,5,1)&gt;="0",MID($V98,5,1)&lt;="9"),MID($V98,5,1)=".")),4,IF(NOT(OR(AND(MID($V98,6,1)&gt;="0",MID($V98,6,1)&lt;="9"),MID($V98,6,1)=".")),5,6)))))))),0)))</f>
        <v>0</v>
      </c>
      <c r="X98" s="214">
        <f>IF($U98="","",IFERROR(TRIM(INDEX('Submission template'!$J$17:$J$300,$U98)),""))</f>
      </c>
      <c r="Y98" s="214">
        <f>IF($U98="","",IFERROR(TRIM(INDEX('Submission template'!$K$17:$K$300,$U98)),""))</f>
      </c>
      <c r="Z98" s="214">
        <f>IF($U98="","",IFERROR(TRIM(INDEX('Submission template'!$M$17:$M$300,$U98)),""))</f>
      </c>
      <c r="AA98" s="214">
        <f>IF($U98="","",IFERROR(TRIM(INDEX('Submission template'!$O$17:$O$300,$U98)),""))</f>
      </c>
      <c r="AB98" s="214">
        <f>IF($U98="","",IFERROR(TRIM(INDEX('Submission template'!$S$17:$S$300,$U98)),""))</f>
      </c>
      <c r="AC98" s="214">
        <f>IF($B98="",0,IF($U98="",0,1))</f>
        <v>0</v>
      </c>
      <c r="AD98" s="214">
        <f>IF($B98="",0,IF(OR($H98=TargetLocation,AND($AA98&lt;&gt;"",ISNUMBER(SEARCH(TargetLocation,$AA98)))),1,0))</f>
        <v>0</v>
      </c>
      <c r="AE98" s="214">
        <f>IF($B98="",0,IF(AND(OR(SelRecruiter="All",$C98=SelRecruiter),OR(SelCity="All",$H98=SelCity),OR(SelStage="All",$I98=SelStage),OR(SelRequisition="All",$F98=SelRequisition)),1,0))</f>
        <v>0</v>
      </c>
      <c r="AF98" s="214">
        <f>IF($B98="","",COUNT($AF$5:AF97)+1)</f>
      </c>
      <c r="AG98" s="214">
        <f>IF($C98="","",IF(COUNTIF($C$6:$C98,$C98)=1,COUNT($AG$5:AG97)+1,""))</f>
      </c>
      <c r="AH98" s="214">
        <f>IF($F98="","",IF(COUNTIF($F$6:$F98,$F98)=1,COUNT($AH$5:AH97)+1,""))</f>
      </c>
      <c r="AI98" s="214">
        <f>IF($H98="","",IF(COUNTIF($H$6:$H98,$H98)=1,COUNT($AI$5:AI97)+1,""))</f>
      </c>
      <c r="AJ98" s="214">
        <f>IF(OR($B98="",$J98=0),"",$J98*100000000+IF(ISNUMBER($D98),$D98,0)*1000+(170-$A98))</f>
      </c>
      <c r="AK98" s="214">
        <f>IF(OR($B98="",$W98&lt;=0),"",ROUND($W98*10,0)*100000+(170-$A98))</f>
      </c>
      <c r="AL98" s="214">
        <f>IF(OR($B98="",$P98&lt;=0),"",ROUND($P98*10000,0)*1000+(170-$A98))</f>
      </c>
      <c r="AM98" s="214">
        <f>IF(AND($W98&gt;0,$O98&gt;0),COUNT($AM$5:AM97)+1,"")</f>
      </c>
      <c r="AN98">
        <f>IF($B98="",0,IF($G98="",0,SUMPRODUCT(MAX(ISNUMBER(SEARCH(LocPattern,$G98))*LocIdx))))</f>
        <v>0</v>
      </c>
      <c r="BL98">
        <f>IFERROR(INDEX($B$6:$B$125,MATCH(93,$AF$6:$AF$125,0)),"")</f>
      </c>
    </row>
    <row r="99">
      <c r="A99" s="220" t="n">
        <v>94</v>
      </c>
      <c r="B99" s="220">
        <f>IF(TRIM('Master Data-2026'!D95)="","",TRIM('Master Data-2026'!D95))</f>
      </c>
      <c r="C99" s="220">
        <f>IF($B99="","",TRIM('Master Data-2026'!A95))</f>
      </c>
      <c r="D99" s="221">
        <f>IF($B99="","",IF('Master Data-2026'!B95="","",'Master Data-2026'!B95))</f>
      </c>
      <c r="E99" s="220">
        <f>IF($B99="","",TRIM('Master Data-2026'!C95))</f>
      </c>
      <c r="F99" s="220">
        <f>IF($B99="","",TRIM('Master Data-2026'!G95))</f>
      </c>
      <c r="G99" s="220">
        <f>IF($B99="","",TRIM('Master Data-2026'!F95))</f>
      </c>
      <c r="H99" s="220">
        <f>IF($B99="","",IF($G99="","Not recorded",IF($AN99=0,"Other",INDEX(LocCity,$AN99))))</f>
      </c>
      <c r="I99" s="220">
        <f>IF($B99="","",TRIM('Master Data-2026'!H95))</f>
      </c>
      <c r="J99" s="220">
        <f>IF($B99="",0,IFERROR(INDEX(StageOrderRef,MATCH($I99,StageNameRef,0)),0))</f>
        <v>0</v>
      </c>
      <c r="K99" s="220">
        <f>IF($B99="","",TRIM('Master Data-2026'!I95))</f>
      </c>
      <c r="L99" s="220">
        <f>IF($B99="","",TRIM('Master Data-2026'!J95))</f>
      </c>
      <c r="M99" s="222">
        <f>IF($L99="",0,IF(ISNUMBER(SEARCH("%",$L99)),0,IFERROR(VALUE(LEFT($L99,IF(NOT(OR(AND(MID($L99,1,1)&gt;="0",MID($L99,1,1)&lt;="9"),MID($L99,1,1)=".")),0,IF(NOT(OR(AND(MID($L99,2,1)&gt;="0",MID($L99,2,1)&lt;="9"),MID($L99,2,1)=".")),1,IF(NOT(OR(AND(MID($L99,3,1)&gt;="0",MID($L99,3,1)&lt;="9"),MID($L99,3,1)=".")),2,IF(NOT(OR(AND(MID($L99,4,1)&gt;="0",MID($L99,4,1)&lt;="9"),MID($L99,4,1)=".")),3,IF(NOT(OR(AND(MID($L99,5,1)&gt;="0",MID($L99,5,1)&lt;="9"),MID($L99,5,1)=".")),4,IF(NOT(OR(AND(MID($L99,6,1)&gt;="0",MID($L99,6,1)&lt;="9"),MID($L99,6,1)=".")),5,6)))))))),0)))</f>
        <v>0</v>
      </c>
      <c r="N99" s="220">
        <f>IF($B99="","",TRIM('Master Data-2026'!K95))</f>
      </c>
      <c r="O99" s="222">
        <f>IF($N99="",0,IF(ISNUMBER(SEARCH("%",$N99)),0,IFERROR(VALUE(LEFT($N99,IF(NOT(OR(AND(MID($N99,1,1)&gt;="0",MID($N99,1,1)&lt;="9"),MID($N99,1,1)=".")),0,IF(NOT(OR(AND(MID($N99,2,1)&gt;="0",MID($N99,2,1)&lt;="9"),MID($N99,2,1)=".")),1,IF(NOT(OR(AND(MID($N99,3,1)&gt;="0",MID($N99,3,1)&lt;="9"),MID($N99,3,1)=".")),2,IF(NOT(OR(AND(MID($N99,4,1)&gt;="0",MID($N99,4,1)&lt;="9"),MID($N99,4,1)=".")),3,IF(NOT(OR(AND(MID($N99,5,1)&gt;="0",MID($N99,5,1)&lt;="9"),MID($N99,5,1)=".")),4,IF(NOT(OR(AND(MID($N99,6,1)&gt;="0",MID($N99,6,1)&lt;="9"),MID($N99,6,1)=".")),5,6)))))))),0)))</f>
        <v>0</v>
      </c>
      <c r="P99" s="223">
        <f>IF(AND($M99&gt;0,$O99&gt;0),$O99/$M99-1,0)</f>
        <v>0</v>
      </c>
      <c r="Q99" s="220">
        <f>IF($B99="","",TRIM('Master Data-2026'!L95))</f>
      </c>
      <c r="R99" s="220">
        <f>IF($Q99="",0,IF(ISNUMBER(SEARCH("%",$Q99)),0,IFERROR(VALUE(LEFT($Q99,IF(NOT(OR(AND(MID($Q99,1,1)&gt;="0",MID($Q99,1,1)&lt;="9"),MID($Q99,1,1)=".")),0,IF(NOT(OR(AND(MID($Q99,2,1)&gt;="0",MID($Q99,2,1)&lt;="9"),MID($Q99,2,1)=".")),1,IF(NOT(OR(AND(MID($Q99,3,1)&gt;="0",MID($Q99,3,1)&lt;="9"),MID($Q99,3,1)=".")),2,IF(NOT(OR(AND(MID($Q99,4,1)&gt;="0",MID($Q99,4,1)&lt;="9"),MID($Q99,4,1)=".")),3,IF(NOT(OR(AND(MID($Q99,5,1)&gt;="0",MID($Q99,5,1)&lt;="9"),MID($Q99,5,1)=".")),4,IF(NOT(OR(AND(MID($Q99,6,1)&gt;="0",MID($Q99,6,1)&lt;="9"),MID($Q99,6,1)=".")),5,6)))))))),0)))</f>
        <v>0</v>
      </c>
      <c r="S99" s="224">
        <f>IF($Q99="",-1,IF(ISNUMBER(SEARCH("immediate",$Q99)),0,IF(ISNUMBER(SEARCH("month",$Q99)),IF($R99=0,-1,$R99*30),IF(ISNUMBER(SEARCH("day",$Q99)),IF($R99=0,-1,$R99),-1))))</f>
        <v>-1</v>
      </c>
      <c r="T99" s="220">
        <f>IF($B99="","",IF($S99&lt;0,"Not recorded",IF($S99=0,"Immediate",IF($S99&lt;=30,"1-30 days",IF($S99&lt;=60,"31-60 days","60+ days")))))</f>
      </c>
      <c r="U99" s="220">
        <f>IF($B99="","",IFERROR(MATCH($B99,'Submission template'!$D$17:$D$300,0),""))</f>
      </c>
      <c r="V99" s="220">
        <f>IF($U99="","",IFERROR(TRIM(INDEX('Submission template'!$I$17:$I$300,$U99)),""))</f>
      </c>
      <c r="W99" s="225">
        <f>IF($V99="",0,IF(ISNUMBER(SEARCH("%",$V99)),0,IFERROR(VALUE(LEFT($V99,IF(NOT(OR(AND(MID($V99,1,1)&gt;="0",MID($V99,1,1)&lt;="9"),MID($V99,1,1)=".")),0,IF(NOT(OR(AND(MID($V99,2,1)&gt;="0",MID($V99,2,1)&lt;="9"),MID($V99,2,1)=".")),1,IF(NOT(OR(AND(MID($V99,3,1)&gt;="0",MID($V99,3,1)&lt;="9"),MID($V99,3,1)=".")),2,IF(NOT(OR(AND(MID($V99,4,1)&gt;="0",MID($V99,4,1)&lt;="9"),MID($V99,4,1)=".")),3,IF(NOT(OR(AND(MID($V99,5,1)&gt;="0",MID($V99,5,1)&lt;="9"),MID($V99,5,1)=".")),4,IF(NOT(OR(AND(MID($V99,6,1)&gt;="0",MID($V99,6,1)&lt;="9"),MID($V99,6,1)=".")),5,6)))))))),0)))</f>
        <v>0</v>
      </c>
      <c r="X99" s="220">
        <f>IF($U99="","",IFERROR(TRIM(INDEX('Submission template'!$J$17:$J$300,$U99)),""))</f>
      </c>
      <c r="Y99" s="220">
        <f>IF($U99="","",IFERROR(TRIM(INDEX('Submission template'!$K$17:$K$300,$U99)),""))</f>
      </c>
      <c r="Z99" s="220">
        <f>IF($U99="","",IFERROR(TRIM(INDEX('Submission template'!$M$17:$M$300,$U99)),""))</f>
      </c>
      <c r="AA99" s="220">
        <f>IF($U99="","",IFERROR(TRIM(INDEX('Submission template'!$O$17:$O$300,$U99)),""))</f>
      </c>
      <c r="AB99" s="220">
        <f>IF($U99="","",IFERROR(TRIM(INDEX('Submission template'!$S$17:$S$300,$U99)),""))</f>
      </c>
      <c r="AC99" s="220">
        <f>IF($B99="",0,IF($U99="",0,1))</f>
        <v>0</v>
      </c>
      <c r="AD99" s="220">
        <f>IF($B99="",0,IF(OR($H99=TargetLocation,AND($AA99&lt;&gt;"",ISNUMBER(SEARCH(TargetLocation,$AA99)))),1,0))</f>
        <v>0</v>
      </c>
      <c r="AE99" s="220">
        <f>IF($B99="",0,IF(AND(OR(SelRecruiter="All",$C99=SelRecruiter),OR(SelCity="All",$H99=SelCity),OR(SelStage="All",$I99=SelStage),OR(SelRequisition="All",$F99=SelRequisition)),1,0))</f>
        <v>0</v>
      </c>
      <c r="AF99" s="220">
        <f>IF($B99="","",COUNT($AF$5:AF98)+1)</f>
      </c>
      <c r="AG99" s="220">
        <f>IF($C99="","",IF(COUNTIF($C$6:$C99,$C99)=1,COUNT($AG$5:AG98)+1,""))</f>
      </c>
      <c r="AH99" s="220">
        <f>IF($F99="","",IF(COUNTIF($F$6:$F99,$F99)=1,COUNT($AH$5:AH98)+1,""))</f>
      </c>
      <c r="AI99" s="220">
        <f>IF($H99="","",IF(COUNTIF($H$6:$H99,$H99)=1,COUNT($AI$5:AI98)+1,""))</f>
      </c>
      <c r="AJ99" s="220">
        <f>IF(OR($B99="",$J99=0),"",$J99*100000000+IF(ISNUMBER($D99),$D99,0)*1000+(170-$A99))</f>
      </c>
      <c r="AK99" s="220">
        <f>IF(OR($B99="",$W99&lt;=0),"",ROUND($W99*10,0)*100000+(170-$A99))</f>
      </c>
      <c r="AL99" s="220">
        <f>IF(OR($B99="",$P99&lt;=0),"",ROUND($P99*10000,0)*1000+(170-$A99))</f>
      </c>
      <c r="AM99" s="220">
        <f>IF(AND($W99&gt;0,$O99&gt;0),COUNT($AM$5:AM98)+1,"")</f>
      </c>
      <c r="AN99">
        <f>IF($B99="",0,IF($G99="",0,SUMPRODUCT(MAX(ISNUMBER(SEARCH(LocPattern,$G99))*LocIdx))))</f>
        <v>0</v>
      </c>
      <c r="BL99">
        <f>IFERROR(INDEX($B$6:$B$125,MATCH(94,$AF$6:$AF$125,0)),"")</f>
      </c>
    </row>
    <row r="100">
      <c r="A100" s="214" t="n">
        <v>95</v>
      </c>
      <c r="B100" s="214">
        <f>IF(TRIM('Master Data-2026'!D96)="","",TRIM('Master Data-2026'!D96))</f>
      </c>
      <c r="C100" s="214">
        <f>IF($B100="","",TRIM('Master Data-2026'!A96))</f>
      </c>
      <c r="D100" s="215">
        <f>IF($B100="","",IF('Master Data-2026'!B96="","",'Master Data-2026'!B96))</f>
      </c>
      <c r="E100" s="214">
        <f>IF($B100="","",TRIM('Master Data-2026'!C96))</f>
      </c>
      <c r="F100" s="214">
        <f>IF($B100="","",TRIM('Master Data-2026'!G96))</f>
      </c>
      <c r="G100" s="214">
        <f>IF($B100="","",TRIM('Master Data-2026'!F96))</f>
      </c>
      <c r="H100" s="214">
        <f>IF($B100="","",IF($G100="","Not recorded",IF($AN100=0,"Other",INDEX(LocCity,$AN100))))</f>
      </c>
      <c r="I100" s="214">
        <f>IF($B100="","",TRIM('Master Data-2026'!H96))</f>
      </c>
      <c r="J100" s="214">
        <f>IF($B100="",0,IFERROR(INDEX(StageOrderRef,MATCH($I100,StageNameRef,0)),0))</f>
        <v>0</v>
      </c>
      <c r="K100" s="214">
        <f>IF($B100="","",TRIM('Master Data-2026'!I96))</f>
      </c>
      <c r="L100" s="214">
        <f>IF($B100="","",TRIM('Master Data-2026'!J96))</f>
      </c>
      <c r="M100" s="216">
        <f>IF($L100="",0,IF(ISNUMBER(SEARCH("%",$L100)),0,IFERROR(VALUE(LEFT($L100,IF(NOT(OR(AND(MID($L100,1,1)&gt;="0",MID($L100,1,1)&lt;="9"),MID($L100,1,1)=".")),0,IF(NOT(OR(AND(MID($L100,2,1)&gt;="0",MID($L100,2,1)&lt;="9"),MID($L100,2,1)=".")),1,IF(NOT(OR(AND(MID($L100,3,1)&gt;="0",MID($L100,3,1)&lt;="9"),MID($L100,3,1)=".")),2,IF(NOT(OR(AND(MID($L100,4,1)&gt;="0",MID($L100,4,1)&lt;="9"),MID($L100,4,1)=".")),3,IF(NOT(OR(AND(MID($L100,5,1)&gt;="0",MID($L100,5,1)&lt;="9"),MID($L100,5,1)=".")),4,IF(NOT(OR(AND(MID($L100,6,1)&gt;="0",MID($L100,6,1)&lt;="9"),MID($L100,6,1)=".")),5,6)))))))),0)))</f>
        <v>0</v>
      </c>
      <c r="N100" s="214">
        <f>IF($B100="","",TRIM('Master Data-2026'!K96))</f>
      </c>
      <c r="O100" s="216">
        <f>IF($N100="",0,IF(ISNUMBER(SEARCH("%",$N100)),0,IFERROR(VALUE(LEFT($N100,IF(NOT(OR(AND(MID($N100,1,1)&gt;="0",MID($N100,1,1)&lt;="9"),MID($N100,1,1)=".")),0,IF(NOT(OR(AND(MID($N100,2,1)&gt;="0",MID($N100,2,1)&lt;="9"),MID($N100,2,1)=".")),1,IF(NOT(OR(AND(MID($N100,3,1)&gt;="0",MID($N100,3,1)&lt;="9"),MID($N100,3,1)=".")),2,IF(NOT(OR(AND(MID($N100,4,1)&gt;="0",MID($N100,4,1)&lt;="9"),MID($N100,4,1)=".")),3,IF(NOT(OR(AND(MID($N100,5,1)&gt;="0",MID($N100,5,1)&lt;="9"),MID($N100,5,1)=".")),4,IF(NOT(OR(AND(MID($N100,6,1)&gt;="0",MID($N100,6,1)&lt;="9"),MID($N100,6,1)=".")),5,6)))))))),0)))</f>
        <v>0</v>
      </c>
      <c r="P100" s="217">
        <f>IF(AND($M100&gt;0,$O100&gt;0),$O100/$M100-1,0)</f>
        <v>0</v>
      </c>
      <c r="Q100" s="214">
        <f>IF($B100="","",TRIM('Master Data-2026'!L96))</f>
      </c>
      <c r="R100" s="214">
        <f>IF($Q100="",0,IF(ISNUMBER(SEARCH("%",$Q100)),0,IFERROR(VALUE(LEFT($Q100,IF(NOT(OR(AND(MID($Q100,1,1)&gt;="0",MID($Q100,1,1)&lt;="9"),MID($Q100,1,1)=".")),0,IF(NOT(OR(AND(MID($Q100,2,1)&gt;="0",MID($Q100,2,1)&lt;="9"),MID($Q100,2,1)=".")),1,IF(NOT(OR(AND(MID($Q100,3,1)&gt;="0",MID($Q100,3,1)&lt;="9"),MID($Q100,3,1)=".")),2,IF(NOT(OR(AND(MID($Q100,4,1)&gt;="0",MID($Q100,4,1)&lt;="9"),MID($Q100,4,1)=".")),3,IF(NOT(OR(AND(MID($Q100,5,1)&gt;="0",MID($Q100,5,1)&lt;="9"),MID($Q100,5,1)=".")),4,IF(NOT(OR(AND(MID($Q100,6,1)&gt;="0",MID($Q100,6,1)&lt;="9"),MID($Q100,6,1)=".")),5,6)))))))),0)))</f>
        <v>0</v>
      </c>
      <c r="S100" s="218">
        <f>IF($Q100="",-1,IF(ISNUMBER(SEARCH("immediate",$Q100)),0,IF(ISNUMBER(SEARCH("month",$Q100)),IF($R100=0,-1,$R100*30),IF(ISNUMBER(SEARCH("day",$Q100)),IF($R100=0,-1,$R100),-1))))</f>
        <v>-1</v>
      </c>
      <c r="T100" s="214">
        <f>IF($B100="","",IF($S100&lt;0,"Not recorded",IF($S100=0,"Immediate",IF($S100&lt;=30,"1-30 days",IF($S100&lt;=60,"31-60 days","60+ days")))))</f>
      </c>
      <c r="U100" s="214">
        <f>IF($B100="","",IFERROR(MATCH($B100,'Submission template'!$D$17:$D$300,0),""))</f>
      </c>
      <c r="V100" s="214">
        <f>IF($U100="","",IFERROR(TRIM(INDEX('Submission template'!$I$17:$I$300,$U100)),""))</f>
      </c>
      <c r="W100" s="219">
        <f>IF($V100="",0,IF(ISNUMBER(SEARCH("%",$V100)),0,IFERROR(VALUE(LEFT($V100,IF(NOT(OR(AND(MID($V100,1,1)&gt;="0",MID($V100,1,1)&lt;="9"),MID($V100,1,1)=".")),0,IF(NOT(OR(AND(MID($V100,2,1)&gt;="0",MID($V100,2,1)&lt;="9"),MID($V100,2,1)=".")),1,IF(NOT(OR(AND(MID($V100,3,1)&gt;="0",MID($V100,3,1)&lt;="9"),MID($V100,3,1)=".")),2,IF(NOT(OR(AND(MID($V100,4,1)&gt;="0",MID($V100,4,1)&lt;="9"),MID($V100,4,1)=".")),3,IF(NOT(OR(AND(MID($V100,5,1)&gt;="0",MID($V100,5,1)&lt;="9"),MID($V100,5,1)=".")),4,IF(NOT(OR(AND(MID($V100,6,1)&gt;="0",MID($V100,6,1)&lt;="9"),MID($V100,6,1)=".")),5,6)))))))),0)))</f>
        <v>0</v>
      </c>
      <c r="X100" s="214">
        <f>IF($U100="","",IFERROR(TRIM(INDEX('Submission template'!$J$17:$J$300,$U100)),""))</f>
      </c>
      <c r="Y100" s="214">
        <f>IF($U100="","",IFERROR(TRIM(INDEX('Submission template'!$K$17:$K$300,$U100)),""))</f>
      </c>
      <c r="Z100" s="214">
        <f>IF($U100="","",IFERROR(TRIM(INDEX('Submission template'!$M$17:$M$300,$U100)),""))</f>
      </c>
      <c r="AA100" s="214">
        <f>IF($U100="","",IFERROR(TRIM(INDEX('Submission template'!$O$17:$O$300,$U100)),""))</f>
      </c>
      <c r="AB100" s="214">
        <f>IF($U100="","",IFERROR(TRIM(INDEX('Submission template'!$S$17:$S$300,$U100)),""))</f>
      </c>
      <c r="AC100" s="214">
        <f>IF($B100="",0,IF($U100="",0,1))</f>
        <v>0</v>
      </c>
      <c r="AD100" s="214">
        <f>IF($B100="",0,IF(OR($H100=TargetLocation,AND($AA100&lt;&gt;"",ISNUMBER(SEARCH(TargetLocation,$AA100)))),1,0))</f>
        <v>0</v>
      </c>
      <c r="AE100" s="214">
        <f>IF($B100="",0,IF(AND(OR(SelRecruiter="All",$C100=SelRecruiter),OR(SelCity="All",$H100=SelCity),OR(SelStage="All",$I100=SelStage),OR(SelRequisition="All",$F100=SelRequisition)),1,0))</f>
        <v>0</v>
      </c>
      <c r="AF100" s="214">
        <f>IF($B100="","",COUNT($AF$5:AF99)+1)</f>
      </c>
      <c r="AG100" s="214">
        <f>IF($C100="","",IF(COUNTIF($C$6:$C100,$C100)=1,COUNT($AG$5:AG99)+1,""))</f>
      </c>
      <c r="AH100" s="214">
        <f>IF($F100="","",IF(COUNTIF($F$6:$F100,$F100)=1,COUNT($AH$5:AH99)+1,""))</f>
      </c>
      <c r="AI100" s="214">
        <f>IF($H100="","",IF(COUNTIF($H$6:$H100,$H100)=1,COUNT($AI$5:AI99)+1,""))</f>
      </c>
      <c r="AJ100" s="214">
        <f>IF(OR($B100="",$J100=0),"",$J100*100000000+IF(ISNUMBER($D100),$D100,0)*1000+(170-$A100))</f>
      </c>
      <c r="AK100" s="214">
        <f>IF(OR($B100="",$W100&lt;=0),"",ROUND($W100*10,0)*100000+(170-$A100))</f>
      </c>
      <c r="AL100" s="214">
        <f>IF(OR($B100="",$P100&lt;=0),"",ROUND($P100*10000,0)*1000+(170-$A100))</f>
      </c>
      <c r="AM100" s="214">
        <f>IF(AND($W100&gt;0,$O100&gt;0),COUNT($AM$5:AM99)+1,"")</f>
      </c>
      <c r="AN100">
        <f>IF($B100="",0,IF($G100="",0,SUMPRODUCT(MAX(ISNUMBER(SEARCH(LocPattern,$G100))*LocIdx))))</f>
        <v>0</v>
      </c>
      <c r="BL100">
        <f>IFERROR(INDEX($B$6:$B$125,MATCH(95,$AF$6:$AF$125,0)),"")</f>
      </c>
    </row>
    <row r="101">
      <c r="A101" s="220" t="n">
        <v>96</v>
      </c>
      <c r="B101" s="220">
        <f>IF(TRIM('Master Data-2026'!D97)="","",TRIM('Master Data-2026'!D97))</f>
      </c>
      <c r="C101" s="220">
        <f>IF($B101="","",TRIM('Master Data-2026'!A97))</f>
      </c>
      <c r="D101" s="221">
        <f>IF($B101="","",IF('Master Data-2026'!B97="","",'Master Data-2026'!B97))</f>
      </c>
      <c r="E101" s="220">
        <f>IF($B101="","",TRIM('Master Data-2026'!C97))</f>
      </c>
      <c r="F101" s="220">
        <f>IF($B101="","",TRIM('Master Data-2026'!G97))</f>
      </c>
      <c r="G101" s="220">
        <f>IF($B101="","",TRIM('Master Data-2026'!F97))</f>
      </c>
      <c r="H101" s="220">
        <f>IF($B101="","",IF($G101="","Not recorded",IF($AN101=0,"Other",INDEX(LocCity,$AN101))))</f>
      </c>
      <c r="I101" s="220">
        <f>IF($B101="","",TRIM('Master Data-2026'!H97))</f>
      </c>
      <c r="J101" s="220">
        <f>IF($B101="",0,IFERROR(INDEX(StageOrderRef,MATCH($I101,StageNameRef,0)),0))</f>
        <v>0</v>
      </c>
      <c r="K101" s="220">
        <f>IF($B101="","",TRIM('Master Data-2026'!I97))</f>
      </c>
      <c r="L101" s="220">
        <f>IF($B101="","",TRIM('Master Data-2026'!J97))</f>
      </c>
      <c r="M101" s="222">
        <f>IF($L101="",0,IF(ISNUMBER(SEARCH("%",$L101)),0,IFERROR(VALUE(LEFT($L101,IF(NOT(OR(AND(MID($L101,1,1)&gt;="0",MID($L101,1,1)&lt;="9"),MID($L101,1,1)=".")),0,IF(NOT(OR(AND(MID($L101,2,1)&gt;="0",MID($L101,2,1)&lt;="9"),MID($L101,2,1)=".")),1,IF(NOT(OR(AND(MID($L101,3,1)&gt;="0",MID($L101,3,1)&lt;="9"),MID($L101,3,1)=".")),2,IF(NOT(OR(AND(MID($L101,4,1)&gt;="0",MID($L101,4,1)&lt;="9"),MID($L101,4,1)=".")),3,IF(NOT(OR(AND(MID($L101,5,1)&gt;="0",MID($L101,5,1)&lt;="9"),MID($L101,5,1)=".")),4,IF(NOT(OR(AND(MID($L101,6,1)&gt;="0",MID($L101,6,1)&lt;="9"),MID($L101,6,1)=".")),5,6)))))))),0)))</f>
        <v>0</v>
      </c>
      <c r="N101" s="220">
        <f>IF($B101="","",TRIM('Master Data-2026'!K97))</f>
      </c>
      <c r="O101" s="222">
        <f>IF($N101="",0,IF(ISNUMBER(SEARCH("%",$N101)),0,IFERROR(VALUE(LEFT($N101,IF(NOT(OR(AND(MID($N101,1,1)&gt;="0",MID($N101,1,1)&lt;="9"),MID($N101,1,1)=".")),0,IF(NOT(OR(AND(MID($N101,2,1)&gt;="0",MID($N101,2,1)&lt;="9"),MID($N101,2,1)=".")),1,IF(NOT(OR(AND(MID($N101,3,1)&gt;="0",MID($N101,3,1)&lt;="9"),MID($N101,3,1)=".")),2,IF(NOT(OR(AND(MID($N101,4,1)&gt;="0",MID($N101,4,1)&lt;="9"),MID($N101,4,1)=".")),3,IF(NOT(OR(AND(MID($N101,5,1)&gt;="0",MID($N101,5,1)&lt;="9"),MID($N101,5,1)=".")),4,IF(NOT(OR(AND(MID($N101,6,1)&gt;="0",MID($N101,6,1)&lt;="9"),MID($N101,6,1)=".")),5,6)))))))),0)))</f>
        <v>0</v>
      </c>
      <c r="P101" s="223">
        <f>IF(AND($M101&gt;0,$O101&gt;0),$O101/$M101-1,0)</f>
        <v>0</v>
      </c>
      <c r="Q101" s="220">
        <f>IF($B101="","",TRIM('Master Data-2026'!L97))</f>
      </c>
      <c r="R101" s="220">
        <f>IF($Q101="",0,IF(ISNUMBER(SEARCH("%",$Q101)),0,IFERROR(VALUE(LEFT($Q101,IF(NOT(OR(AND(MID($Q101,1,1)&gt;="0",MID($Q101,1,1)&lt;="9"),MID($Q101,1,1)=".")),0,IF(NOT(OR(AND(MID($Q101,2,1)&gt;="0",MID($Q101,2,1)&lt;="9"),MID($Q101,2,1)=".")),1,IF(NOT(OR(AND(MID($Q101,3,1)&gt;="0",MID($Q101,3,1)&lt;="9"),MID($Q101,3,1)=".")),2,IF(NOT(OR(AND(MID($Q101,4,1)&gt;="0",MID($Q101,4,1)&lt;="9"),MID($Q101,4,1)=".")),3,IF(NOT(OR(AND(MID($Q101,5,1)&gt;="0",MID($Q101,5,1)&lt;="9"),MID($Q101,5,1)=".")),4,IF(NOT(OR(AND(MID($Q101,6,1)&gt;="0",MID($Q101,6,1)&lt;="9"),MID($Q101,6,1)=".")),5,6)))))))),0)))</f>
        <v>0</v>
      </c>
      <c r="S101" s="224">
        <f>IF($Q101="",-1,IF(ISNUMBER(SEARCH("immediate",$Q101)),0,IF(ISNUMBER(SEARCH("month",$Q101)),IF($R101=0,-1,$R101*30),IF(ISNUMBER(SEARCH("day",$Q101)),IF($R101=0,-1,$R101),-1))))</f>
        <v>-1</v>
      </c>
      <c r="T101" s="220">
        <f>IF($B101="","",IF($S101&lt;0,"Not recorded",IF($S101=0,"Immediate",IF($S101&lt;=30,"1-30 days",IF($S101&lt;=60,"31-60 days","60+ days")))))</f>
      </c>
      <c r="U101" s="220">
        <f>IF($B101="","",IFERROR(MATCH($B101,'Submission template'!$D$17:$D$300,0),""))</f>
      </c>
      <c r="V101" s="220">
        <f>IF($U101="","",IFERROR(TRIM(INDEX('Submission template'!$I$17:$I$300,$U101)),""))</f>
      </c>
      <c r="W101" s="225">
        <f>IF($V101="",0,IF(ISNUMBER(SEARCH("%",$V101)),0,IFERROR(VALUE(LEFT($V101,IF(NOT(OR(AND(MID($V101,1,1)&gt;="0",MID($V101,1,1)&lt;="9"),MID($V101,1,1)=".")),0,IF(NOT(OR(AND(MID($V101,2,1)&gt;="0",MID($V101,2,1)&lt;="9"),MID($V101,2,1)=".")),1,IF(NOT(OR(AND(MID($V101,3,1)&gt;="0",MID($V101,3,1)&lt;="9"),MID($V101,3,1)=".")),2,IF(NOT(OR(AND(MID($V101,4,1)&gt;="0",MID($V101,4,1)&lt;="9"),MID($V101,4,1)=".")),3,IF(NOT(OR(AND(MID($V101,5,1)&gt;="0",MID($V101,5,1)&lt;="9"),MID($V101,5,1)=".")),4,IF(NOT(OR(AND(MID($V101,6,1)&gt;="0",MID($V101,6,1)&lt;="9"),MID($V101,6,1)=".")),5,6)))))))),0)))</f>
        <v>0</v>
      </c>
      <c r="X101" s="220">
        <f>IF($U101="","",IFERROR(TRIM(INDEX('Submission template'!$J$17:$J$300,$U101)),""))</f>
      </c>
      <c r="Y101" s="220">
        <f>IF($U101="","",IFERROR(TRIM(INDEX('Submission template'!$K$17:$K$300,$U101)),""))</f>
      </c>
      <c r="Z101" s="220">
        <f>IF($U101="","",IFERROR(TRIM(INDEX('Submission template'!$M$17:$M$300,$U101)),""))</f>
      </c>
      <c r="AA101" s="220">
        <f>IF($U101="","",IFERROR(TRIM(INDEX('Submission template'!$O$17:$O$300,$U101)),""))</f>
      </c>
      <c r="AB101" s="220">
        <f>IF($U101="","",IFERROR(TRIM(INDEX('Submission template'!$S$17:$S$300,$U101)),""))</f>
      </c>
      <c r="AC101" s="220">
        <f>IF($B101="",0,IF($U101="",0,1))</f>
        <v>0</v>
      </c>
      <c r="AD101" s="220">
        <f>IF($B101="",0,IF(OR($H101=TargetLocation,AND($AA101&lt;&gt;"",ISNUMBER(SEARCH(TargetLocation,$AA101)))),1,0))</f>
        <v>0</v>
      </c>
      <c r="AE101" s="220">
        <f>IF($B101="",0,IF(AND(OR(SelRecruiter="All",$C101=SelRecruiter),OR(SelCity="All",$H101=SelCity),OR(SelStage="All",$I101=SelStage),OR(SelRequisition="All",$F101=SelRequisition)),1,0))</f>
        <v>0</v>
      </c>
      <c r="AF101" s="220">
        <f>IF($B101="","",COUNT($AF$5:AF100)+1)</f>
      </c>
      <c r="AG101" s="220">
        <f>IF($C101="","",IF(COUNTIF($C$6:$C101,$C101)=1,COUNT($AG$5:AG100)+1,""))</f>
      </c>
      <c r="AH101" s="220">
        <f>IF($F101="","",IF(COUNTIF($F$6:$F101,$F101)=1,COUNT($AH$5:AH100)+1,""))</f>
      </c>
      <c r="AI101" s="220">
        <f>IF($H101="","",IF(COUNTIF($H$6:$H101,$H101)=1,COUNT($AI$5:AI100)+1,""))</f>
      </c>
      <c r="AJ101" s="220">
        <f>IF(OR($B101="",$J101=0),"",$J101*100000000+IF(ISNUMBER($D101),$D101,0)*1000+(170-$A101))</f>
      </c>
      <c r="AK101" s="220">
        <f>IF(OR($B101="",$W101&lt;=0),"",ROUND($W101*10,0)*100000+(170-$A101))</f>
      </c>
      <c r="AL101" s="220">
        <f>IF(OR($B101="",$P101&lt;=0),"",ROUND($P101*10000,0)*1000+(170-$A101))</f>
      </c>
      <c r="AM101" s="220">
        <f>IF(AND($W101&gt;0,$O101&gt;0),COUNT($AM$5:AM100)+1,"")</f>
      </c>
      <c r="AN101">
        <f>IF($B101="",0,IF($G101="",0,SUMPRODUCT(MAX(ISNUMBER(SEARCH(LocPattern,$G101))*LocIdx))))</f>
        <v>0</v>
      </c>
      <c r="BL101">
        <f>IFERROR(INDEX($B$6:$B$125,MATCH(96,$AF$6:$AF$125,0)),"")</f>
      </c>
    </row>
    <row r="102">
      <c r="A102" s="214" t="n">
        <v>97</v>
      </c>
      <c r="B102" s="214">
        <f>IF(TRIM('Master Data-2026'!D98)="","",TRIM('Master Data-2026'!D98))</f>
      </c>
      <c r="C102" s="214">
        <f>IF($B102="","",TRIM('Master Data-2026'!A98))</f>
      </c>
      <c r="D102" s="215">
        <f>IF($B102="","",IF('Master Data-2026'!B98="","",'Master Data-2026'!B98))</f>
      </c>
      <c r="E102" s="214">
        <f>IF($B102="","",TRIM('Master Data-2026'!C98))</f>
      </c>
      <c r="F102" s="214">
        <f>IF($B102="","",TRIM('Master Data-2026'!G98))</f>
      </c>
      <c r="G102" s="214">
        <f>IF($B102="","",TRIM('Master Data-2026'!F98))</f>
      </c>
      <c r="H102" s="214">
        <f>IF($B102="","",IF($G102="","Not recorded",IF($AN102=0,"Other",INDEX(LocCity,$AN102))))</f>
      </c>
      <c r="I102" s="214">
        <f>IF($B102="","",TRIM('Master Data-2026'!H98))</f>
      </c>
      <c r="J102" s="214">
        <f>IF($B102="",0,IFERROR(INDEX(StageOrderRef,MATCH($I102,StageNameRef,0)),0))</f>
        <v>0</v>
      </c>
      <c r="K102" s="214">
        <f>IF($B102="","",TRIM('Master Data-2026'!I98))</f>
      </c>
      <c r="L102" s="214">
        <f>IF($B102="","",TRIM('Master Data-2026'!J98))</f>
      </c>
      <c r="M102" s="216">
        <f>IF($L102="",0,IF(ISNUMBER(SEARCH("%",$L102)),0,IFERROR(VALUE(LEFT($L102,IF(NOT(OR(AND(MID($L102,1,1)&gt;="0",MID($L102,1,1)&lt;="9"),MID($L102,1,1)=".")),0,IF(NOT(OR(AND(MID($L102,2,1)&gt;="0",MID($L102,2,1)&lt;="9"),MID($L102,2,1)=".")),1,IF(NOT(OR(AND(MID($L102,3,1)&gt;="0",MID($L102,3,1)&lt;="9"),MID($L102,3,1)=".")),2,IF(NOT(OR(AND(MID($L102,4,1)&gt;="0",MID($L102,4,1)&lt;="9"),MID($L102,4,1)=".")),3,IF(NOT(OR(AND(MID($L102,5,1)&gt;="0",MID($L102,5,1)&lt;="9"),MID($L102,5,1)=".")),4,IF(NOT(OR(AND(MID($L102,6,1)&gt;="0",MID($L102,6,1)&lt;="9"),MID($L102,6,1)=".")),5,6)))))))),0)))</f>
        <v>0</v>
      </c>
      <c r="N102" s="214">
        <f>IF($B102="","",TRIM('Master Data-2026'!K98))</f>
      </c>
      <c r="O102" s="216">
        <f>IF($N102="",0,IF(ISNUMBER(SEARCH("%",$N102)),0,IFERROR(VALUE(LEFT($N102,IF(NOT(OR(AND(MID($N102,1,1)&gt;="0",MID($N102,1,1)&lt;="9"),MID($N102,1,1)=".")),0,IF(NOT(OR(AND(MID($N102,2,1)&gt;="0",MID($N102,2,1)&lt;="9"),MID($N102,2,1)=".")),1,IF(NOT(OR(AND(MID($N102,3,1)&gt;="0",MID($N102,3,1)&lt;="9"),MID($N102,3,1)=".")),2,IF(NOT(OR(AND(MID($N102,4,1)&gt;="0",MID($N102,4,1)&lt;="9"),MID($N102,4,1)=".")),3,IF(NOT(OR(AND(MID($N102,5,1)&gt;="0",MID($N102,5,1)&lt;="9"),MID($N102,5,1)=".")),4,IF(NOT(OR(AND(MID($N102,6,1)&gt;="0",MID($N102,6,1)&lt;="9"),MID($N102,6,1)=".")),5,6)))))))),0)))</f>
        <v>0</v>
      </c>
      <c r="P102" s="217">
        <f>IF(AND($M102&gt;0,$O102&gt;0),$O102/$M102-1,0)</f>
        <v>0</v>
      </c>
      <c r="Q102" s="214">
        <f>IF($B102="","",TRIM('Master Data-2026'!L98))</f>
      </c>
      <c r="R102" s="214">
        <f>IF($Q102="",0,IF(ISNUMBER(SEARCH("%",$Q102)),0,IFERROR(VALUE(LEFT($Q102,IF(NOT(OR(AND(MID($Q102,1,1)&gt;="0",MID($Q102,1,1)&lt;="9"),MID($Q102,1,1)=".")),0,IF(NOT(OR(AND(MID($Q102,2,1)&gt;="0",MID($Q102,2,1)&lt;="9"),MID($Q102,2,1)=".")),1,IF(NOT(OR(AND(MID($Q102,3,1)&gt;="0",MID($Q102,3,1)&lt;="9"),MID($Q102,3,1)=".")),2,IF(NOT(OR(AND(MID($Q102,4,1)&gt;="0",MID($Q102,4,1)&lt;="9"),MID($Q102,4,1)=".")),3,IF(NOT(OR(AND(MID($Q102,5,1)&gt;="0",MID($Q102,5,1)&lt;="9"),MID($Q102,5,1)=".")),4,IF(NOT(OR(AND(MID($Q102,6,1)&gt;="0",MID($Q102,6,1)&lt;="9"),MID($Q102,6,1)=".")),5,6)))))))),0)))</f>
        <v>0</v>
      </c>
      <c r="S102" s="218">
        <f>IF($Q102="",-1,IF(ISNUMBER(SEARCH("immediate",$Q102)),0,IF(ISNUMBER(SEARCH("month",$Q102)),IF($R102=0,-1,$R102*30),IF(ISNUMBER(SEARCH("day",$Q102)),IF($R102=0,-1,$R102),-1))))</f>
        <v>-1</v>
      </c>
      <c r="T102" s="214">
        <f>IF($B102="","",IF($S102&lt;0,"Not recorded",IF($S102=0,"Immediate",IF($S102&lt;=30,"1-30 days",IF($S102&lt;=60,"31-60 days","60+ days")))))</f>
      </c>
      <c r="U102" s="214">
        <f>IF($B102="","",IFERROR(MATCH($B102,'Submission template'!$D$17:$D$300,0),""))</f>
      </c>
      <c r="V102" s="214">
        <f>IF($U102="","",IFERROR(TRIM(INDEX('Submission template'!$I$17:$I$300,$U102)),""))</f>
      </c>
      <c r="W102" s="219">
        <f>IF($V102="",0,IF(ISNUMBER(SEARCH("%",$V102)),0,IFERROR(VALUE(LEFT($V102,IF(NOT(OR(AND(MID($V102,1,1)&gt;="0",MID($V102,1,1)&lt;="9"),MID($V102,1,1)=".")),0,IF(NOT(OR(AND(MID($V102,2,1)&gt;="0",MID($V102,2,1)&lt;="9"),MID($V102,2,1)=".")),1,IF(NOT(OR(AND(MID($V102,3,1)&gt;="0",MID($V102,3,1)&lt;="9"),MID($V102,3,1)=".")),2,IF(NOT(OR(AND(MID($V102,4,1)&gt;="0",MID($V102,4,1)&lt;="9"),MID($V102,4,1)=".")),3,IF(NOT(OR(AND(MID($V102,5,1)&gt;="0",MID($V102,5,1)&lt;="9"),MID($V102,5,1)=".")),4,IF(NOT(OR(AND(MID($V102,6,1)&gt;="0",MID($V102,6,1)&lt;="9"),MID($V102,6,1)=".")),5,6)))))))),0)))</f>
        <v>0</v>
      </c>
      <c r="X102" s="214">
        <f>IF($U102="","",IFERROR(TRIM(INDEX('Submission template'!$J$17:$J$300,$U102)),""))</f>
      </c>
      <c r="Y102" s="214">
        <f>IF($U102="","",IFERROR(TRIM(INDEX('Submission template'!$K$17:$K$300,$U102)),""))</f>
      </c>
      <c r="Z102" s="214">
        <f>IF($U102="","",IFERROR(TRIM(INDEX('Submission template'!$M$17:$M$300,$U102)),""))</f>
      </c>
      <c r="AA102" s="214">
        <f>IF($U102="","",IFERROR(TRIM(INDEX('Submission template'!$O$17:$O$300,$U102)),""))</f>
      </c>
      <c r="AB102" s="214">
        <f>IF($U102="","",IFERROR(TRIM(INDEX('Submission template'!$S$17:$S$300,$U102)),""))</f>
      </c>
      <c r="AC102" s="214">
        <f>IF($B102="",0,IF($U102="",0,1))</f>
        <v>0</v>
      </c>
      <c r="AD102" s="214">
        <f>IF($B102="",0,IF(OR($H102=TargetLocation,AND($AA102&lt;&gt;"",ISNUMBER(SEARCH(TargetLocation,$AA102)))),1,0))</f>
        <v>0</v>
      </c>
      <c r="AE102" s="214">
        <f>IF($B102="",0,IF(AND(OR(SelRecruiter="All",$C102=SelRecruiter),OR(SelCity="All",$H102=SelCity),OR(SelStage="All",$I102=SelStage),OR(SelRequisition="All",$F102=SelRequisition)),1,0))</f>
        <v>0</v>
      </c>
      <c r="AF102" s="214">
        <f>IF($B102="","",COUNT($AF$5:AF101)+1)</f>
      </c>
      <c r="AG102" s="214">
        <f>IF($C102="","",IF(COUNTIF($C$6:$C102,$C102)=1,COUNT($AG$5:AG101)+1,""))</f>
      </c>
      <c r="AH102" s="214">
        <f>IF($F102="","",IF(COUNTIF($F$6:$F102,$F102)=1,COUNT($AH$5:AH101)+1,""))</f>
      </c>
      <c r="AI102" s="214">
        <f>IF($H102="","",IF(COUNTIF($H$6:$H102,$H102)=1,COUNT($AI$5:AI101)+1,""))</f>
      </c>
      <c r="AJ102" s="214">
        <f>IF(OR($B102="",$J102=0),"",$J102*100000000+IF(ISNUMBER($D102),$D102,0)*1000+(170-$A102))</f>
      </c>
      <c r="AK102" s="214">
        <f>IF(OR($B102="",$W102&lt;=0),"",ROUND($W102*10,0)*100000+(170-$A102))</f>
      </c>
      <c r="AL102" s="214">
        <f>IF(OR($B102="",$P102&lt;=0),"",ROUND($P102*10000,0)*1000+(170-$A102))</f>
      </c>
      <c r="AM102" s="214">
        <f>IF(AND($W102&gt;0,$O102&gt;0),COUNT($AM$5:AM101)+1,"")</f>
      </c>
      <c r="AN102">
        <f>IF($B102="",0,IF($G102="",0,SUMPRODUCT(MAX(ISNUMBER(SEARCH(LocPattern,$G102))*LocIdx))))</f>
        <v>0</v>
      </c>
      <c r="BL102">
        <f>IFERROR(INDEX($B$6:$B$125,MATCH(97,$AF$6:$AF$125,0)),"")</f>
      </c>
    </row>
    <row r="103">
      <c r="A103" s="220" t="n">
        <v>98</v>
      </c>
      <c r="B103" s="220">
        <f>IF(TRIM('Master Data-2026'!D99)="","",TRIM('Master Data-2026'!D99))</f>
      </c>
      <c r="C103" s="220">
        <f>IF($B103="","",TRIM('Master Data-2026'!A99))</f>
      </c>
      <c r="D103" s="221">
        <f>IF($B103="","",IF('Master Data-2026'!B99="","",'Master Data-2026'!B99))</f>
      </c>
      <c r="E103" s="220">
        <f>IF($B103="","",TRIM('Master Data-2026'!C99))</f>
      </c>
      <c r="F103" s="220">
        <f>IF($B103="","",TRIM('Master Data-2026'!G99))</f>
      </c>
      <c r="G103" s="220">
        <f>IF($B103="","",TRIM('Master Data-2026'!F99))</f>
      </c>
      <c r="H103" s="220">
        <f>IF($B103="","",IF($G103="","Not recorded",IF($AN103=0,"Other",INDEX(LocCity,$AN103))))</f>
      </c>
      <c r="I103" s="220">
        <f>IF($B103="","",TRIM('Master Data-2026'!H99))</f>
      </c>
      <c r="J103" s="220">
        <f>IF($B103="",0,IFERROR(INDEX(StageOrderRef,MATCH($I103,StageNameRef,0)),0))</f>
        <v>0</v>
      </c>
      <c r="K103" s="220">
        <f>IF($B103="","",TRIM('Master Data-2026'!I99))</f>
      </c>
      <c r="L103" s="220">
        <f>IF($B103="","",TRIM('Master Data-2026'!J99))</f>
      </c>
      <c r="M103" s="222">
        <f>IF($L103="",0,IF(ISNUMBER(SEARCH("%",$L103)),0,IFERROR(VALUE(LEFT($L103,IF(NOT(OR(AND(MID($L103,1,1)&gt;="0",MID($L103,1,1)&lt;="9"),MID($L103,1,1)=".")),0,IF(NOT(OR(AND(MID($L103,2,1)&gt;="0",MID($L103,2,1)&lt;="9"),MID($L103,2,1)=".")),1,IF(NOT(OR(AND(MID($L103,3,1)&gt;="0",MID($L103,3,1)&lt;="9"),MID($L103,3,1)=".")),2,IF(NOT(OR(AND(MID($L103,4,1)&gt;="0",MID($L103,4,1)&lt;="9"),MID($L103,4,1)=".")),3,IF(NOT(OR(AND(MID($L103,5,1)&gt;="0",MID($L103,5,1)&lt;="9"),MID($L103,5,1)=".")),4,IF(NOT(OR(AND(MID($L103,6,1)&gt;="0",MID($L103,6,1)&lt;="9"),MID($L103,6,1)=".")),5,6)))))))),0)))</f>
        <v>0</v>
      </c>
      <c r="N103" s="220">
        <f>IF($B103="","",TRIM('Master Data-2026'!K99))</f>
      </c>
      <c r="O103" s="222">
        <f>IF($N103="",0,IF(ISNUMBER(SEARCH("%",$N103)),0,IFERROR(VALUE(LEFT($N103,IF(NOT(OR(AND(MID($N103,1,1)&gt;="0",MID($N103,1,1)&lt;="9"),MID($N103,1,1)=".")),0,IF(NOT(OR(AND(MID($N103,2,1)&gt;="0",MID($N103,2,1)&lt;="9"),MID($N103,2,1)=".")),1,IF(NOT(OR(AND(MID($N103,3,1)&gt;="0",MID($N103,3,1)&lt;="9"),MID($N103,3,1)=".")),2,IF(NOT(OR(AND(MID($N103,4,1)&gt;="0",MID($N103,4,1)&lt;="9"),MID($N103,4,1)=".")),3,IF(NOT(OR(AND(MID($N103,5,1)&gt;="0",MID($N103,5,1)&lt;="9"),MID($N103,5,1)=".")),4,IF(NOT(OR(AND(MID($N103,6,1)&gt;="0",MID($N103,6,1)&lt;="9"),MID($N103,6,1)=".")),5,6)))))))),0)))</f>
        <v>0</v>
      </c>
      <c r="P103" s="223">
        <f>IF(AND($M103&gt;0,$O103&gt;0),$O103/$M103-1,0)</f>
        <v>0</v>
      </c>
      <c r="Q103" s="220">
        <f>IF($B103="","",TRIM('Master Data-2026'!L99))</f>
      </c>
      <c r="R103" s="220">
        <f>IF($Q103="",0,IF(ISNUMBER(SEARCH("%",$Q103)),0,IFERROR(VALUE(LEFT($Q103,IF(NOT(OR(AND(MID($Q103,1,1)&gt;="0",MID($Q103,1,1)&lt;="9"),MID($Q103,1,1)=".")),0,IF(NOT(OR(AND(MID($Q103,2,1)&gt;="0",MID($Q103,2,1)&lt;="9"),MID($Q103,2,1)=".")),1,IF(NOT(OR(AND(MID($Q103,3,1)&gt;="0",MID($Q103,3,1)&lt;="9"),MID($Q103,3,1)=".")),2,IF(NOT(OR(AND(MID($Q103,4,1)&gt;="0",MID($Q103,4,1)&lt;="9"),MID($Q103,4,1)=".")),3,IF(NOT(OR(AND(MID($Q103,5,1)&gt;="0",MID($Q103,5,1)&lt;="9"),MID($Q103,5,1)=".")),4,IF(NOT(OR(AND(MID($Q103,6,1)&gt;="0",MID($Q103,6,1)&lt;="9"),MID($Q103,6,1)=".")),5,6)))))))),0)))</f>
        <v>0</v>
      </c>
      <c r="S103" s="224">
        <f>IF($Q103="",-1,IF(ISNUMBER(SEARCH("immediate",$Q103)),0,IF(ISNUMBER(SEARCH("month",$Q103)),IF($R103=0,-1,$R103*30),IF(ISNUMBER(SEARCH("day",$Q103)),IF($R103=0,-1,$R103),-1))))</f>
        <v>-1</v>
      </c>
      <c r="T103" s="220">
        <f>IF($B103="","",IF($S103&lt;0,"Not recorded",IF($S103=0,"Immediate",IF($S103&lt;=30,"1-30 days",IF($S103&lt;=60,"31-60 days","60+ days")))))</f>
      </c>
      <c r="U103" s="220">
        <f>IF($B103="","",IFERROR(MATCH($B103,'Submission template'!$D$17:$D$300,0),""))</f>
      </c>
      <c r="V103" s="220">
        <f>IF($U103="","",IFERROR(TRIM(INDEX('Submission template'!$I$17:$I$300,$U103)),""))</f>
      </c>
      <c r="W103" s="225">
        <f>IF($V103="",0,IF(ISNUMBER(SEARCH("%",$V103)),0,IFERROR(VALUE(LEFT($V103,IF(NOT(OR(AND(MID($V103,1,1)&gt;="0",MID($V103,1,1)&lt;="9"),MID($V103,1,1)=".")),0,IF(NOT(OR(AND(MID($V103,2,1)&gt;="0",MID($V103,2,1)&lt;="9"),MID($V103,2,1)=".")),1,IF(NOT(OR(AND(MID($V103,3,1)&gt;="0",MID($V103,3,1)&lt;="9"),MID($V103,3,1)=".")),2,IF(NOT(OR(AND(MID($V103,4,1)&gt;="0",MID($V103,4,1)&lt;="9"),MID($V103,4,1)=".")),3,IF(NOT(OR(AND(MID($V103,5,1)&gt;="0",MID($V103,5,1)&lt;="9"),MID($V103,5,1)=".")),4,IF(NOT(OR(AND(MID($V103,6,1)&gt;="0",MID($V103,6,1)&lt;="9"),MID($V103,6,1)=".")),5,6)))))))),0)))</f>
        <v>0</v>
      </c>
      <c r="X103" s="220">
        <f>IF($U103="","",IFERROR(TRIM(INDEX('Submission template'!$J$17:$J$300,$U103)),""))</f>
      </c>
      <c r="Y103" s="220">
        <f>IF($U103="","",IFERROR(TRIM(INDEX('Submission template'!$K$17:$K$300,$U103)),""))</f>
      </c>
      <c r="Z103" s="220">
        <f>IF($U103="","",IFERROR(TRIM(INDEX('Submission template'!$M$17:$M$300,$U103)),""))</f>
      </c>
      <c r="AA103" s="220">
        <f>IF($U103="","",IFERROR(TRIM(INDEX('Submission template'!$O$17:$O$300,$U103)),""))</f>
      </c>
      <c r="AB103" s="220">
        <f>IF($U103="","",IFERROR(TRIM(INDEX('Submission template'!$S$17:$S$300,$U103)),""))</f>
      </c>
      <c r="AC103" s="220">
        <f>IF($B103="",0,IF($U103="",0,1))</f>
        <v>0</v>
      </c>
      <c r="AD103" s="220">
        <f>IF($B103="",0,IF(OR($H103=TargetLocation,AND($AA103&lt;&gt;"",ISNUMBER(SEARCH(TargetLocation,$AA103)))),1,0))</f>
        <v>0</v>
      </c>
      <c r="AE103" s="220">
        <f>IF($B103="",0,IF(AND(OR(SelRecruiter="All",$C103=SelRecruiter),OR(SelCity="All",$H103=SelCity),OR(SelStage="All",$I103=SelStage),OR(SelRequisition="All",$F103=SelRequisition)),1,0))</f>
        <v>0</v>
      </c>
      <c r="AF103" s="220">
        <f>IF($B103="","",COUNT($AF$5:AF102)+1)</f>
      </c>
      <c r="AG103" s="220">
        <f>IF($C103="","",IF(COUNTIF($C$6:$C103,$C103)=1,COUNT($AG$5:AG102)+1,""))</f>
      </c>
      <c r="AH103" s="220">
        <f>IF($F103="","",IF(COUNTIF($F$6:$F103,$F103)=1,COUNT($AH$5:AH102)+1,""))</f>
      </c>
      <c r="AI103" s="220">
        <f>IF($H103="","",IF(COUNTIF($H$6:$H103,$H103)=1,COUNT($AI$5:AI102)+1,""))</f>
      </c>
      <c r="AJ103" s="220">
        <f>IF(OR($B103="",$J103=0),"",$J103*100000000+IF(ISNUMBER($D103),$D103,0)*1000+(170-$A103))</f>
      </c>
      <c r="AK103" s="220">
        <f>IF(OR($B103="",$W103&lt;=0),"",ROUND($W103*10,0)*100000+(170-$A103))</f>
      </c>
      <c r="AL103" s="220">
        <f>IF(OR($B103="",$P103&lt;=0),"",ROUND($P103*10000,0)*1000+(170-$A103))</f>
      </c>
      <c r="AM103" s="220">
        <f>IF(AND($W103&gt;0,$O103&gt;0),COUNT($AM$5:AM102)+1,"")</f>
      </c>
      <c r="AN103">
        <f>IF($B103="",0,IF($G103="",0,SUMPRODUCT(MAX(ISNUMBER(SEARCH(LocPattern,$G103))*LocIdx))))</f>
        <v>0</v>
      </c>
      <c r="BL103">
        <f>IFERROR(INDEX($B$6:$B$125,MATCH(98,$AF$6:$AF$125,0)),"")</f>
      </c>
    </row>
    <row r="104">
      <c r="A104" s="214" t="n">
        <v>99</v>
      </c>
      <c r="B104" s="214">
        <f>IF(TRIM('Master Data-2026'!D100)="","",TRIM('Master Data-2026'!D100))</f>
      </c>
      <c r="C104" s="214">
        <f>IF($B104="","",TRIM('Master Data-2026'!A100))</f>
      </c>
      <c r="D104" s="215">
        <f>IF($B104="","",IF('Master Data-2026'!B100="","",'Master Data-2026'!B100))</f>
      </c>
      <c r="E104" s="214">
        <f>IF($B104="","",TRIM('Master Data-2026'!C100))</f>
      </c>
      <c r="F104" s="214">
        <f>IF($B104="","",TRIM('Master Data-2026'!G100))</f>
      </c>
      <c r="G104" s="214">
        <f>IF($B104="","",TRIM('Master Data-2026'!F100))</f>
      </c>
      <c r="H104" s="214">
        <f>IF($B104="","",IF($G104="","Not recorded",IF($AN104=0,"Other",INDEX(LocCity,$AN104))))</f>
      </c>
      <c r="I104" s="214">
        <f>IF($B104="","",TRIM('Master Data-2026'!H100))</f>
      </c>
      <c r="J104" s="214">
        <f>IF($B104="",0,IFERROR(INDEX(StageOrderRef,MATCH($I104,StageNameRef,0)),0))</f>
        <v>0</v>
      </c>
      <c r="K104" s="214">
        <f>IF($B104="","",TRIM('Master Data-2026'!I100))</f>
      </c>
      <c r="L104" s="214">
        <f>IF($B104="","",TRIM('Master Data-2026'!J100))</f>
      </c>
      <c r="M104" s="216">
        <f>IF($L104="",0,IF(ISNUMBER(SEARCH("%",$L104)),0,IFERROR(VALUE(LEFT($L104,IF(NOT(OR(AND(MID($L104,1,1)&gt;="0",MID($L104,1,1)&lt;="9"),MID($L104,1,1)=".")),0,IF(NOT(OR(AND(MID($L104,2,1)&gt;="0",MID($L104,2,1)&lt;="9"),MID($L104,2,1)=".")),1,IF(NOT(OR(AND(MID($L104,3,1)&gt;="0",MID($L104,3,1)&lt;="9"),MID($L104,3,1)=".")),2,IF(NOT(OR(AND(MID($L104,4,1)&gt;="0",MID($L104,4,1)&lt;="9"),MID($L104,4,1)=".")),3,IF(NOT(OR(AND(MID($L104,5,1)&gt;="0",MID($L104,5,1)&lt;="9"),MID($L104,5,1)=".")),4,IF(NOT(OR(AND(MID($L104,6,1)&gt;="0",MID($L104,6,1)&lt;="9"),MID($L104,6,1)=".")),5,6)))))))),0)))</f>
        <v>0</v>
      </c>
      <c r="N104" s="214">
        <f>IF($B104="","",TRIM('Master Data-2026'!K100))</f>
      </c>
      <c r="O104" s="216">
        <f>IF($N104="",0,IF(ISNUMBER(SEARCH("%",$N104)),0,IFERROR(VALUE(LEFT($N104,IF(NOT(OR(AND(MID($N104,1,1)&gt;="0",MID($N104,1,1)&lt;="9"),MID($N104,1,1)=".")),0,IF(NOT(OR(AND(MID($N104,2,1)&gt;="0",MID($N104,2,1)&lt;="9"),MID($N104,2,1)=".")),1,IF(NOT(OR(AND(MID($N104,3,1)&gt;="0",MID($N104,3,1)&lt;="9"),MID($N104,3,1)=".")),2,IF(NOT(OR(AND(MID($N104,4,1)&gt;="0",MID($N104,4,1)&lt;="9"),MID($N104,4,1)=".")),3,IF(NOT(OR(AND(MID($N104,5,1)&gt;="0",MID($N104,5,1)&lt;="9"),MID($N104,5,1)=".")),4,IF(NOT(OR(AND(MID($N104,6,1)&gt;="0",MID($N104,6,1)&lt;="9"),MID($N104,6,1)=".")),5,6)))))))),0)))</f>
        <v>0</v>
      </c>
      <c r="P104" s="217">
        <f>IF(AND($M104&gt;0,$O104&gt;0),$O104/$M104-1,0)</f>
        <v>0</v>
      </c>
      <c r="Q104" s="214">
        <f>IF($B104="","",TRIM('Master Data-2026'!L100))</f>
      </c>
      <c r="R104" s="214">
        <f>IF($Q104="",0,IF(ISNUMBER(SEARCH("%",$Q104)),0,IFERROR(VALUE(LEFT($Q104,IF(NOT(OR(AND(MID($Q104,1,1)&gt;="0",MID($Q104,1,1)&lt;="9"),MID($Q104,1,1)=".")),0,IF(NOT(OR(AND(MID($Q104,2,1)&gt;="0",MID($Q104,2,1)&lt;="9"),MID($Q104,2,1)=".")),1,IF(NOT(OR(AND(MID($Q104,3,1)&gt;="0",MID($Q104,3,1)&lt;="9"),MID($Q104,3,1)=".")),2,IF(NOT(OR(AND(MID($Q104,4,1)&gt;="0",MID($Q104,4,1)&lt;="9"),MID($Q104,4,1)=".")),3,IF(NOT(OR(AND(MID($Q104,5,1)&gt;="0",MID($Q104,5,1)&lt;="9"),MID($Q104,5,1)=".")),4,IF(NOT(OR(AND(MID($Q104,6,1)&gt;="0",MID($Q104,6,1)&lt;="9"),MID($Q104,6,1)=".")),5,6)))))))),0)))</f>
        <v>0</v>
      </c>
      <c r="S104" s="218">
        <f>IF($Q104="",-1,IF(ISNUMBER(SEARCH("immediate",$Q104)),0,IF(ISNUMBER(SEARCH("month",$Q104)),IF($R104=0,-1,$R104*30),IF(ISNUMBER(SEARCH("day",$Q104)),IF($R104=0,-1,$R104),-1))))</f>
        <v>-1</v>
      </c>
      <c r="T104" s="214">
        <f>IF($B104="","",IF($S104&lt;0,"Not recorded",IF($S104=0,"Immediate",IF($S104&lt;=30,"1-30 days",IF($S104&lt;=60,"31-60 days","60+ days")))))</f>
      </c>
      <c r="U104" s="214">
        <f>IF($B104="","",IFERROR(MATCH($B104,'Submission template'!$D$17:$D$300,0),""))</f>
      </c>
      <c r="V104" s="214">
        <f>IF($U104="","",IFERROR(TRIM(INDEX('Submission template'!$I$17:$I$300,$U104)),""))</f>
      </c>
      <c r="W104" s="219">
        <f>IF($V104="",0,IF(ISNUMBER(SEARCH("%",$V104)),0,IFERROR(VALUE(LEFT($V104,IF(NOT(OR(AND(MID($V104,1,1)&gt;="0",MID($V104,1,1)&lt;="9"),MID($V104,1,1)=".")),0,IF(NOT(OR(AND(MID($V104,2,1)&gt;="0",MID($V104,2,1)&lt;="9"),MID($V104,2,1)=".")),1,IF(NOT(OR(AND(MID($V104,3,1)&gt;="0",MID($V104,3,1)&lt;="9"),MID($V104,3,1)=".")),2,IF(NOT(OR(AND(MID($V104,4,1)&gt;="0",MID($V104,4,1)&lt;="9"),MID($V104,4,1)=".")),3,IF(NOT(OR(AND(MID($V104,5,1)&gt;="0",MID($V104,5,1)&lt;="9"),MID($V104,5,1)=".")),4,IF(NOT(OR(AND(MID($V104,6,1)&gt;="0",MID($V104,6,1)&lt;="9"),MID($V104,6,1)=".")),5,6)))))))),0)))</f>
        <v>0</v>
      </c>
      <c r="X104" s="214">
        <f>IF($U104="","",IFERROR(TRIM(INDEX('Submission template'!$J$17:$J$300,$U104)),""))</f>
      </c>
      <c r="Y104" s="214">
        <f>IF($U104="","",IFERROR(TRIM(INDEX('Submission template'!$K$17:$K$300,$U104)),""))</f>
      </c>
      <c r="Z104" s="214">
        <f>IF($U104="","",IFERROR(TRIM(INDEX('Submission template'!$M$17:$M$300,$U104)),""))</f>
      </c>
      <c r="AA104" s="214">
        <f>IF($U104="","",IFERROR(TRIM(INDEX('Submission template'!$O$17:$O$300,$U104)),""))</f>
      </c>
      <c r="AB104" s="214">
        <f>IF($U104="","",IFERROR(TRIM(INDEX('Submission template'!$S$17:$S$300,$U104)),""))</f>
      </c>
      <c r="AC104" s="214">
        <f>IF($B104="",0,IF($U104="",0,1))</f>
        <v>0</v>
      </c>
      <c r="AD104" s="214">
        <f>IF($B104="",0,IF(OR($H104=TargetLocation,AND($AA104&lt;&gt;"",ISNUMBER(SEARCH(TargetLocation,$AA104)))),1,0))</f>
        <v>0</v>
      </c>
      <c r="AE104" s="214">
        <f>IF($B104="",0,IF(AND(OR(SelRecruiter="All",$C104=SelRecruiter),OR(SelCity="All",$H104=SelCity),OR(SelStage="All",$I104=SelStage),OR(SelRequisition="All",$F104=SelRequisition)),1,0))</f>
        <v>0</v>
      </c>
      <c r="AF104" s="214">
        <f>IF($B104="","",COUNT($AF$5:AF103)+1)</f>
      </c>
      <c r="AG104" s="214">
        <f>IF($C104="","",IF(COUNTIF($C$6:$C104,$C104)=1,COUNT($AG$5:AG103)+1,""))</f>
      </c>
      <c r="AH104" s="214">
        <f>IF($F104="","",IF(COUNTIF($F$6:$F104,$F104)=1,COUNT($AH$5:AH103)+1,""))</f>
      </c>
      <c r="AI104" s="214">
        <f>IF($H104="","",IF(COUNTIF($H$6:$H104,$H104)=1,COUNT($AI$5:AI103)+1,""))</f>
      </c>
      <c r="AJ104" s="214">
        <f>IF(OR($B104="",$J104=0),"",$J104*100000000+IF(ISNUMBER($D104),$D104,0)*1000+(170-$A104))</f>
      </c>
      <c r="AK104" s="214">
        <f>IF(OR($B104="",$W104&lt;=0),"",ROUND($W104*10,0)*100000+(170-$A104))</f>
      </c>
      <c r="AL104" s="214">
        <f>IF(OR($B104="",$P104&lt;=0),"",ROUND($P104*10000,0)*1000+(170-$A104))</f>
      </c>
      <c r="AM104" s="214">
        <f>IF(AND($W104&gt;0,$O104&gt;0),COUNT($AM$5:AM103)+1,"")</f>
      </c>
      <c r="AN104">
        <f>IF($B104="",0,IF($G104="",0,SUMPRODUCT(MAX(ISNUMBER(SEARCH(LocPattern,$G104))*LocIdx))))</f>
        <v>0</v>
      </c>
      <c r="BL104">
        <f>IFERROR(INDEX($B$6:$B$125,MATCH(99,$AF$6:$AF$125,0)),"")</f>
      </c>
    </row>
    <row r="105">
      <c r="A105" s="220" t="n">
        <v>100</v>
      </c>
      <c r="B105" s="220">
        <f>IF(TRIM('Master Data-2026'!D101)="","",TRIM('Master Data-2026'!D101))</f>
      </c>
      <c r="C105" s="220">
        <f>IF($B105="","",TRIM('Master Data-2026'!A101))</f>
      </c>
      <c r="D105" s="221">
        <f>IF($B105="","",IF('Master Data-2026'!B101="","",'Master Data-2026'!B101))</f>
      </c>
      <c r="E105" s="220">
        <f>IF($B105="","",TRIM('Master Data-2026'!C101))</f>
      </c>
      <c r="F105" s="220">
        <f>IF($B105="","",TRIM('Master Data-2026'!G101))</f>
      </c>
      <c r="G105" s="220">
        <f>IF($B105="","",TRIM('Master Data-2026'!F101))</f>
      </c>
      <c r="H105" s="220">
        <f>IF($B105="","",IF($G105="","Not recorded",IF($AN105=0,"Other",INDEX(LocCity,$AN105))))</f>
      </c>
      <c r="I105" s="220">
        <f>IF($B105="","",TRIM('Master Data-2026'!H101))</f>
      </c>
      <c r="J105" s="220">
        <f>IF($B105="",0,IFERROR(INDEX(StageOrderRef,MATCH($I105,StageNameRef,0)),0))</f>
        <v>0</v>
      </c>
      <c r="K105" s="220">
        <f>IF($B105="","",TRIM('Master Data-2026'!I101))</f>
      </c>
      <c r="L105" s="220">
        <f>IF($B105="","",TRIM('Master Data-2026'!J101))</f>
      </c>
      <c r="M105" s="222">
        <f>IF($L105="",0,IF(ISNUMBER(SEARCH("%",$L105)),0,IFERROR(VALUE(LEFT($L105,IF(NOT(OR(AND(MID($L105,1,1)&gt;="0",MID($L105,1,1)&lt;="9"),MID($L105,1,1)=".")),0,IF(NOT(OR(AND(MID($L105,2,1)&gt;="0",MID($L105,2,1)&lt;="9"),MID($L105,2,1)=".")),1,IF(NOT(OR(AND(MID($L105,3,1)&gt;="0",MID($L105,3,1)&lt;="9"),MID($L105,3,1)=".")),2,IF(NOT(OR(AND(MID($L105,4,1)&gt;="0",MID($L105,4,1)&lt;="9"),MID($L105,4,1)=".")),3,IF(NOT(OR(AND(MID($L105,5,1)&gt;="0",MID($L105,5,1)&lt;="9"),MID($L105,5,1)=".")),4,IF(NOT(OR(AND(MID($L105,6,1)&gt;="0",MID($L105,6,1)&lt;="9"),MID($L105,6,1)=".")),5,6)))))))),0)))</f>
        <v>0</v>
      </c>
      <c r="N105" s="220">
        <f>IF($B105="","",TRIM('Master Data-2026'!K101))</f>
      </c>
      <c r="O105" s="222">
        <f>IF($N105="",0,IF(ISNUMBER(SEARCH("%",$N105)),0,IFERROR(VALUE(LEFT($N105,IF(NOT(OR(AND(MID($N105,1,1)&gt;="0",MID($N105,1,1)&lt;="9"),MID($N105,1,1)=".")),0,IF(NOT(OR(AND(MID($N105,2,1)&gt;="0",MID($N105,2,1)&lt;="9"),MID($N105,2,1)=".")),1,IF(NOT(OR(AND(MID($N105,3,1)&gt;="0",MID($N105,3,1)&lt;="9"),MID($N105,3,1)=".")),2,IF(NOT(OR(AND(MID($N105,4,1)&gt;="0",MID($N105,4,1)&lt;="9"),MID($N105,4,1)=".")),3,IF(NOT(OR(AND(MID($N105,5,1)&gt;="0",MID($N105,5,1)&lt;="9"),MID($N105,5,1)=".")),4,IF(NOT(OR(AND(MID($N105,6,1)&gt;="0",MID($N105,6,1)&lt;="9"),MID($N105,6,1)=".")),5,6)))))))),0)))</f>
        <v>0</v>
      </c>
      <c r="P105" s="223">
        <f>IF(AND($M105&gt;0,$O105&gt;0),$O105/$M105-1,0)</f>
        <v>0</v>
      </c>
      <c r="Q105" s="220">
        <f>IF($B105="","",TRIM('Master Data-2026'!L101))</f>
      </c>
      <c r="R105" s="220">
        <f>IF($Q105="",0,IF(ISNUMBER(SEARCH("%",$Q105)),0,IFERROR(VALUE(LEFT($Q105,IF(NOT(OR(AND(MID($Q105,1,1)&gt;="0",MID($Q105,1,1)&lt;="9"),MID($Q105,1,1)=".")),0,IF(NOT(OR(AND(MID($Q105,2,1)&gt;="0",MID($Q105,2,1)&lt;="9"),MID($Q105,2,1)=".")),1,IF(NOT(OR(AND(MID($Q105,3,1)&gt;="0",MID($Q105,3,1)&lt;="9"),MID($Q105,3,1)=".")),2,IF(NOT(OR(AND(MID($Q105,4,1)&gt;="0",MID($Q105,4,1)&lt;="9"),MID($Q105,4,1)=".")),3,IF(NOT(OR(AND(MID($Q105,5,1)&gt;="0",MID($Q105,5,1)&lt;="9"),MID($Q105,5,1)=".")),4,IF(NOT(OR(AND(MID($Q105,6,1)&gt;="0",MID($Q105,6,1)&lt;="9"),MID($Q105,6,1)=".")),5,6)))))))),0)))</f>
        <v>0</v>
      </c>
      <c r="S105" s="224">
        <f>IF($Q105="",-1,IF(ISNUMBER(SEARCH("immediate",$Q105)),0,IF(ISNUMBER(SEARCH("month",$Q105)),IF($R105=0,-1,$R105*30),IF(ISNUMBER(SEARCH("day",$Q105)),IF($R105=0,-1,$R105),-1))))</f>
        <v>-1</v>
      </c>
      <c r="T105" s="220">
        <f>IF($B105="","",IF($S105&lt;0,"Not recorded",IF($S105=0,"Immediate",IF($S105&lt;=30,"1-30 days",IF($S105&lt;=60,"31-60 days","60+ days")))))</f>
      </c>
      <c r="U105" s="220">
        <f>IF($B105="","",IFERROR(MATCH($B105,'Submission template'!$D$17:$D$300,0),""))</f>
      </c>
      <c r="V105" s="220">
        <f>IF($U105="","",IFERROR(TRIM(INDEX('Submission template'!$I$17:$I$300,$U105)),""))</f>
      </c>
      <c r="W105" s="225">
        <f>IF($V105="",0,IF(ISNUMBER(SEARCH("%",$V105)),0,IFERROR(VALUE(LEFT($V105,IF(NOT(OR(AND(MID($V105,1,1)&gt;="0",MID($V105,1,1)&lt;="9"),MID($V105,1,1)=".")),0,IF(NOT(OR(AND(MID($V105,2,1)&gt;="0",MID($V105,2,1)&lt;="9"),MID($V105,2,1)=".")),1,IF(NOT(OR(AND(MID($V105,3,1)&gt;="0",MID($V105,3,1)&lt;="9"),MID($V105,3,1)=".")),2,IF(NOT(OR(AND(MID($V105,4,1)&gt;="0",MID($V105,4,1)&lt;="9"),MID($V105,4,1)=".")),3,IF(NOT(OR(AND(MID($V105,5,1)&gt;="0",MID($V105,5,1)&lt;="9"),MID($V105,5,1)=".")),4,IF(NOT(OR(AND(MID($V105,6,1)&gt;="0",MID($V105,6,1)&lt;="9"),MID($V105,6,1)=".")),5,6)))))))),0)))</f>
        <v>0</v>
      </c>
      <c r="X105" s="220">
        <f>IF($U105="","",IFERROR(TRIM(INDEX('Submission template'!$J$17:$J$300,$U105)),""))</f>
      </c>
      <c r="Y105" s="220">
        <f>IF($U105="","",IFERROR(TRIM(INDEX('Submission template'!$K$17:$K$300,$U105)),""))</f>
      </c>
      <c r="Z105" s="220">
        <f>IF($U105="","",IFERROR(TRIM(INDEX('Submission template'!$M$17:$M$300,$U105)),""))</f>
      </c>
      <c r="AA105" s="220">
        <f>IF($U105="","",IFERROR(TRIM(INDEX('Submission template'!$O$17:$O$300,$U105)),""))</f>
      </c>
      <c r="AB105" s="220">
        <f>IF($U105="","",IFERROR(TRIM(INDEX('Submission template'!$S$17:$S$300,$U105)),""))</f>
      </c>
      <c r="AC105" s="220">
        <f>IF($B105="",0,IF($U105="",0,1))</f>
        <v>0</v>
      </c>
      <c r="AD105" s="220">
        <f>IF($B105="",0,IF(OR($H105=TargetLocation,AND($AA105&lt;&gt;"",ISNUMBER(SEARCH(TargetLocation,$AA105)))),1,0))</f>
        <v>0</v>
      </c>
      <c r="AE105" s="220">
        <f>IF($B105="",0,IF(AND(OR(SelRecruiter="All",$C105=SelRecruiter),OR(SelCity="All",$H105=SelCity),OR(SelStage="All",$I105=SelStage),OR(SelRequisition="All",$F105=SelRequisition)),1,0))</f>
        <v>0</v>
      </c>
      <c r="AF105" s="220">
        <f>IF($B105="","",COUNT($AF$5:AF104)+1)</f>
      </c>
      <c r="AG105" s="220">
        <f>IF($C105="","",IF(COUNTIF($C$6:$C105,$C105)=1,COUNT($AG$5:AG104)+1,""))</f>
      </c>
      <c r="AH105" s="220">
        <f>IF($F105="","",IF(COUNTIF($F$6:$F105,$F105)=1,COUNT($AH$5:AH104)+1,""))</f>
      </c>
      <c r="AI105" s="220">
        <f>IF($H105="","",IF(COUNTIF($H$6:$H105,$H105)=1,COUNT($AI$5:AI104)+1,""))</f>
      </c>
      <c r="AJ105" s="220">
        <f>IF(OR($B105="",$J105=0),"",$J105*100000000+IF(ISNUMBER($D105),$D105,0)*1000+(170-$A105))</f>
      </c>
      <c r="AK105" s="220">
        <f>IF(OR($B105="",$W105&lt;=0),"",ROUND($W105*10,0)*100000+(170-$A105))</f>
      </c>
      <c r="AL105" s="220">
        <f>IF(OR($B105="",$P105&lt;=0),"",ROUND($P105*10000,0)*1000+(170-$A105))</f>
      </c>
      <c r="AM105" s="220">
        <f>IF(AND($W105&gt;0,$O105&gt;0),COUNT($AM$5:AM104)+1,"")</f>
      </c>
      <c r="AN105">
        <f>IF($B105="",0,IF($G105="",0,SUMPRODUCT(MAX(ISNUMBER(SEARCH(LocPattern,$G105))*LocIdx))))</f>
        <v>0</v>
      </c>
      <c r="BL105">
        <f>IFERROR(INDEX($B$6:$B$125,MATCH(100,$AF$6:$AF$125,0)),"")</f>
      </c>
    </row>
    <row r="106">
      <c r="A106" s="214" t="n">
        <v>101</v>
      </c>
      <c r="B106" s="214">
        <f>IF(TRIM('Master Data-2026'!D102)="","",TRIM('Master Data-2026'!D102))</f>
      </c>
      <c r="C106" s="214">
        <f>IF($B106="","",TRIM('Master Data-2026'!A102))</f>
      </c>
      <c r="D106" s="215">
        <f>IF($B106="","",IF('Master Data-2026'!B102="","",'Master Data-2026'!B102))</f>
      </c>
      <c r="E106" s="214">
        <f>IF($B106="","",TRIM('Master Data-2026'!C102))</f>
      </c>
      <c r="F106" s="214">
        <f>IF($B106="","",TRIM('Master Data-2026'!G102))</f>
      </c>
      <c r="G106" s="214">
        <f>IF($B106="","",TRIM('Master Data-2026'!F102))</f>
      </c>
      <c r="H106" s="214">
        <f>IF($B106="","",IF($G106="","Not recorded",IF($AN106=0,"Other",INDEX(LocCity,$AN106))))</f>
      </c>
      <c r="I106" s="214">
        <f>IF($B106="","",TRIM('Master Data-2026'!H102))</f>
      </c>
      <c r="J106" s="214">
        <f>IF($B106="",0,IFERROR(INDEX(StageOrderRef,MATCH($I106,StageNameRef,0)),0))</f>
        <v>0</v>
      </c>
      <c r="K106" s="214">
        <f>IF($B106="","",TRIM('Master Data-2026'!I102))</f>
      </c>
      <c r="L106" s="214">
        <f>IF($B106="","",TRIM('Master Data-2026'!J102))</f>
      </c>
      <c r="M106" s="216">
        <f>IF($L106="",0,IF(ISNUMBER(SEARCH("%",$L106)),0,IFERROR(VALUE(LEFT($L106,IF(NOT(OR(AND(MID($L106,1,1)&gt;="0",MID($L106,1,1)&lt;="9"),MID($L106,1,1)=".")),0,IF(NOT(OR(AND(MID($L106,2,1)&gt;="0",MID($L106,2,1)&lt;="9"),MID($L106,2,1)=".")),1,IF(NOT(OR(AND(MID($L106,3,1)&gt;="0",MID($L106,3,1)&lt;="9"),MID($L106,3,1)=".")),2,IF(NOT(OR(AND(MID($L106,4,1)&gt;="0",MID($L106,4,1)&lt;="9"),MID($L106,4,1)=".")),3,IF(NOT(OR(AND(MID($L106,5,1)&gt;="0",MID($L106,5,1)&lt;="9"),MID($L106,5,1)=".")),4,IF(NOT(OR(AND(MID($L106,6,1)&gt;="0",MID($L106,6,1)&lt;="9"),MID($L106,6,1)=".")),5,6)))))))),0)))</f>
        <v>0</v>
      </c>
      <c r="N106" s="214">
        <f>IF($B106="","",TRIM('Master Data-2026'!K102))</f>
      </c>
      <c r="O106" s="216">
        <f>IF($N106="",0,IF(ISNUMBER(SEARCH("%",$N106)),0,IFERROR(VALUE(LEFT($N106,IF(NOT(OR(AND(MID($N106,1,1)&gt;="0",MID($N106,1,1)&lt;="9"),MID($N106,1,1)=".")),0,IF(NOT(OR(AND(MID($N106,2,1)&gt;="0",MID($N106,2,1)&lt;="9"),MID($N106,2,1)=".")),1,IF(NOT(OR(AND(MID($N106,3,1)&gt;="0",MID($N106,3,1)&lt;="9"),MID($N106,3,1)=".")),2,IF(NOT(OR(AND(MID($N106,4,1)&gt;="0",MID($N106,4,1)&lt;="9"),MID($N106,4,1)=".")),3,IF(NOT(OR(AND(MID($N106,5,1)&gt;="0",MID($N106,5,1)&lt;="9"),MID($N106,5,1)=".")),4,IF(NOT(OR(AND(MID($N106,6,1)&gt;="0",MID($N106,6,1)&lt;="9"),MID($N106,6,1)=".")),5,6)))))))),0)))</f>
        <v>0</v>
      </c>
      <c r="P106" s="217">
        <f>IF(AND($M106&gt;0,$O106&gt;0),$O106/$M106-1,0)</f>
        <v>0</v>
      </c>
      <c r="Q106" s="214">
        <f>IF($B106="","",TRIM('Master Data-2026'!L102))</f>
      </c>
      <c r="R106" s="214">
        <f>IF($Q106="",0,IF(ISNUMBER(SEARCH("%",$Q106)),0,IFERROR(VALUE(LEFT($Q106,IF(NOT(OR(AND(MID($Q106,1,1)&gt;="0",MID($Q106,1,1)&lt;="9"),MID($Q106,1,1)=".")),0,IF(NOT(OR(AND(MID($Q106,2,1)&gt;="0",MID($Q106,2,1)&lt;="9"),MID($Q106,2,1)=".")),1,IF(NOT(OR(AND(MID($Q106,3,1)&gt;="0",MID($Q106,3,1)&lt;="9"),MID($Q106,3,1)=".")),2,IF(NOT(OR(AND(MID($Q106,4,1)&gt;="0",MID($Q106,4,1)&lt;="9"),MID($Q106,4,1)=".")),3,IF(NOT(OR(AND(MID($Q106,5,1)&gt;="0",MID($Q106,5,1)&lt;="9"),MID($Q106,5,1)=".")),4,IF(NOT(OR(AND(MID($Q106,6,1)&gt;="0",MID($Q106,6,1)&lt;="9"),MID($Q106,6,1)=".")),5,6)))))))),0)))</f>
        <v>0</v>
      </c>
      <c r="S106" s="218">
        <f>IF($Q106="",-1,IF(ISNUMBER(SEARCH("immediate",$Q106)),0,IF(ISNUMBER(SEARCH("month",$Q106)),IF($R106=0,-1,$R106*30),IF(ISNUMBER(SEARCH("day",$Q106)),IF($R106=0,-1,$R106),-1))))</f>
        <v>-1</v>
      </c>
      <c r="T106" s="214">
        <f>IF($B106="","",IF($S106&lt;0,"Not recorded",IF($S106=0,"Immediate",IF($S106&lt;=30,"1-30 days",IF($S106&lt;=60,"31-60 days","60+ days")))))</f>
      </c>
      <c r="U106" s="214">
        <f>IF($B106="","",IFERROR(MATCH($B106,'Submission template'!$D$17:$D$300,0),""))</f>
      </c>
      <c r="V106" s="214">
        <f>IF($U106="","",IFERROR(TRIM(INDEX('Submission template'!$I$17:$I$300,$U106)),""))</f>
      </c>
      <c r="W106" s="219">
        <f>IF($V106="",0,IF(ISNUMBER(SEARCH("%",$V106)),0,IFERROR(VALUE(LEFT($V106,IF(NOT(OR(AND(MID($V106,1,1)&gt;="0",MID($V106,1,1)&lt;="9"),MID($V106,1,1)=".")),0,IF(NOT(OR(AND(MID($V106,2,1)&gt;="0",MID($V106,2,1)&lt;="9"),MID($V106,2,1)=".")),1,IF(NOT(OR(AND(MID($V106,3,1)&gt;="0",MID($V106,3,1)&lt;="9"),MID($V106,3,1)=".")),2,IF(NOT(OR(AND(MID($V106,4,1)&gt;="0",MID($V106,4,1)&lt;="9"),MID($V106,4,1)=".")),3,IF(NOT(OR(AND(MID($V106,5,1)&gt;="0",MID($V106,5,1)&lt;="9"),MID($V106,5,1)=".")),4,IF(NOT(OR(AND(MID($V106,6,1)&gt;="0",MID($V106,6,1)&lt;="9"),MID($V106,6,1)=".")),5,6)))))))),0)))</f>
        <v>0</v>
      </c>
      <c r="X106" s="214">
        <f>IF($U106="","",IFERROR(TRIM(INDEX('Submission template'!$J$17:$J$300,$U106)),""))</f>
      </c>
      <c r="Y106" s="214">
        <f>IF($U106="","",IFERROR(TRIM(INDEX('Submission template'!$K$17:$K$300,$U106)),""))</f>
      </c>
      <c r="Z106" s="214">
        <f>IF($U106="","",IFERROR(TRIM(INDEX('Submission template'!$M$17:$M$300,$U106)),""))</f>
      </c>
      <c r="AA106" s="214">
        <f>IF($U106="","",IFERROR(TRIM(INDEX('Submission template'!$O$17:$O$300,$U106)),""))</f>
      </c>
      <c r="AB106" s="214">
        <f>IF($U106="","",IFERROR(TRIM(INDEX('Submission template'!$S$17:$S$300,$U106)),""))</f>
      </c>
      <c r="AC106" s="214">
        <f>IF($B106="",0,IF($U106="",0,1))</f>
        <v>0</v>
      </c>
      <c r="AD106" s="214">
        <f>IF($B106="",0,IF(OR($H106=TargetLocation,AND($AA106&lt;&gt;"",ISNUMBER(SEARCH(TargetLocation,$AA106)))),1,0))</f>
        <v>0</v>
      </c>
      <c r="AE106" s="214">
        <f>IF($B106="",0,IF(AND(OR(SelRecruiter="All",$C106=SelRecruiter),OR(SelCity="All",$H106=SelCity),OR(SelStage="All",$I106=SelStage),OR(SelRequisition="All",$F106=SelRequisition)),1,0))</f>
        <v>0</v>
      </c>
      <c r="AF106" s="214">
        <f>IF($B106="","",COUNT($AF$5:AF105)+1)</f>
      </c>
      <c r="AG106" s="214">
        <f>IF($C106="","",IF(COUNTIF($C$6:$C106,$C106)=1,COUNT($AG$5:AG105)+1,""))</f>
      </c>
      <c r="AH106" s="214">
        <f>IF($F106="","",IF(COUNTIF($F$6:$F106,$F106)=1,COUNT($AH$5:AH105)+1,""))</f>
      </c>
      <c r="AI106" s="214">
        <f>IF($H106="","",IF(COUNTIF($H$6:$H106,$H106)=1,COUNT($AI$5:AI105)+1,""))</f>
      </c>
      <c r="AJ106" s="214">
        <f>IF(OR($B106="",$J106=0),"",$J106*100000000+IF(ISNUMBER($D106),$D106,0)*1000+(170-$A106))</f>
      </c>
      <c r="AK106" s="214">
        <f>IF(OR($B106="",$W106&lt;=0),"",ROUND($W106*10,0)*100000+(170-$A106))</f>
      </c>
      <c r="AL106" s="214">
        <f>IF(OR($B106="",$P106&lt;=0),"",ROUND($P106*10000,0)*1000+(170-$A106))</f>
      </c>
      <c r="AM106" s="214">
        <f>IF(AND($W106&gt;0,$O106&gt;0),COUNT($AM$5:AM105)+1,"")</f>
      </c>
      <c r="AN106">
        <f>IF($B106="",0,IF($G106="",0,SUMPRODUCT(MAX(ISNUMBER(SEARCH(LocPattern,$G106))*LocIdx))))</f>
        <v>0</v>
      </c>
      <c r="BL106">
        <f>IFERROR(INDEX($B$6:$B$125,MATCH(101,$AF$6:$AF$125,0)),"")</f>
      </c>
    </row>
    <row r="107">
      <c r="A107" s="220" t="n">
        <v>102</v>
      </c>
      <c r="B107" s="220">
        <f>IF(TRIM('Master Data-2026'!D103)="","",TRIM('Master Data-2026'!D103))</f>
      </c>
      <c r="C107" s="220">
        <f>IF($B107="","",TRIM('Master Data-2026'!A103))</f>
      </c>
      <c r="D107" s="221">
        <f>IF($B107="","",IF('Master Data-2026'!B103="","",'Master Data-2026'!B103))</f>
      </c>
      <c r="E107" s="220">
        <f>IF($B107="","",TRIM('Master Data-2026'!C103))</f>
      </c>
      <c r="F107" s="220">
        <f>IF($B107="","",TRIM('Master Data-2026'!G103))</f>
      </c>
      <c r="G107" s="220">
        <f>IF($B107="","",TRIM('Master Data-2026'!F103))</f>
      </c>
      <c r="H107" s="220">
        <f>IF($B107="","",IF($G107="","Not recorded",IF($AN107=0,"Other",INDEX(LocCity,$AN107))))</f>
      </c>
      <c r="I107" s="220">
        <f>IF($B107="","",TRIM('Master Data-2026'!H103))</f>
      </c>
      <c r="J107" s="220">
        <f>IF($B107="",0,IFERROR(INDEX(StageOrderRef,MATCH($I107,StageNameRef,0)),0))</f>
        <v>0</v>
      </c>
      <c r="K107" s="220">
        <f>IF($B107="","",TRIM('Master Data-2026'!I103))</f>
      </c>
      <c r="L107" s="220">
        <f>IF($B107="","",TRIM('Master Data-2026'!J103))</f>
      </c>
      <c r="M107" s="222">
        <f>IF($L107="",0,IF(ISNUMBER(SEARCH("%",$L107)),0,IFERROR(VALUE(LEFT($L107,IF(NOT(OR(AND(MID($L107,1,1)&gt;="0",MID($L107,1,1)&lt;="9"),MID($L107,1,1)=".")),0,IF(NOT(OR(AND(MID($L107,2,1)&gt;="0",MID($L107,2,1)&lt;="9"),MID($L107,2,1)=".")),1,IF(NOT(OR(AND(MID($L107,3,1)&gt;="0",MID($L107,3,1)&lt;="9"),MID($L107,3,1)=".")),2,IF(NOT(OR(AND(MID($L107,4,1)&gt;="0",MID($L107,4,1)&lt;="9"),MID($L107,4,1)=".")),3,IF(NOT(OR(AND(MID($L107,5,1)&gt;="0",MID($L107,5,1)&lt;="9"),MID($L107,5,1)=".")),4,IF(NOT(OR(AND(MID($L107,6,1)&gt;="0",MID($L107,6,1)&lt;="9"),MID($L107,6,1)=".")),5,6)))))))),0)))</f>
        <v>0</v>
      </c>
      <c r="N107" s="220">
        <f>IF($B107="","",TRIM('Master Data-2026'!K103))</f>
      </c>
      <c r="O107" s="222">
        <f>IF($N107="",0,IF(ISNUMBER(SEARCH("%",$N107)),0,IFERROR(VALUE(LEFT($N107,IF(NOT(OR(AND(MID($N107,1,1)&gt;="0",MID($N107,1,1)&lt;="9"),MID($N107,1,1)=".")),0,IF(NOT(OR(AND(MID($N107,2,1)&gt;="0",MID($N107,2,1)&lt;="9"),MID($N107,2,1)=".")),1,IF(NOT(OR(AND(MID($N107,3,1)&gt;="0",MID($N107,3,1)&lt;="9"),MID($N107,3,1)=".")),2,IF(NOT(OR(AND(MID($N107,4,1)&gt;="0",MID($N107,4,1)&lt;="9"),MID($N107,4,1)=".")),3,IF(NOT(OR(AND(MID($N107,5,1)&gt;="0",MID($N107,5,1)&lt;="9"),MID($N107,5,1)=".")),4,IF(NOT(OR(AND(MID($N107,6,1)&gt;="0",MID($N107,6,1)&lt;="9"),MID($N107,6,1)=".")),5,6)))))))),0)))</f>
        <v>0</v>
      </c>
      <c r="P107" s="223">
        <f>IF(AND($M107&gt;0,$O107&gt;0),$O107/$M107-1,0)</f>
        <v>0</v>
      </c>
      <c r="Q107" s="220">
        <f>IF($B107="","",TRIM('Master Data-2026'!L103))</f>
      </c>
      <c r="R107" s="220">
        <f>IF($Q107="",0,IF(ISNUMBER(SEARCH("%",$Q107)),0,IFERROR(VALUE(LEFT($Q107,IF(NOT(OR(AND(MID($Q107,1,1)&gt;="0",MID($Q107,1,1)&lt;="9"),MID($Q107,1,1)=".")),0,IF(NOT(OR(AND(MID($Q107,2,1)&gt;="0",MID($Q107,2,1)&lt;="9"),MID($Q107,2,1)=".")),1,IF(NOT(OR(AND(MID($Q107,3,1)&gt;="0",MID($Q107,3,1)&lt;="9"),MID($Q107,3,1)=".")),2,IF(NOT(OR(AND(MID($Q107,4,1)&gt;="0",MID($Q107,4,1)&lt;="9"),MID($Q107,4,1)=".")),3,IF(NOT(OR(AND(MID($Q107,5,1)&gt;="0",MID($Q107,5,1)&lt;="9"),MID($Q107,5,1)=".")),4,IF(NOT(OR(AND(MID($Q107,6,1)&gt;="0",MID($Q107,6,1)&lt;="9"),MID($Q107,6,1)=".")),5,6)))))))),0)))</f>
        <v>0</v>
      </c>
      <c r="S107" s="224">
        <f>IF($Q107="",-1,IF(ISNUMBER(SEARCH("immediate",$Q107)),0,IF(ISNUMBER(SEARCH("month",$Q107)),IF($R107=0,-1,$R107*30),IF(ISNUMBER(SEARCH("day",$Q107)),IF($R107=0,-1,$R107),-1))))</f>
        <v>-1</v>
      </c>
      <c r="T107" s="220">
        <f>IF($B107="","",IF($S107&lt;0,"Not recorded",IF($S107=0,"Immediate",IF($S107&lt;=30,"1-30 days",IF($S107&lt;=60,"31-60 days","60+ days")))))</f>
      </c>
      <c r="U107" s="220">
        <f>IF($B107="","",IFERROR(MATCH($B107,'Submission template'!$D$17:$D$300,0),""))</f>
      </c>
      <c r="V107" s="220">
        <f>IF($U107="","",IFERROR(TRIM(INDEX('Submission template'!$I$17:$I$300,$U107)),""))</f>
      </c>
      <c r="W107" s="225">
        <f>IF($V107="",0,IF(ISNUMBER(SEARCH("%",$V107)),0,IFERROR(VALUE(LEFT($V107,IF(NOT(OR(AND(MID($V107,1,1)&gt;="0",MID($V107,1,1)&lt;="9"),MID($V107,1,1)=".")),0,IF(NOT(OR(AND(MID($V107,2,1)&gt;="0",MID($V107,2,1)&lt;="9"),MID($V107,2,1)=".")),1,IF(NOT(OR(AND(MID($V107,3,1)&gt;="0",MID($V107,3,1)&lt;="9"),MID($V107,3,1)=".")),2,IF(NOT(OR(AND(MID($V107,4,1)&gt;="0",MID($V107,4,1)&lt;="9"),MID($V107,4,1)=".")),3,IF(NOT(OR(AND(MID($V107,5,1)&gt;="0",MID($V107,5,1)&lt;="9"),MID($V107,5,1)=".")),4,IF(NOT(OR(AND(MID($V107,6,1)&gt;="0",MID($V107,6,1)&lt;="9"),MID($V107,6,1)=".")),5,6)))))))),0)))</f>
        <v>0</v>
      </c>
      <c r="X107" s="220">
        <f>IF($U107="","",IFERROR(TRIM(INDEX('Submission template'!$J$17:$J$300,$U107)),""))</f>
      </c>
      <c r="Y107" s="220">
        <f>IF($U107="","",IFERROR(TRIM(INDEX('Submission template'!$K$17:$K$300,$U107)),""))</f>
      </c>
      <c r="Z107" s="220">
        <f>IF($U107="","",IFERROR(TRIM(INDEX('Submission template'!$M$17:$M$300,$U107)),""))</f>
      </c>
      <c r="AA107" s="220">
        <f>IF($U107="","",IFERROR(TRIM(INDEX('Submission template'!$O$17:$O$300,$U107)),""))</f>
      </c>
      <c r="AB107" s="220">
        <f>IF($U107="","",IFERROR(TRIM(INDEX('Submission template'!$S$17:$S$300,$U107)),""))</f>
      </c>
      <c r="AC107" s="220">
        <f>IF($B107="",0,IF($U107="",0,1))</f>
        <v>0</v>
      </c>
      <c r="AD107" s="220">
        <f>IF($B107="",0,IF(OR($H107=TargetLocation,AND($AA107&lt;&gt;"",ISNUMBER(SEARCH(TargetLocation,$AA107)))),1,0))</f>
        <v>0</v>
      </c>
      <c r="AE107" s="220">
        <f>IF($B107="",0,IF(AND(OR(SelRecruiter="All",$C107=SelRecruiter),OR(SelCity="All",$H107=SelCity),OR(SelStage="All",$I107=SelStage),OR(SelRequisition="All",$F107=SelRequisition)),1,0))</f>
        <v>0</v>
      </c>
      <c r="AF107" s="220">
        <f>IF($B107="","",COUNT($AF$5:AF106)+1)</f>
      </c>
      <c r="AG107" s="220">
        <f>IF($C107="","",IF(COUNTIF($C$6:$C107,$C107)=1,COUNT($AG$5:AG106)+1,""))</f>
      </c>
      <c r="AH107" s="220">
        <f>IF($F107="","",IF(COUNTIF($F$6:$F107,$F107)=1,COUNT($AH$5:AH106)+1,""))</f>
      </c>
      <c r="AI107" s="220">
        <f>IF($H107="","",IF(COUNTIF($H$6:$H107,$H107)=1,COUNT($AI$5:AI106)+1,""))</f>
      </c>
      <c r="AJ107" s="220">
        <f>IF(OR($B107="",$J107=0),"",$J107*100000000+IF(ISNUMBER($D107),$D107,0)*1000+(170-$A107))</f>
      </c>
      <c r="AK107" s="220">
        <f>IF(OR($B107="",$W107&lt;=0),"",ROUND($W107*10,0)*100000+(170-$A107))</f>
      </c>
      <c r="AL107" s="220">
        <f>IF(OR($B107="",$P107&lt;=0),"",ROUND($P107*10000,0)*1000+(170-$A107))</f>
      </c>
      <c r="AM107" s="220">
        <f>IF(AND($W107&gt;0,$O107&gt;0),COUNT($AM$5:AM106)+1,"")</f>
      </c>
      <c r="AN107">
        <f>IF($B107="",0,IF($G107="",0,SUMPRODUCT(MAX(ISNUMBER(SEARCH(LocPattern,$G107))*LocIdx))))</f>
        <v>0</v>
      </c>
      <c r="BL107">
        <f>IFERROR(INDEX($B$6:$B$125,MATCH(102,$AF$6:$AF$125,0)),"")</f>
      </c>
    </row>
    <row r="108">
      <c r="A108" s="214" t="n">
        <v>103</v>
      </c>
      <c r="B108" s="214">
        <f>IF(TRIM('Master Data-2026'!D104)="","",TRIM('Master Data-2026'!D104))</f>
      </c>
      <c r="C108" s="214">
        <f>IF($B108="","",TRIM('Master Data-2026'!A104))</f>
      </c>
      <c r="D108" s="215">
        <f>IF($B108="","",IF('Master Data-2026'!B104="","",'Master Data-2026'!B104))</f>
      </c>
      <c r="E108" s="214">
        <f>IF($B108="","",TRIM('Master Data-2026'!C104))</f>
      </c>
      <c r="F108" s="214">
        <f>IF($B108="","",TRIM('Master Data-2026'!G104))</f>
      </c>
      <c r="G108" s="214">
        <f>IF($B108="","",TRIM('Master Data-2026'!F104))</f>
      </c>
      <c r="H108" s="214">
        <f>IF($B108="","",IF($G108="","Not recorded",IF($AN108=0,"Other",INDEX(LocCity,$AN108))))</f>
      </c>
      <c r="I108" s="214">
        <f>IF($B108="","",TRIM('Master Data-2026'!H104))</f>
      </c>
      <c r="J108" s="214">
        <f>IF($B108="",0,IFERROR(INDEX(StageOrderRef,MATCH($I108,StageNameRef,0)),0))</f>
        <v>0</v>
      </c>
      <c r="K108" s="214">
        <f>IF($B108="","",TRIM('Master Data-2026'!I104))</f>
      </c>
      <c r="L108" s="214">
        <f>IF($B108="","",TRIM('Master Data-2026'!J104))</f>
      </c>
      <c r="M108" s="216">
        <f>IF($L108="",0,IF(ISNUMBER(SEARCH("%",$L108)),0,IFERROR(VALUE(LEFT($L108,IF(NOT(OR(AND(MID($L108,1,1)&gt;="0",MID($L108,1,1)&lt;="9"),MID($L108,1,1)=".")),0,IF(NOT(OR(AND(MID($L108,2,1)&gt;="0",MID($L108,2,1)&lt;="9"),MID($L108,2,1)=".")),1,IF(NOT(OR(AND(MID($L108,3,1)&gt;="0",MID($L108,3,1)&lt;="9"),MID($L108,3,1)=".")),2,IF(NOT(OR(AND(MID($L108,4,1)&gt;="0",MID($L108,4,1)&lt;="9"),MID($L108,4,1)=".")),3,IF(NOT(OR(AND(MID($L108,5,1)&gt;="0",MID($L108,5,1)&lt;="9"),MID($L108,5,1)=".")),4,IF(NOT(OR(AND(MID($L108,6,1)&gt;="0",MID($L108,6,1)&lt;="9"),MID($L108,6,1)=".")),5,6)))))))),0)))</f>
        <v>0</v>
      </c>
      <c r="N108" s="214">
        <f>IF($B108="","",TRIM('Master Data-2026'!K104))</f>
      </c>
      <c r="O108" s="216">
        <f>IF($N108="",0,IF(ISNUMBER(SEARCH("%",$N108)),0,IFERROR(VALUE(LEFT($N108,IF(NOT(OR(AND(MID($N108,1,1)&gt;="0",MID($N108,1,1)&lt;="9"),MID($N108,1,1)=".")),0,IF(NOT(OR(AND(MID($N108,2,1)&gt;="0",MID($N108,2,1)&lt;="9"),MID($N108,2,1)=".")),1,IF(NOT(OR(AND(MID($N108,3,1)&gt;="0",MID($N108,3,1)&lt;="9"),MID($N108,3,1)=".")),2,IF(NOT(OR(AND(MID($N108,4,1)&gt;="0",MID($N108,4,1)&lt;="9"),MID($N108,4,1)=".")),3,IF(NOT(OR(AND(MID($N108,5,1)&gt;="0",MID($N108,5,1)&lt;="9"),MID($N108,5,1)=".")),4,IF(NOT(OR(AND(MID($N108,6,1)&gt;="0",MID($N108,6,1)&lt;="9"),MID($N108,6,1)=".")),5,6)))))))),0)))</f>
        <v>0</v>
      </c>
      <c r="P108" s="217">
        <f>IF(AND($M108&gt;0,$O108&gt;0),$O108/$M108-1,0)</f>
        <v>0</v>
      </c>
      <c r="Q108" s="214">
        <f>IF($B108="","",TRIM('Master Data-2026'!L104))</f>
      </c>
      <c r="R108" s="214">
        <f>IF($Q108="",0,IF(ISNUMBER(SEARCH("%",$Q108)),0,IFERROR(VALUE(LEFT($Q108,IF(NOT(OR(AND(MID($Q108,1,1)&gt;="0",MID($Q108,1,1)&lt;="9"),MID($Q108,1,1)=".")),0,IF(NOT(OR(AND(MID($Q108,2,1)&gt;="0",MID($Q108,2,1)&lt;="9"),MID($Q108,2,1)=".")),1,IF(NOT(OR(AND(MID($Q108,3,1)&gt;="0",MID($Q108,3,1)&lt;="9"),MID($Q108,3,1)=".")),2,IF(NOT(OR(AND(MID($Q108,4,1)&gt;="0",MID($Q108,4,1)&lt;="9"),MID($Q108,4,1)=".")),3,IF(NOT(OR(AND(MID($Q108,5,1)&gt;="0",MID($Q108,5,1)&lt;="9"),MID($Q108,5,1)=".")),4,IF(NOT(OR(AND(MID($Q108,6,1)&gt;="0",MID($Q108,6,1)&lt;="9"),MID($Q108,6,1)=".")),5,6)))))))),0)))</f>
        <v>0</v>
      </c>
      <c r="S108" s="218">
        <f>IF($Q108="",-1,IF(ISNUMBER(SEARCH("immediate",$Q108)),0,IF(ISNUMBER(SEARCH("month",$Q108)),IF($R108=0,-1,$R108*30),IF(ISNUMBER(SEARCH("day",$Q108)),IF($R108=0,-1,$R108),-1))))</f>
        <v>-1</v>
      </c>
      <c r="T108" s="214">
        <f>IF($B108="","",IF($S108&lt;0,"Not recorded",IF($S108=0,"Immediate",IF($S108&lt;=30,"1-30 days",IF($S108&lt;=60,"31-60 days","60+ days")))))</f>
      </c>
      <c r="U108" s="214">
        <f>IF($B108="","",IFERROR(MATCH($B108,'Submission template'!$D$17:$D$300,0),""))</f>
      </c>
      <c r="V108" s="214">
        <f>IF($U108="","",IFERROR(TRIM(INDEX('Submission template'!$I$17:$I$300,$U108)),""))</f>
      </c>
      <c r="W108" s="219">
        <f>IF($V108="",0,IF(ISNUMBER(SEARCH("%",$V108)),0,IFERROR(VALUE(LEFT($V108,IF(NOT(OR(AND(MID($V108,1,1)&gt;="0",MID($V108,1,1)&lt;="9"),MID($V108,1,1)=".")),0,IF(NOT(OR(AND(MID($V108,2,1)&gt;="0",MID($V108,2,1)&lt;="9"),MID($V108,2,1)=".")),1,IF(NOT(OR(AND(MID($V108,3,1)&gt;="0",MID($V108,3,1)&lt;="9"),MID($V108,3,1)=".")),2,IF(NOT(OR(AND(MID($V108,4,1)&gt;="0",MID($V108,4,1)&lt;="9"),MID($V108,4,1)=".")),3,IF(NOT(OR(AND(MID($V108,5,1)&gt;="0",MID($V108,5,1)&lt;="9"),MID($V108,5,1)=".")),4,IF(NOT(OR(AND(MID($V108,6,1)&gt;="0",MID($V108,6,1)&lt;="9"),MID($V108,6,1)=".")),5,6)))))))),0)))</f>
        <v>0</v>
      </c>
      <c r="X108" s="214">
        <f>IF($U108="","",IFERROR(TRIM(INDEX('Submission template'!$J$17:$J$300,$U108)),""))</f>
      </c>
      <c r="Y108" s="214">
        <f>IF($U108="","",IFERROR(TRIM(INDEX('Submission template'!$K$17:$K$300,$U108)),""))</f>
      </c>
      <c r="Z108" s="214">
        <f>IF($U108="","",IFERROR(TRIM(INDEX('Submission template'!$M$17:$M$300,$U108)),""))</f>
      </c>
      <c r="AA108" s="214">
        <f>IF($U108="","",IFERROR(TRIM(INDEX('Submission template'!$O$17:$O$300,$U108)),""))</f>
      </c>
      <c r="AB108" s="214">
        <f>IF($U108="","",IFERROR(TRIM(INDEX('Submission template'!$S$17:$S$300,$U108)),""))</f>
      </c>
      <c r="AC108" s="214">
        <f>IF($B108="",0,IF($U108="",0,1))</f>
        <v>0</v>
      </c>
      <c r="AD108" s="214">
        <f>IF($B108="",0,IF(OR($H108=TargetLocation,AND($AA108&lt;&gt;"",ISNUMBER(SEARCH(TargetLocation,$AA108)))),1,0))</f>
        <v>0</v>
      </c>
      <c r="AE108" s="214">
        <f>IF($B108="",0,IF(AND(OR(SelRecruiter="All",$C108=SelRecruiter),OR(SelCity="All",$H108=SelCity),OR(SelStage="All",$I108=SelStage),OR(SelRequisition="All",$F108=SelRequisition)),1,0))</f>
        <v>0</v>
      </c>
      <c r="AF108" s="214">
        <f>IF($B108="","",COUNT($AF$5:AF107)+1)</f>
      </c>
      <c r="AG108" s="214">
        <f>IF($C108="","",IF(COUNTIF($C$6:$C108,$C108)=1,COUNT($AG$5:AG107)+1,""))</f>
      </c>
      <c r="AH108" s="214">
        <f>IF($F108="","",IF(COUNTIF($F$6:$F108,$F108)=1,COUNT($AH$5:AH107)+1,""))</f>
      </c>
      <c r="AI108" s="214">
        <f>IF($H108="","",IF(COUNTIF($H$6:$H108,$H108)=1,COUNT($AI$5:AI107)+1,""))</f>
      </c>
      <c r="AJ108" s="214">
        <f>IF(OR($B108="",$J108=0),"",$J108*100000000+IF(ISNUMBER($D108),$D108,0)*1000+(170-$A108))</f>
      </c>
      <c r="AK108" s="214">
        <f>IF(OR($B108="",$W108&lt;=0),"",ROUND($W108*10,0)*100000+(170-$A108))</f>
      </c>
      <c r="AL108" s="214">
        <f>IF(OR($B108="",$P108&lt;=0),"",ROUND($P108*10000,0)*1000+(170-$A108))</f>
      </c>
      <c r="AM108" s="214">
        <f>IF(AND($W108&gt;0,$O108&gt;0),COUNT($AM$5:AM107)+1,"")</f>
      </c>
      <c r="AN108">
        <f>IF($B108="",0,IF($G108="",0,SUMPRODUCT(MAX(ISNUMBER(SEARCH(LocPattern,$G108))*LocIdx))))</f>
        <v>0</v>
      </c>
      <c r="BL108">
        <f>IFERROR(INDEX($B$6:$B$125,MATCH(103,$AF$6:$AF$125,0)),"")</f>
      </c>
    </row>
    <row r="109">
      <c r="A109" s="220" t="n">
        <v>104</v>
      </c>
      <c r="B109" s="220">
        <f>IF(TRIM('Master Data-2026'!D105)="","",TRIM('Master Data-2026'!D105))</f>
      </c>
      <c r="C109" s="220">
        <f>IF($B109="","",TRIM('Master Data-2026'!A105))</f>
      </c>
      <c r="D109" s="221">
        <f>IF($B109="","",IF('Master Data-2026'!B105="","",'Master Data-2026'!B105))</f>
      </c>
      <c r="E109" s="220">
        <f>IF($B109="","",TRIM('Master Data-2026'!C105))</f>
      </c>
      <c r="F109" s="220">
        <f>IF($B109="","",TRIM('Master Data-2026'!G105))</f>
      </c>
      <c r="G109" s="220">
        <f>IF($B109="","",TRIM('Master Data-2026'!F105))</f>
      </c>
      <c r="H109" s="220">
        <f>IF($B109="","",IF($G109="","Not recorded",IF($AN109=0,"Other",INDEX(LocCity,$AN109))))</f>
      </c>
      <c r="I109" s="220">
        <f>IF($B109="","",TRIM('Master Data-2026'!H105))</f>
      </c>
      <c r="J109" s="220">
        <f>IF($B109="",0,IFERROR(INDEX(StageOrderRef,MATCH($I109,StageNameRef,0)),0))</f>
        <v>0</v>
      </c>
      <c r="K109" s="220">
        <f>IF($B109="","",TRIM('Master Data-2026'!I105))</f>
      </c>
      <c r="L109" s="220">
        <f>IF($B109="","",TRIM('Master Data-2026'!J105))</f>
      </c>
      <c r="M109" s="222">
        <f>IF($L109="",0,IF(ISNUMBER(SEARCH("%",$L109)),0,IFERROR(VALUE(LEFT($L109,IF(NOT(OR(AND(MID($L109,1,1)&gt;="0",MID($L109,1,1)&lt;="9"),MID($L109,1,1)=".")),0,IF(NOT(OR(AND(MID($L109,2,1)&gt;="0",MID($L109,2,1)&lt;="9"),MID($L109,2,1)=".")),1,IF(NOT(OR(AND(MID($L109,3,1)&gt;="0",MID($L109,3,1)&lt;="9"),MID($L109,3,1)=".")),2,IF(NOT(OR(AND(MID($L109,4,1)&gt;="0",MID($L109,4,1)&lt;="9"),MID($L109,4,1)=".")),3,IF(NOT(OR(AND(MID($L109,5,1)&gt;="0",MID($L109,5,1)&lt;="9"),MID($L109,5,1)=".")),4,IF(NOT(OR(AND(MID($L109,6,1)&gt;="0",MID($L109,6,1)&lt;="9"),MID($L109,6,1)=".")),5,6)))))))),0)))</f>
        <v>0</v>
      </c>
      <c r="N109" s="220">
        <f>IF($B109="","",TRIM('Master Data-2026'!K105))</f>
      </c>
      <c r="O109" s="222">
        <f>IF($N109="",0,IF(ISNUMBER(SEARCH("%",$N109)),0,IFERROR(VALUE(LEFT($N109,IF(NOT(OR(AND(MID($N109,1,1)&gt;="0",MID($N109,1,1)&lt;="9"),MID($N109,1,1)=".")),0,IF(NOT(OR(AND(MID($N109,2,1)&gt;="0",MID($N109,2,1)&lt;="9"),MID($N109,2,1)=".")),1,IF(NOT(OR(AND(MID($N109,3,1)&gt;="0",MID($N109,3,1)&lt;="9"),MID($N109,3,1)=".")),2,IF(NOT(OR(AND(MID($N109,4,1)&gt;="0",MID($N109,4,1)&lt;="9"),MID($N109,4,1)=".")),3,IF(NOT(OR(AND(MID($N109,5,1)&gt;="0",MID($N109,5,1)&lt;="9"),MID($N109,5,1)=".")),4,IF(NOT(OR(AND(MID($N109,6,1)&gt;="0",MID($N109,6,1)&lt;="9"),MID($N109,6,1)=".")),5,6)))))))),0)))</f>
        <v>0</v>
      </c>
      <c r="P109" s="223">
        <f>IF(AND($M109&gt;0,$O109&gt;0),$O109/$M109-1,0)</f>
        <v>0</v>
      </c>
      <c r="Q109" s="220">
        <f>IF($B109="","",TRIM('Master Data-2026'!L105))</f>
      </c>
      <c r="R109" s="220">
        <f>IF($Q109="",0,IF(ISNUMBER(SEARCH("%",$Q109)),0,IFERROR(VALUE(LEFT($Q109,IF(NOT(OR(AND(MID($Q109,1,1)&gt;="0",MID($Q109,1,1)&lt;="9"),MID($Q109,1,1)=".")),0,IF(NOT(OR(AND(MID($Q109,2,1)&gt;="0",MID($Q109,2,1)&lt;="9"),MID($Q109,2,1)=".")),1,IF(NOT(OR(AND(MID($Q109,3,1)&gt;="0",MID($Q109,3,1)&lt;="9"),MID($Q109,3,1)=".")),2,IF(NOT(OR(AND(MID($Q109,4,1)&gt;="0",MID($Q109,4,1)&lt;="9"),MID($Q109,4,1)=".")),3,IF(NOT(OR(AND(MID($Q109,5,1)&gt;="0",MID($Q109,5,1)&lt;="9"),MID($Q109,5,1)=".")),4,IF(NOT(OR(AND(MID($Q109,6,1)&gt;="0",MID($Q109,6,1)&lt;="9"),MID($Q109,6,1)=".")),5,6)))))))),0)))</f>
        <v>0</v>
      </c>
      <c r="S109" s="224">
        <f>IF($Q109="",-1,IF(ISNUMBER(SEARCH("immediate",$Q109)),0,IF(ISNUMBER(SEARCH("month",$Q109)),IF($R109=0,-1,$R109*30),IF(ISNUMBER(SEARCH("day",$Q109)),IF($R109=0,-1,$R109),-1))))</f>
        <v>-1</v>
      </c>
      <c r="T109" s="220">
        <f>IF($B109="","",IF($S109&lt;0,"Not recorded",IF($S109=0,"Immediate",IF($S109&lt;=30,"1-30 days",IF($S109&lt;=60,"31-60 days","60+ days")))))</f>
      </c>
      <c r="U109" s="220">
        <f>IF($B109="","",IFERROR(MATCH($B109,'Submission template'!$D$17:$D$300,0),""))</f>
      </c>
      <c r="V109" s="220">
        <f>IF($U109="","",IFERROR(TRIM(INDEX('Submission template'!$I$17:$I$300,$U109)),""))</f>
      </c>
      <c r="W109" s="225">
        <f>IF($V109="",0,IF(ISNUMBER(SEARCH("%",$V109)),0,IFERROR(VALUE(LEFT($V109,IF(NOT(OR(AND(MID($V109,1,1)&gt;="0",MID($V109,1,1)&lt;="9"),MID($V109,1,1)=".")),0,IF(NOT(OR(AND(MID($V109,2,1)&gt;="0",MID($V109,2,1)&lt;="9"),MID($V109,2,1)=".")),1,IF(NOT(OR(AND(MID($V109,3,1)&gt;="0",MID($V109,3,1)&lt;="9"),MID($V109,3,1)=".")),2,IF(NOT(OR(AND(MID($V109,4,1)&gt;="0",MID($V109,4,1)&lt;="9"),MID($V109,4,1)=".")),3,IF(NOT(OR(AND(MID($V109,5,1)&gt;="0",MID($V109,5,1)&lt;="9"),MID($V109,5,1)=".")),4,IF(NOT(OR(AND(MID($V109,6,1)&gt;="0",MID($V109,6,1)&lt;="9"),MID($V109,6,1)=".")),5,6)))))))),0)))</f>
        <v>0</v>
      </c>
      <c r="X109" s="220">
        <f>IF($U109="","",IFERROR(TRIM(INDEX('Submission template'!$J$17:$J$300,$U109)),""))</f>
      </c>
      <c r="Y109" s="220">
        <f>IF($U109="","",IFERROR(TRIM(INDEX('Submission template'!$K$17:$K$300,$U109)),""))</f>
      </c>
      <c r="Z109" s="220">
        <f>IF($U109="","",IFERROR(TRIM(INDEX('Submission template'!$M$17:$M$300,$U109)),""))</f>
      </c>
      <c r="AA109" s="220">
        <f>IF($U109="","",IFERROR(TRIM(INDEX('Submission template'!$O$17:$O$300,$U109)),""))</f>
      </c>
      <c r="AB109" s="220">
        <f>IF($U109="","",IFERROR(TRIM(INDEX('Submission template'!$S$17:$S$300,$U109)),""))</f>
      </c>
      <c r="AC109" s="220">
        <f>IF($B109="",0,IF($U109="",0,1))</f>
        <v>0</v>
      </c>
      <c r="AD109" s="220">
        <f>IF($B109="",0,IF(OR($H109=TargetLocation,AND($AA109&lt;&gt;"",ISNUMBER(SEARCH(TargetLocation,$AA109)))),1,0))</f>
        <v>0</v>
      </c>
      <c r="AE109" s="220">
        <f>IF($B109="",0,IF(AND(OR(SelRecruiter="All",$C109=SelRecruiter),OR(SelCity="All",$H109=SelCity),OR(SelStage="All",$I109=SelStage),OR(SelRequisition="All",$F109=SelRequisition)),1,0))</f>
        <v>0</v>
      </c>
      <c r="AF109" s="220">
        <f>IF($B109="","",COUNT($AF$5:AF108)+1)</f>
      </c>
      <c r="AG109" s="220">
        <f>IF($C109="","",IF(COUNTIF($C$6:$C109,$C109)=1,COUNT($AG$5:AG108)+1,""))</f>
      </c>
      <c r="AH109" s="220">
        <f>IF($F109="","",IF(COUNTIF($F$6:$F109,$F109)=1,COUNT($AH$5:AH108)+1,""))</f>
      </c>
      <c r="AI109" s="220">
        <f>IF($H109="","",IF(COUNTIF($H$6:$H109,$H109)=1,COUNT($AI$5:AI108)+1,""))</f>
      </c>
      <c r="AJ109" s="220">
        <f>IF(OR($B109="",$J109=0),"",$J109*100000000+IF(ISNUMBER($D109),$D109,0)*1000+(170-$A109))</f>
      </c>
      <c r="AK109" s="220">
        <f>IF(OR($B109="",$W109&lt;=0),"",ROUND($W109*10,0)*100000+(170-$A109))</f>
      </c>
      <c r="AL109" s="220">
        <f>IF(OR($B109="",$P109&lt;=0),"",ROUND($P109*10000,0)*1000+(170-$A109))</f>
      </c>
      <c r="AM109" s="220">
        <f>IF(AND($W109&gt;0,$O109&gt;0),COUNT($AM$5:AM108)+1,"")</f>
      </c>
      <c r="AN109">
        <f>IF($B109="",0,IF($G109="",0,SUMPRODUCT(MAX(ISNUMBER(SEARCH(LocPattern,$G109))*LocIdx))))</f>
        <v>0</v>
      </c>
      <c r="BL109">
        <f>IFERROR(INDEX($B$6:$B$125,MATCH(104,$AF$6:$AF$125,0)),"")</f>
      </c>
    </row>
    <row r="110">
      <c r="A110" s="214" t="n">
        <v>105</v>
      </c>
      <c r="B110" s="214">
        <f>IF(TRIM('Master Data-2026'!D106)="","",TRIM('Master Data-2026'!D106))</f>
      </c>
      <c r="C110" s="214">
        <f>IF($B110="","",TRIM('Master Data-2026'!A106))</f>
      </c>
      <c r="D110" s="215">
        <f>IF($B110="","",IF('Master Data-2026'!B106="","",'Master Data-2026'!B106))</f>
      </c>
      <c r="E110" s="214">
        <f>IF($B110="","",TRIM('Master Data-2026'!C106))</f>
      </c>
      <c r="F110" s="214">
        <f>IF($B110="","",TRIM('Master Data-2026'!G106))</f>
      </c>
      <c r="G110" s="214">
        <f>IF($B110="","",TRIM('Master Data-2026'!F106))</f>
      </c>
      <c r="H110" s="214">
        <f>IF($B110="","",IF($G110="","Not recorded",IF($AN110=0,"Other",INDEX(LocCity,$AN110))))</f>
      </c>
      <c r="I110" s="214">
        <f>IF($B110="","",TRIM('Master Data-2026'!H106))</f>
      </c>
      <c r="J110" s="214">
        <f>IF($B110="",0,IFERROR(INDEX(StageOrderRef,MATCH($I110,StageNameRef,0)),0))</f>
        <v>0</v>
      </c>
      <c r="K110" s="214">
        <f>IF($B110="","",TRIM('Master Data-2026'!I106))</f>
      </c>
      <c r="L110" s="214">
        <f>IF($B110="","",TRIM('Master Data-2026'!J106))</f>
      </c>
      <c r="M110" s="216">
        <f>IF($L110="",0,IF(ISNUMBER(SEARCH("%",$L110)),0,IFERROR(VALUE(LEFT($L110,IF(NOT(OR(AND(MID($L110,1,1)&gt;="0",MID($L110,1,1)&lt;="9"),MID($L110,1,1)=".")),0,IF(NOT(OR(AND(MID($L110,2,1)&gt;="0",MID($L110,2,1)&lt;="9"),MID($L110,2,1)=".")),1,IF(NOT(OR(AND(MID($L110,3,1)&gt;="0",MID($L110,3,1)&lt;="9"),MID($L110,3,1)=".")),2,IF(NOT(OR(AND(MID($L110,4,1)&gt;="0",MID($L110,4,1)&lt;="9"),MID($L110,4,1)=".")),3,IF(NOT(OR(AND(MID($L110,5,1)&gt;="0",MID($L110,5,1)&lt;="9"),MID($L110,5,1)=".")),4,IF(NOT(OR(AND(MID($L110,6,1)&gt;="0",MID($L110,6,1)&lt;="9"),MID($L110,6,1)=".")),5,6)))))))),0)))</f>
        <v>0</v>
      </c>
      <c r="N110" s="214">
        <f>IF($B110="","",TRIM('Master Data-2026'!K106))</f>
      </c>
      <c r="O110" s="216">
        <f>IF($N110="",0,IF(ISNUMBER(SEARCH("%",$N110)),0,IFERROR(VALUE(LEFT($N110,IF(NOT(OR(AND(MID($N110,1,1)&gt;="0",MID($N110,1,1)&lt;="9"),MID($N110,1,1)=".")),0,IF(NOT(OR(AND(MID($N110,2,1)&gt;="0",MID($N110,2,1)&lt;="9"),MID($N110,2,1)=".")),1,IF(NOT(OR(AND(MID($N110,3,1)&gt;="0",MID($N110,3,1)&lt;="9"),MID($N110,3,1)=".")),2,IF(NOT(OR(AND(MID($N110,4,1)&gt;="0",MID($N110,4,1)&lt;="9"),MID($N110,4,1)=".")),3,IF(NOT(OR(AND(MID($N110,5,1)&gt;="0",MID($N110,5,1)&lt;="9"),MID($N110,5,1)=".")),4,IF(NOT(OR(AND(MID($N110,6,1)&gt;="0",MID($N110,6,1)&lt;="9"),MID($N110,6,1)=".")),5,6)))))))),0)))</f>
        <v>0</v>
      </c>
      <c r="P110" s="217">
        <f>IF(AND($M110&gt;0,$O110&gt;0),$O110/$M110-1,0)</f>
        <v>0</v>
      </c>
      <c r="Q110" s="214">
        <f>IF($B110="","",TRIM('Master Data-2026'!L106))</f>
      </c>
      <c r="R110" s="214">
        <f>IF($Q110="",0,IF(ISNUMBER(SEARCH("%",$Q110)),0,IFERROR(VALUE(LEFT($Q110,IF(NOT(OR(AND(MID($Q110,1,1)&gt;="0",MID($Q110,1,1)&lt;="9"),MID($Q110,1,1)=".")),0,IF(NOT(OR(AND(MID($Q110,2,1)&gt;="0",MID($Q110,2,1)&lt;="9"),MID($Q110,2,1)=".")),1,IF(NOT(OR(AND(MID($Q110,3,1)&gt;="0",MID($Q110,3,1)&lt;="9"),MID($Q110,3,1)=".")),2,IF(NOT(OR(AND(MID($Q110,4,1)&gt;="0",MID($Q110,4,1)&lt;="9"),MID($Q110,4,1)=".")),3,IF(NOT(OR(AND(MID($Q110,5,1)&gt;="0",MID($Q110,5,1)&lt;="9"),MID($Q110,5,1)=".")),4,IF(NOT(OR(AND(MID($Q110,6,1)&gt;="0",MID($Q110,6,1)&lt;="9"),MID($Q110,6,1)=".")),5,6)))))))),0)))</f>
        <v>0</v>
      </c>
      <c r="S110" s="218">
        <f>IF($Q110="",-1,IF(ISNUMBER(SEARCH("immediate",$Q110)),0,IF(ISNUMBER(SEARCH("month",$Q110)),IF($R110=0,-1,$R110*30),IF(ISNUMBER(SEARCH("day",$Q110)),IF($R110=0,-1,$R110),-1))))</f>
        <v>-1</v>
      </c>
      <c r="T110" s="214">
        <f>IF($B110="","",IF($S110&lt;0,"Not recorded",IF($S110=0,"Immediate",IF($S110&lt;=30,"1-30 days",IF($S110&lt;=60,"31-60 days","60+ days")))))</f>
      </c>
      <c r="U110" s="214">
        <f>IF($B110="","",IFERROR(MATCH($B110,'Submission template'!$D$17:$D$300,0),""))</f>
      </c>
      <c r="V110" s="214">
        <f>IF($U110="","",IFERROR(TRIM(INDEX('Submission template'!$I$17:$I$300,$U110)),""))</f>
      </c>
      <c r="W110" s="219">
        <f>IF($V110="",0,IF(ISNUMBER(SEARCH("%",$V110)),0,IFERROR(VALUE(LEFT($V110,IF(NOT(OR(AND(MID($V110,1,1)&gt;="0",MID($V110,1,1)&lt;="9"),MID($V110,1,1)=".")),0,IF(NOT(OR(AND(MID($V110,2,1)&gt;="0",MID($V110,2,1)&lt;="9"),MID($V110,2,1)=".")),1,IF(NOT(OR(AND(MID($V110,3,1)&gt;="0",MID($V110,3,1)&lt;="9"),MID($V110,3,1)=".")),2,IF(NOT(OR(AND(MID($V110,4,1)&gt;="0",MID($V110,4,1)&lt;="9"),MID($V110,4,1)=".")),3,IF(NOT(OR(AND(MID($V110,5,1)&gt;="0",MID($V110,5,1)&lt;="9"),MID($V110,5,1)=".")),4,IF(NOT(OR(AND(MID($V110,6,1)&gt;="0",MID($V110,6,1)&lt;="9"),MID($V110,6,1)=".")),5,6)))))))),0)))</f>
        <v>0</v>
      </c>
      <c r="X110" s="214">
        <f>IF($U110="","",IFERROR(TRIM(INDEX('Submission template'!$J$17:$J$300,$U110)),""))</f>
      </c>
      <c r="Y110" s="214">
        <f>IF($U110="","",IFERROR(TRIM(INDEX('Submission template'!$K$17:$K$300,$U110)),""))</f>
      </c>
      <c r="Z110" s="214">
        <f>IF($U110="","",IFERROR(TRIM(INDEX('Submission template'!$M$17:$M$300,$U110)),""))</f>
      </c>
      <c r="AA110" s="214">
        <f>IF($U110="","",IFERROR(TRIM(INDEX('Submission template'!$O$17:$O$300,$U110)),""))</f>
      </c>
      <c r="AB110" s="214">
        <f>IF($U110="","",IFERROR(TRIM(INDEX('Submission template'!$S$17:$S$300,$U110)),""))</f>
      </c>
      <c r="AC110" s="214">
        <f>IF($B110="",0,IF($U110="",0,1))</f>
        <v>0</v>
      </c>
      <c r="AD110" s="214">
        <f>IF($B110="",0,IF(OR($H110=TargetLocation,AND($AA110&lt;&gt;"",ISNUMBER(SEARCH(TargetLocation,$AA110)))),1,0))</f>
        <v>0</v>
      </c>
      <c r="AE110" s="214">
        <f>IF($B110="",0,IF(AND(OR(SelRecruiter="All",$C110=SelRecruiter),OR(SelCity="All",$H110=SelCity),OR(SelStage="All",$I110=SelStage),OR(SelRequisition="All",$F110=SelRequisition)),1,0))</f>
        <v>0</v>
      </c>
      <c r="AF110" s="214">
        <f>IF($B110="","",COUNT($AF$5:AF109)+1)</f>
      </c>
      <c r="AG110" s="214">
        <f>IF($C110="","",IF(COUNTIF($C$6:$C110,$C110)=1,COUNT($AG$5:AG109)+1,""))</f>
      </c>
      <c r="AH110" s="214">
        <f>IF($F110="","",IF(COUNTIF($F$6:$F110,$F110)=1,COUNT($AH$5:AH109)+1,""))</f>
      </c>
      <c r="AI110" s="214">
        <f>IF($H110="","",IF(COUNTIF($H$6:$H110,$H110)=1,COUNT($AI$5:AI109)+1,""))</f>
      </c>
      <c r="AJ110" s="214">
        <f>IF(OR($B110="",$J110=0),"",$J110*100000000+IF(ISNUMBER($D110),$D110,0)*1000+(170-$A110))</f>
      </c>
      <c r="AK110" s="214">
        <f>IF(OR($B110="",$W110&lt;=0),"",ROUND($W110*10,0)*100000+(170-$A110))</f>
      </c>
      <c r="AL110" s="214">
        <f>IF(OR($B110="",$P110&lt;=0),"",ROUND($P110*10000,0)*1000+(170-$A110))</f>
      </c>
      <c r="AM110" s="214">
        <f>IF(AND($W110&gt;0,$O110&gt;0),COUNT($AM$5:AM109)+1,"")</f>
      </c>
      <c r="AN110">
        <f>IF($B110="",0,IF($G110="",0,SUMPRODUCT(MAX(ISNUMBER(SEARCH(LocPattern,$G110))*LocIdx))))</f>
        <v>0</v>
      </c>
      <c r="BL110">
        <f>IFERROR(INDEX($B$6:$B$125,MATCH(105,$AF$6:$AF$125,0)),"")</f>
      </c>
    </row>
    <row r="111">
      <c r="A111" s="220" t="n">
        <v>106</v>
      </c>
      <c r="B111" s="220">
        <f>IF(TRIM('Master Data-2026'!D107)="","",TRIM('Master Data-2026'!D107))</f>
      </c>
      <c r="C111" s="220">
        <f>IF($B111="","",TRIM('Master Data-2026'!A107))</f>
      </c>
      <c r="D111" s="221">
        <f>IF($B111="","",IF('Master Data-2026'!B107="","",'Master Data-2026'!B107))</f>
      </c>
      <c r="E111" s="220">
        <f>IF($B111="","",TRIM('Master Data-2026'!C107))</f>
      </c>
      <c r="F111" s="220">
        <f>IF($B111="","",TRIM('Master Data-2026'!G107))</f>
      </c>
      <c r="G111" s="220">
        <f>IF($B111="","",TRIM('Master Data-2026'!F107))</f>
      </c>
      <c r="H111" s="220">
        <f>IF($B111="","",IF($G111="","Not recorded",IF($AN111=0,"Other",INDEX(LocCity,$AN111))))</f>
      </c>
      <c r="I111" s="220">
        <f>IF($B111="","",TRIM('Master Data-2026'!H107))</f>
      </c>
      <c r="J111" s="220">
        <f>IF($B111="",0,IFERROR(INDEX(StageOrderRef,MATCH($I111,StageNameRef,0)),0))</f>
        <v>0</v>
      </c>
      <c r="K111" s="220">
        <f>IF($B111="","",TRIM('Master Data-2026'!I107))</f>
      </c>
      <c r="L111" s="220">
        <f>IF($B111="","",TRIM('Master Data-2026'!J107))</f>
      </c>
      <c r="M111" s="222">
        <f>IF($L111="",0,IF(ISNUMBER(SEARCH("%",$L111)),0,IFERROR(VALUE(LEFT($L111,IF(NOT(OR(AND(MID($L111,1,1)&gt;="0",MID($L111,1,1)&lt;="9"),MID($L111,1,1)=".")),0,IF(NOT(OR(AND(MID($L111,2,1)&gt;="0",MID($L111,2,1)&lt;="9"),MID($L111,2,1)=".")),1,IF(NOT(OR(AND(MID($L111,3,1)&gt;="0",MID($L111,3,1)&lt;="9"),MID($L111,3,1)=".")),2,IF(NOT(OR(AND(MID($L111,4,1)&gt;="0",MID($L111,4,1)&lt;="9"),MID($L111,4,1)=".")),3,IF(NOT(OR(AND(MID($L111,5,1)&gt;="0",MID($L111,5,1)&lt;="9"),MID($L111,5,1)=".")),4,IF(NOT(OR(AND(MID($L111,6,1)&gt;="0",MID($L111,6,1)&lt;="9"),MID($L111,6,1)=".")),5,6)))))))),0)))</f>
        <v>0</v>
      </c>
      <c r="N111" s="220">
        <f>IF($B111="","",TRIM('Master Data-2026'!K107))</f>
      </c>
      <c r="O111" s="222">
        <f>IF($N111="",0,IF(ISNUMBER(SEARCH("%",$N111)),0,IFERROR(VALUE(LEFT($N111,IF(NOT(OR(AND(MID($N111,1,1)&gt;="0",MID($N111,1,1)&lt;="9"),MID($N111,1,1)=".")),0,IF(NOT(OR(AND(MID($N111,2,1)&gt;="0",MID($N111,2,1)&lt;="9"),MID($N111,2,1)=".")),1,IF(NOT(OR(AND(MID($N111,3,1)&gt;="0",MID($N111,3,1)&lt;="9"),MID($N111,3,1)=".")),2,IF(NOT(OR(AND(MID($N111,4,1)&gt;="0",MID($N111,4,1)&lt;="9"),MID($N111,4,1)=".")),3,IF(NOT(OR(AND(MID($N111,5,1)&gt;="0",MID($N111,5,1)&lt;="9"),MID($N111,5,1)=".")),4,IF(NOT(OR(AND(MID($N111,6,1)&gt;="0",MID($N111,6,1)&lt;="9"),MID($N111,6,1)=".")),5,6)))))))),0)))</f>
        <v>0</v>
      </c>
      <c r="P111" s="223">
        <f>IF(AND($M111&gt;0,$O111&gt;0),$O111/$M111-1,0)</f>
        <v>0</v>
      </c>
      <c r="Q111" s="220">
        <f>IF($B111="","",TRIM('Master Data-2026'!L107))</f>
      </c>
      <c r="R111" s="220">
        <f>IF($Q111="",0,IF(ISNUMBER(SEARCH("%",$Q111)),0,IFERROR(VALUE(LEFT($Q111,IF(NOT(OR(AND(MID($Q111,1,1)&gt;="0",MID($Q111,1,1)&lt;="9"),MID($Q111,1,1)=".")),0,IF(NOT(OR(AND(MID($Q111,2,1)&gt;="0",MID($Q111,2,1)&lt;="9"),MID($Q111,2,1)=".")),1,IF(NOT(OR(AND(MID($Q111,3,1)&gt;="0",MID($Q111,3,1)&lt;="9"),MID($Q111,3,1)=".")),2,IF(NOT(OR(AND(MID($Q111,4,1)&gt;="0",MID($Q111,4,1)&lt;="9"),MID($Q111,4,1)=".")),3,IF(NOT(OR(AND(MID($Q111,5,1)&gt;="0",MID($Q111,5,1)&lt;="9"),MID($Q111,5,1)=".")),4,IF(NOT(OR(AND(MID($Q111,6,1)&gt;="0",MID($Q111,6,1)&lt;="9"),MID($Q111,6,1)=".")),5,6)))))))),0)))</f>
        <v>0</v>
      </c>
      <c r="S111" s="224">
        <f>IF($Q111="",-1,IF(ISNUMBER(SEARCH("immediate",$Q111)),0,IF(ISNUMBER(SEARCH("month",$Q111)),IF($R111=0,-1,$R111*30),IF(ISNUMBER(SEARCH("day",$Q111)),IF($R111=0,-1,$R111),-1))))</f>
        <v>-1</v>
      </c>
      <c r="T111" s="220">
        <f>IF($B111="","",IF($S111&lt;0,"Not recorded",IF($S111=0,"Immediate",IF($S111&lt;=30,"1-30 days",IF($S111&lt;=60,"31-60 days","60+ days")))))</f>
      </c>
      <c r="U111" s="220">
        <f>IF($B111="","",IFERROR(MATCH($B111,'Submission template'!$D$17:$D$300,0),""))</f>
      </c>
      <c r="V111" s="220">
        <f>IF($U111="","",IFERROR(TRIM(INDEX('Submission template'!$I$17:$I$300,$U111)),""))</f>
      </c>
      <c r="W111" s="225">
        <f>IF($V111="",0,IF(ISNUMBER(SEARCH("%",$V111)),0,IFERROR(VALUE(LEFT($V111,IF(NOT(OR(AND(MID($V111,1,1)&gt;="0",MID($V111,1,1)&lt;="9"),MID($V111,1,1)=".")),0,IF(NOT(OR(AND(MID($V111,2,1)&gt;="0",MID($V111,2,1)&lt;="9"),MID($V111,2,1)=".")),1,IF(NOT(OR(AND(MID($V111,3,1)&gt;="0",MID($V111,3,1)&lt;="9"),MID($V111,3,1)=".")),2,IF(NOT(OR(AND(MID($V111,4,1)&gt;="0",MID($V111,4,1)&lt;="9"),MID($V111,4,1)=".")),3,IF(NOT(OR(AND(MID($V111,5,1)&gt;="0",MID($V111,5,1)&lt;="9"),MID($V111,5,1)=".")),4,IF(NOT(OR(AND(MID($V111,6,1)&gt;="0",MID($V111,6,1)&lt;="9"),MID($V111,6,1)=".")),5,6)))))))),0)))</f>
        <v>0</v>
      </c>
      <c r="X111" s="220">
        <f>IF($U111="","",IFERROR(TRIM(INDEX('Submission template'!$J$17:$J$300,$U111)),""))</f>
      </c>
      <c r="Y111" s="220">
        <f>IF($U111="","",IFERROR(TRIM(INDEX('Submission template'!$K$17:$K$300,$U111)),""))</f>
      </c>
      <c r="Z111" s="220">
        <f>IF($U111="","",IFERROR(TRIM(INDEX('Submission template'!$M$17:$M$300,$U111)),""))</f>
      </c>
      <c r="AA111" s="220">
        <f>IF($U111="","",IFERROR(TRIM(INDEX('Submission template'!$O$17:$O$300,$U111)),""))</f>
      </c>
      <c r="AB111" s="220">
        <f>IF($U111="","",IFERROR(TRIM(INDEX('Submission template'!$S$17:$S$300,$U111)),""))</f>
      </c>
      <c r="AC111" s="220">
        <f>IF($B111="",0,IF($U111="",0,1))</f>
        <v>0</v>
      </c>
      <c r="AD111" s="220">
        <f>IF($B111="",0,IF(OR($H111=TargetLocation,AND($AA111&lt;&gt;"",ISNUMBER(SEARCH(TargetLocation,$AA111)))),1,0))</f>
        <v>0</v>
      </c>
      <c r="AE111" s="220">
        <f>IF($B111="",0,IF(AND(OR(SelRecruiter="All",$C111=SelRecruiter),OR(SelCity="All",$H111=SelCity),OR(SelStage="All",$I111=SelStage),OR(SelRequisition="All",$F111=SelRequisition)),1,0))</f>
        <v>0</v>
      </c>
      <c r="AF111" s="220">
        <f>IF($B111="","",COUNT($AF$5:AF110)+1)</f>
      </c>
      <c r="AG111" s="220">
        <f>IF($C111="","",IF(COUNTIF($C$6:$C111,$C111)=1,COUNT($AG$5:AG110)+1,""))</f>
      </c>
      <c r="AH111" s="220">
        <f>IF($F111="","",IF(COUNTIF($F$6:$F111,$F111)=1,COUNT($AH$5:AH110)+1,""))</f>
      </c>
      <c r="AI111" s="220">
        <f>IF($H111="","",IF(COUNTIF($H$6:$H111,$H111)=1,COUNT($AI$5:AI110)+1,""))</f>
      </c>
      <c r="AJ111" s="220">
        <f>IF(OR($B111="",$J111=0),"",$J111*100000000+IF(ISNUMBER($D111),$D111,0)*1000+(170-$A111))</f>
      </c>
      <c r="AK111" s="220">
        <f>IF(OR($B111="",$W111&lt;=0),"",ROUND($W111*10,0)*100000+(170-$A111))</f>
      </c>
      <c r="AL111" s="220">
        <f>IF(OR($B111="",$P111&lt;=0),"",ROUND($P111*10000,0)*1000+(170-$A111))</f>
      </c>
      <c r="AM111" s="220">
        <f>IF(AND($W111&gt;0,$O111&gt;0),COUNT($AM$5:AM110)+1,"")</f>
      </c>
      <c r="AN111">
        <f>IF($B111="",0,IF($G111="",0,SUMPRODUCT(MAX(ISNUMBER(SEARCH(LocPattern,$G111))*LocIdx))))</f>
        <v>0</v>
      </c>
      <c r="BL111">
        <f>IFERROR(INDEX($B$6:$B$125,MATCH(106,$AF$6:$AF$125,0)),"")</f>
      </c>
    </row>
    <row r="112">
      <c r="A112" s="214" t="n">
        <v>107</v>
      </c>
      <c r="B112" s="214">
        <f>IF(TRIM('Master Data-2026'!D108)="","",TRIM('Master Data-2026'!D108))</f>
      </c>
      <c r="C112" s="214">
        <f>IF($B112="","",TRIM('Master Data-2026'!A108))</f>
      </c>
      <c r="D112" s="215">
        <f>IF($B112="","",IF('Master Data-2026'!B108="","",'Master Data-2026'!B108))</f>
      </c>
      <c r="E112" s="214">
        <f>IF($B112="","",TRIM('Master Data-2026'!C108))</f>
      </c>
      <c r="F112" s="214">
        <f>IF($B112="","",TRIM('Master Data-2026'!G108))</f>
      </c>
      <c r="G112" s="214">
        <f>IF($B112="","",TRIM('Master Data-2026'!F108))</f>
      </c>
      <c r="H112" s="214">
        <f>IF($B112="","",IF($G112="","Not recorded",IF($AN112=0,"Other",INDEX(LocCity,$AN112))))</f>
      </c>
      <c r="I112" s="214">
        <f>IF($B112="","",TRIM('Master Data-2026'!H108))</f>
      </c>
      <c r="J112" s="214">
        <f>IF($B112="",0,IFERROR(INDEX(StageOrderRef,MATCH($I112,StageNameRef,0)),0))</f>
        <v>0</v>
      </c>
      <c r="K112" s="214">
        <f>IF($B112="","",TRIM('Master Data-2026'!I108))</f>
      </c>
      <c r="L112" s="214">
        <f>IF($B112="","",TRIM('Master Data-2026'!J108))</f>
      </c>
      <c r="M112" s="216">
        <f>IF($L112="",0,IF(ISNUMBER(SEARCH("%",$L112)),0,IFERROR(VALUE(LEFT($L112,IF(NOT(OR(AND(MID($L112,1,1)&gt;="0",MID($L112,1,1)&lt;="9"),MID($L112,1,1)=".")),0,IF(NOT(OR(AND(MID($L112,2,1)&gt;="0",MID($L112,2,1)&lt;="9"),MID($L112,2,1)=".")),1,IF(NOT(OR(AND(MID($L112,3,1)&gt;="0",MID($L112,3,1)&lt;="9"),MID($L112,3,1)=".")),2,IF(NOT(OR(AND(MID($L112,4,1)&gt;="0",MID($L112,4,1)&lt;="9"),MID($L112,4,1)=".")),3,IF(NOT(OR(AND(MID($L112,5,1)&gt;="0",MID($L112,5,1)&lt;="9"),MID($L112,5,1)=".")),4,IF(NOT(OR(AND(MID($L112,6,1)&gt;="0",MID($L112,6,1)&lt;="9"),MID($L112,6,1)=".")),5,6)))))))),0)))</f>
        <v>0</v>
      </c>
      <c r="N112" s="214">
        <f>IF($B112="","",TRIM('Master Data-2026'!K108))</f>
      </c>
      <c r="O112" s="216">
        <f>IF($N112="",0,IF(ISNUMBER(SEARCH("%",$N112)),0,IFERROR(VALUE(LEFT($N112,IF(NOT(OR(AND(MID($N112,1,1)&gt;="0",MID($N112,1,1)&lt;="9"),MID($N112,1,1)=".")),0,IF(NOT(OR(AND(MID($N112,2,1)&gt;="0",MID($N112,2,1)&lt;="9"),MID($N112,2,1)=".")),1,IF(NOT(OR(AND(MID($N112,3,1)&gt;="0",MID($N112,3,1)&lt;="9"),MID($N112,3,1)=".")),2,IF(NOT(OR(AND(MID($N112,4,1)&gt;="0",MID($N112,4,1)&lt;="9"),MID($N112,4,1)=".")),3,IF(NOT(OR(AND(MID($N112,5,1)&gt;="0",MID($N112,5,1)&lt;="9"),MID($N112,5,1)=".")),4,IF(NOT(OR(AND(MID($N112,6,1)&gt;="0",MID($N112,6,1)&lt;="9"),MID($N112,6,1)=".")),5,6)))))))),0)))</f>
        <v>0</v>
      </c>
      <c r="P112" s="217">
        <f>IF(AND($M112&gt;0,$O112&gt;0),$O112/$M112-1,0)</f>
        <v>0</v>
      </c>
      <c r="Q112" s="214">
        <f>IF($B112="","",TRIM('Master Data-2026'!L108))</f>
      </c>
      <c r="R112" s="214">
        <f>IF($Q112="",0,IF(ISNUMBER(SEARCH("%",$Q112)),0,IFERROR(VALUE(LEFT($Q112,IF(NOT(OR(AND(MID($Q112,1,1)&gt;="0",MID($Q112,1,1)&lt;="9"),MID($Q112,1,1)=".")),0,IF(NOT(OR(AND(MID($Q112,2,1)&gt;="0",MID($Q112,2,1)&lt;="9"),MID($Q112,2,1)=".")),1,IF(NOT(OR(AND(MID($Q112,3,1)&gt;="0",MID($Q112,3,1)&lt;="9"),MID($Q112,3,1)=".")),2,IF(NOT(OR(AND(MID($Q112,4,1)&gt;="0",MID($Q112,4,1)&lt;="9"),MID($Q112,4,1)=".")),3,IF(NOT(OR(AND(MID($Q112,5,1)&gt;="0",MID($Q112,5,1)&lt;="9"),MID($Q112,5,1)=".")),4,IF(NOT(OR(AND(MID($Q112,6,1)&gt;="0",MID($Q112,6,1)&lt;="9"),MID($Q112,6,1)=".")),5,6)))))))),0)))</f>
        <v>0</v>
      </c>
      <c r="S112" s="218">
        <f>IF($Q112="",-1,IF(ISNUMBER(SEARCH("immediate",$Q112)),0,IF(ISNUMBER(SEARCH("month",$Q112)),IF($R112=0,-1,$R112*30),IF(ISNUMBER(SEARCH("day",$Q112)),IF($R112=0,-1,$R112),-1))))</f>
        <v>-1</v>
      </c>
      <c r="T112" s="214">
        <f>IF($B112="","",IF($S112&lt;0,"Not recorded",IF($S112=0,"Immediate",IF($S112&lt;=30,"1-30 days",IF($S112&lt;=60,"31-60 days","60+ days")))))</f>
      </c>
      <c r="U112" s="214">
        <f>IF($B112="","",IFERROR(MATCH($B112,'Submission template'!$D$17:$D$300,0),""))</f>
      </c>
      <c r="V112" s="214">
        <f>IF($U112="","",IFERROR(TRIM(INDEX('Submission template'!$I$17:$I$300,$U112)),""))</f>
      </c>
      <c r="W112" s="219">
        <f>IF($V112="",0,IF(ISNUMBER(SEARCH("%",$V112)),0,IFERROR(VALUE(LEFT($V112,IF(NOT(OR(AND(MID($V112,1,1)&gt;="0",MID($V112,1,1)&lt;="9"),MID($V112,1,1)=".")),0,IF(NOT(OR(AND(MID($V112,2,1)&gt;="0",MID($V112,2,1)&lt;="9"),MID($V112,2,1)=".")),1,IF(NOT(OR(AND(MID($V112,3,1)&gt;="0",MID($V112,3,1)&lt;="9"),MID($V112,3,1)=".")),2,IF(NOT(OR(AND(MID($V112,4,1)&gt;="0",MID($V112,4,1)&lt;="9"),MID($V112,4,1)=".")),3,IF(NOT(OR(AND(MID($V112,5,1)&gt;="0",MID($V112,5,1)&lt;="9"),MID($V112,5,1)=".")),4,IF(NOT(OR(AND(MID($V112,6,1)&gt;="0",MID($V112,6,1)&lt;="9"),MID($V112,6,1)=".")),5,6)))))))),0)))</f>
        <v>0</v>
      </c>
      <c r="X112" s="214">
        <f>IF($U112="","",IFERROR(TRIM(INDEX('Submission template'!$J$17:$J$300,$U112)),""))</f>
      </c>
      <c r="Y112" s="214">
        <f>IF($U112="","",IFERROR(TRIM(INDEX('Submission template'!$K$17:$K$300,$U112)),""))</f>
      </c>
      <c r="Z112" s="214">
        <f>IF($U112="","",IFERROR(TRIM(INDEX('Submission template'!$M$17:$M$300,$U112)),""))</f>
      </c>
      <c r="AA112" s="214">
        <f>IF($U112="","",IFERROR(TRIM(INDEX('Submission template'!$O$17:$O$300,$U112)),""))</f>
      </c>
      <c r="AB112" s="214">
        <f>IF($U112="","",IFERROR(TRIM(INDEX('Submission template'!$S$17:$S$300,$U112)),""))</f>
      </c>
      <c r="AC112" s="214">
        <f>IF($B112="",0,IF($U112="",0,1))</f>
        <v>0</v>
      </c>
      <c r="AD112" s="214">
        <f>IF($B112="",0,IF(OR($H112=TargetLocation,AND($AA112&lt;&gt;"",ISNUMBER(SEARCH(TargetLocation,$AA112)))),1,0))</f>
        <v>0</v>
      </c>
      <c r="AE112" s="214">
        <f>IF($B112="",0,IF(AND(OR(SelRecruiter="All",$C112=SelRecruiter),OR(SelCity="All",$H112=SelCity),OR(SelStage="All",$I112=SelStage),OR(SelRequisition="All",$F112=SelRequisition)),1,0))</f>
        <v>0</v>
      </c>
      <c r="AF112" s="214">
        <f>IF($B112="","",COUNT($AF$5:AF111)+1)</f>
      </c>
      <c r="AG112" s="214">
        <f>IF($C112="","",IF(COUNTIF($C$6:$C112,$C112)=1,COUNT($AG$5:AG111)+1,""))</f>
      </c>
      <c r="AH112" s="214">
        <f>IF($F112="","",IF(COUNTIF($F$6:$F112,$F112)=1,COUNT($AH$5:AH111)+1,""))</f>
      </c>
      <c r="AI112" s="214">
        <f>IF($H112="","",IF(COUNTIF($H$6:$H112,$H112)=1,COUNT($AI$5:AI111)+1,""))</f>
      </c>
      <c r="AJ112" s="214">
        <f>IF(OR($B112="",$J112=0),"",$J112*100000000+IF(ISNUMBER($D112),$D112,0)*1000+(170-$A112))</f>
      </c>
      <c r="AK112" s="214">
        <f>IF(OR($B112="",$W112&lt;=0),"",ROUND($W112*10,0)*100000+(170-$A112))</f>
      </c>
      <c r="AL112" s="214">
        <f>IF(OR($B112="",$P112&lt;=0),"",ROUND($P112*10000,0)*1000+(170-$A112))</f>
      </c>
      <c r="AM112" s="214">
        <f>IF(AND($W112&gt;0,$O112&gt;0),COUNT($AM$5:AM111)+1,"")</f>
      </c>
      <c r="AN112">
        <f>IF($B112="",0,IF($G112="",0,SUMPRODUCT(MAX(ISNUMBER(SEARCH(LocPattern,$G112))*LocIdx))))</f>
        <v>0</v>
      </c>
      <c r="BL112">
        <f>IFERROR(INDEX($B$6:$B$125,MATCH(107,$AF$6:$AF$125,0)),"")</f>
      </c>
    </row>
    <row r="113">
      <c r="A113" s="220" t="n">
        <v>108</v>
      </c>
      <c r="B113" s="220">
        <f>IF(TRIM('Master Data-2026'!D109)="","",TRIM('Master Data-2026'!D109))</f>
      </c>
      <c r="C113" s="220">
        <f>IF($B113="","",TRIM('Master Data-2026'!A109))</f>
      </c>
      <c r="D113" s="221">
        <f>IF($B113="","",IF('Master Data-2026'!B109="","",'Master Data-2026'!B109))</f>
      </c>
      <c r="E113" s="220">
        <f>IF($B113="","",TRIM('Master Data-2026'!C109))</f>
      </c>
      <c r="F113" s="220">
        <f>IF($B113="","",TRIM('Master Data-2026'!G109))</f>
      </c>
      <c r="G113" s="220">
        <f>IF($B113="","",TRIM('Master Data-2026'!F109))</f>
      </c>
      <c r="H113" s="220">
        <f>IF($B113="","",IF($G113="","Not recorded",IF($AN113=0,"Other",INDEX(LocCity,$AN113))))</f>
      </c>
      <c r="I113" s="220">
        <f>IF($B113="","",TRIM('Master Data-2026'!H109))</f>
      </c>
      <c r="J113" s="220">
        <f>IF($B113="",0,IFERROR(INDEX(StageOrderRef,MATCH($I113,StageNameRef,0)),0))</f>
        <v>0</v>
      </c>
      <c r="K113" s="220">
        <f>IF($B113="","",TRIM('Master Data-2026'!I109))</f>
      </c>
      <c r="L113" s="220">
        <f>IF($B113="","",TRIM('Master Data-2026'!J109))</f>
      </c>
      <c r="M113" s="222">
        <f>IF($L113="",0,IF(ISNUMBER(SEARCH("%",$L113)),0,IFERROR(VALUE(LEFT($L113,IF(NOT(OR(AND(MID($L113,1,1)&gt;="0",MID($L113,1,1)&lt;="9"),MID($L113,1,1)=".")),0,IF(NOT(OR(AND(MID($L113,2,1)&gt;="0",MID($L113,2,1)&lt;="9"),MID($L113,2,1)=".")),1,IF(NOT(OR(AND(MID($L113,3,1)&gt;="0",MID($L113,3,1)&lt;="9"),MID($L113,3,1)=".")),2,IF(NOT(OR(AND(MID($L113,4,1)&gt;="0",MID($L113,4,1)&lt;="9"),MID($L113,4,1)=".")),3,IF(NOT(OR(AND(MID($L113,5,1)&gt;="0",MID($L113,5,1)&lt;="9"),MID($L113,5,1)=".")),4,IF(NOT(OR(AND(MID($L113,6,1)&gt;="0",MID($L113,6,1)&lt;="9"),MID($L113,6,1)=".")),5,6)))))))),0)))</f>
        <v>0</v>
      </c>
      <c r="N113" s="220">
        <f>IF($B113="","",TRIM('Master Data-2026'!K109))</f>
      </c>
      <c r="O113" s="222">
        <f>IF($N113="",0,IF(ISNUMBER(SEARCH("%",$N113)),0,IFERROR(VALUE(LEFT($N113,IF(NOT(OR(AND(MID($N113,1,1)&gt;="0",MID($N113,1,1)&lt;="9"),MID($N113,1,1)=".")),0,IF(NOT(OR(AND(MID($N113,2,1)&gt;="0",MID($N113,2,1)&lt;="9"),MID($N113,2,1)=".")),1,IF(NOT(OR(AND(MID($N113,3,1)&gt;="0",MID($N113,3,1)&lt;="9"),MID($N113,3,1)=".")),2,IF(NOT(OR(AND(MID($N113,4,1)&gt;="0",MID($N113,4,1)&lt;="9"),MID($N113,4,1)=".")),3,IF(NOT(OR(AND(MID($N113,5,1)&gt;="0",MID($N113,5,1)&lt;="9"),MID($N113,5,1)=".")),4,IF(NOT(OR(AND(MID($N113,6,1)&gt;="0",MID($N113,6,1)&lt;="9"),MID($N113,6,1)=".")),5,6)))))))),0)))</f>
        <v>0</v>
      </c>
      <c r="P113" s="223">
        <f>IF(AND($M113&gt;0,$O113&gt;0),$O113/$M113-1,0)</f>
        <v>0</v>
      </c>
      <c r="Q113" s="220">
        <f>IF($B113="","",TRIM('Master Data-2026'!L109))</f>
      </c>
      <c r="R113" s="220">
        <f>IF($Q113="",0,IF(ISNUMBER(SEARCH("%",$Q113)),0,IFERROR(VALUE(LEFT($Q113,IF(NOT(OR(AND(MID($Q113,1,1)&gt;="0",MID($Q113,1,1)&lt;="9"),MID($Q113,1,1)=".")),0,IF(NOT(OR(AND(MID($Q113,2,1)&gt;="0",MID($Q113,2,1)&lt;="9"),MID($Q113,2,1)=".")),1,IF(NOT(OR(AND(MID($Q113,3,1)&gt;="0",MID($Q113,3,1)&lt;="9"),MID($Q113,3,1)=".")),2,IF(NOT(OR(AND(MID($Q113,4,1)&gt;="0",MID($Q113,4,1)&lt;="9"),MID($Q113,4,1)=".")),3,IF(NOT(OR(AND(MID($Q113,5,1)&gt;="0",MID($Q113,5,1)&lt;="9"),MID($Q113,5,1)=".")),4,IF(NOT(OR(AND(MID($Q113,6,1)&gt;="0",MID($Q113,6,1)&lt;="9"),MID($Q113,6,1)=".")),5,6)))))))),0)))</f>
        <v>0</v>
      </c>
      <c r="S113" s="224">
        <f>IF($Q113="",-1,IF(ISNUMBER(SEARCH("immediate",$Q113)),0,IF(ISNUMBER(SEARCH("month",$Q113)),IF($R113=0,-1,$R113*30),IF(ISNUMBER(SEARCH("day",$Q113)),IF($R113=0,-1,$R113),-1))))</f>
        <v>-1</v>
      </c>
      <c r="T113" s="220">
        <f>IF($B113="","",IF($S113&lt;0,"Not recorded",IF($S113=0,"Immediate",IF($S113&lt;=30,"1-30 days",IF($S113&lt;=60,"31-60 days","60+ days")))))</f>
      </c>
      <c r="U113" s="220">
        <f>IF($B113="","",IFERROR(MATCH($B113,'Submission template'!$D$17:$D$300,0),""))</f>
      </c>
      <c r="V113" s="220">
        <f>IF($U113="","",IFERROR(TRIM(INDEX('Submission template'!$I$17:$I$300,$U113)),""))</f>
      </c>
      <c r="W113" s="225">
        <f>IF($V113="",0,IF(ISNUMBER(SEARCH("%",$V113)),0,IFERROR(VALUE(LEFT($V113,IF(NOT(OR(AND(MID($V113,1,1)&gt;="0",MID($V113,1,1)&lt;="9"),MID($V113,1,1)=".")),0,IF(NOT(OR(AND(MID($V113,2,1)&gt;="0",MID($V113,2,1)&lt;="9"),MID($V113,2,1)=".")),1,IF(NOT(OR(AND(MID($V113,3,1)&gt;="0",MID($V113,3,1)&lt;="9"),MID($V113,3,1)=".")),2,IF(NOT(OR(AND(MID($V113,4,1)&gt;="0",MID($V113,4,1)&lt;="9"),MID($V113,4,1)=".")),3,IF(NOT(OR(AND(MID($V113,5,1)&gt;="0",MID($V113,5,1)&lt;="9"),MID($V113,5,1)=".")),4,IF(NOT(OR(AND(MID($V113,6,1)&gt;="0",MID($V113,6,1)&lt;="9"),MID($V113,6,1)=".")),5,6)))))))),0)))</f>
        <v>0</v>
      </c>
      <c r="X113" s="220">
        <f>IF($U113="","",IFERROR(TRIM(INDEX('Submission template'!$J$17:$J$300,$U113)),""))</f>
      </c>
      <c r="Y113" s="220">
        <f>IF($U113="","",IFERROR(TRIM(INDEX('Submission template'!$K$17:$K$300,$U113)),""))</f>
      </c>
      <c r="Z113" s="220">
        <f>IF($U113="","",IFERROR(TRIM(INDEX('Submission template'!$M$17:$M$300,$U113)),""))</f>
      </c>
      <c r="AA113" s="220">
        <f>IF($U113="","",IFERROR(TRIM(INDEX('Submission template'!$O$17:$O$300,$U113)),""))</f>
      </c>
      <c r="AB113" s="220">
        <f>IF($U113="","",IFERROR(TRIM(INDEX('Submission template'!$S$17:$S$300,$U113)),""))</f>
      </c>
      <c r="AC113" s="220">
        <f>IF($B113="",0,IF($U113="",0,1))</f>
        <v>0</v>
      </c>
      <c r="AD113" s="220">
        <f>IF($B113="",0,IF(OR($H113=TargetLocation,AND($AA113&lt;&gt;"",ISNUMBER(SEARCH(TargetLocation,$AA113)))),1,0))</f>
        <v>0</v>
      </c>
      <c r="AE113" s="220">
        <f>IF($B113="",0,IF(AND(OR(SelRecruiter="All",$C113=SelRecruiter),OR(SelCity="All",$H113=SelCity),OR(SelStage="All",$I113=SelStage),OR(SelRequisition="All",$F113=SelRequisition)),1,0))</f>
        <v>0</v>
      </c>
      <c r="AF113" s="220">
        <f>IF($B113="","",COUNT($AF$5:AF112)+1)</f>
      </c>
      <c r="AG113" s="220">
        <f>IF($C113="","",IF(COUNTIF($C$6:$C113,$C113)=1,COUNT($AG$5:AG112)+1,""))</f>
      </c>
      <c r="AH113" s="220">
        <f>IF($F113="","",IF(COUNTIF($F$6:$F113,$F113)=1,COUNT($AH$5:AH112)+1,""))</f>
      </c>
      <c r="AI113" s="220">
        <f>IF($H113="","",IF(COUNTIF($H$6:$H113,$H113)=1,COUNT($AI$5:AI112)+1,""))</f>
      </c>
      <c r="AJ113" s="220">
        <f>IF(OR($B113="",$J113=0),"",$J113*100000000+IF(ISNUMBER($D113),$D113,0)*1000+(170-$A113))</f>
      </c>
      <c r="AK113" s="220">
        <f>IF(OR($B113="",$W113&lt;=0),"",ROUND($W113*10,0)*100000+(170-$A113))</f>
      </c>
      <c r="AL113" s="220">
        <f>IF(OR($B113="",$P113&lt;=0),"",ROUND($P113*10000,0)*1000+(170-$A113))</f>
      </c>
      <c r="AM113" s="220">
        <f>IF(AND($W113&gt;0,$O113&gt;0),COUNT($AM$5:AM112)+1,"")</f>
      </c>
      <c r="AN113">
        <f>IF($B113="",0,IF($G113="",0,SUMPRODUCT(MAX(ISNUMBER(SEARCH(LocPattern,$G113))*LocIdx))))</f>
        <v>0</v>
      </c>
      <c r="BL113">
        <f>IFERROR(INDEX($B$6:$B$125,MATCH(108,$AF$6:$AF$125,0)),"")</f>
      </c>
    </row>
    <row r="114">
      <c r="A114" s="214" t="n">
        <v>109</v>
      </c>
      <c r="B114" s="214">
        <f>IF(TRIM('Master Data-2026'!D110)="","",TRIM('Master Data-2026'!D110))</f>
      </c>
      <c r="C114" s="214">
        <f>IF($B114="","",TRIM('Master Data-2026'!A110))</f>
      </c>
      <c r="D114" s="215">
        <f>IF($B114="","",IF('Master Data-2026'!B110="","",'Master Data-2026'!B110))</f>
      </c>
      <c r="E114" s="214">
        <f>IF($B114="","",TRIM('Master Data-2026'!C110))</f>
      </c>
      <c r="F114" s="214">
        <f>IF($B114="","",TRIM('Master Data-2026'!G110))</f>
      </c>
      <c r="G114" s="214">
        <f>IF($B114="","",TRIM('Master Data-2026'!F110))</f>
      </c>
      <c r="H114" s="214">
        <f>IF($B114="","",IF($G114="","Not recorded",IF($AN114=0,"Other",INDEX(LocCity,$AN114))))</f>
      </c>
      <c r="I114" s="214">
        <f>IF($B114="","",TRIM('Master Data-2026'!H110))</f>
      </c>
      <c r="J114" s="214">
        <f>IF($B114="",0,IFERROR(INDEX(StageOrderRef,MATCH($I114,StageNameRef,0)),0))</f>
        <v>0</v>
      </c>
      <c r="K114" s="214">
        <f>IF($B114="","",TRIM('Master Data-2026'!I110))</f>
      </c>
      <c r="L114" s="214">
        <f>IF($B114="","",TRIM('Master Data-2026'!J110))</f>
      </c>
      <c r="M114" s="216">
        <f>IF($L114="",0,IF(ISNUMBER(SEARCH("%",$L114)),0,IFERROR(VALUE(LEFT($L114,IF(NOT(OR(AND(MID($L114,1,1)&gt;="0",MID($L114,1,1)&lt;="9"),MID($L114,1,1)=".")),0,IF(NOT(OR(AND(MID($L114,2,1)&gt;="0",MID($L114,2,1)&lt;="9"),MID($L114,2,1)=".")),1,IF(NOT(OR(AND(MID($L114,3,1)&gt;="0",MID($L114,3,1)&lt;="9"),MID($L114,3,1)=".")),2,IF(NOT(OR(AND(MID($L114,4,1)&gt;="0",MID($L114,4,1)&lt;="9"),MID($L114,4,1)=".")),3,IF(NOT(OR(AND(MID($L114,5,1)&gt;="0",MID($L114,5,1)&lt;="9"),MID($L114,5,1)=".")),4,IF(NOT(OR(AND(MID($L114,6,1)&gt;="0",MID($L114,6,1)&lt;="9"),MID($L114,6,1)=".")),5,6)))))))),0)))</f>
        <v>0</v>
      </c>
      <c r="N114" s="214">
        <f>IF($B114="","",TRIM('Master Data-2026'!K110))</f>
      </c>
      <c r="O114" s="216">
        <f>IF($N114="",0,IF(ISNUMBER(SEARCH("%",$N114)),0,IFERROR(VALUE(LEFT($N114,IF(NOT(OR(AND(MID($N114,1,1)&gt;="0",MID($N114,1,1)&lt;="9"),MID($N114,1,1)=".")),0,IF(NOT(OR(AND(MID($N114,2,1)&gt;="0",MID($N114,2,1)&lt;="9"),MID($N114,2,1)=".")),1,IF(NOT(OR(AND(MID($N114,3,1)&gt;="0",MID($N114,3,1)&lt;="9"),MID($N114,3,1)=".")),2,IF(NOT(OR(AND(MID($N114,4,1)&gt;="0",MID($N114,4,1)&lt;="9"),MID($N114,4,1)=".")),3,IF(NOT(OR(AND(MID($N114,5,1)&gt;="0",MID($N114,5,1)&lt;="9"),MID($N114,5,1)=".")),4,IF(NOT(OR(AND(MID($N114,6,1)&gt;="0",MID($N114,6,1)&lt;="9"),MID($N114,6,1)=".")),5,6)))))))),0)))</f>
        <v>0</v>
      </c>
      <c r="P114" s="217">
        <f>IF(AND($M114&gt;0,$O114&gt;0),$O114/$M114-1,0)</f>
        <v>0</v>
      </c>
      <c r="Q114" s="214">
        <f>IF($B114="","",TRIM('Master Data-2026'!L110))</f>
      </c>
      <c r="R114" s="214">
        <f>IF($Q114="",0,IF(ISNUMBER(SEARCH("%",$Q114)),0,IFERROR(VALUE(LEFT($Q114,IF(NOT(OR(AND(MID($Q114,1,1)&gt;="0",MID($Q114,1,1)&lt;="9"),MID($Q114,1,1)=".")),0,IF(NOT(OR(AND(MID($Q114,2,1)&gt;="0",MID($Q114,2,1)&lt;="9"),MID($Q114,2,1)=".")),1,IF(NOT(OR(AND(MID($Q114,3,1)&gt;="0",MID($Q114,3,1)&lt;="9"),MID($Q114,3,1)=".")),2,IF(NOT(OR(AND(MID($Q114,4,1)&gt;="0",MID($Q114,4,1)&lt;="9"),MID($Q114,4,1)=".")),3,IF(NOT(OR(AND(MID($Q114,5,1)&gt;="0",MID($Q114,5,1)&lt;="9"),MID($Q114,5,1)=".")),4,IF(NOT(OR(AND(MID($Q114,6,1)&gt;="0",MID($Q114,6,1)&lt;="9"),MID($Q114,6,1)=".")),5,6)))))))),0)))</f>
        <v>0</v>
      </c>
      <c r="S114" s="218">
        <f>IF($Q114="",-1,IF(ISNUMBER(SEARCH("immediate",$Q114)),0,IF(ISNUMBER(SEARCH("month",$Q114)),IF($R114=0,-1,$R114*30),IF(ISNUMBER(SEARCH("day",$Q114)),IF($R114=0,-1,$R114),-1))))</f>
        <v>-1</v>
      </c>
      <c r="T114" s="214">
        <f>IF($B114="","",IF($S114&lt;0,"Not recorded",IF($S114=0,"Immediate",IF($S114&lt;=30,"1-30 days",IF($S114&lt;=60,"31-60 days","60+ days")))))</f>
      </c>
      <c r="U114" s="214">
        <f>IF($B114="","",IFERROR(MATCH($B114,'Submission template'!$D$17:$D$300,0),""))</f>
      </c>
      <c r="V114" s="214">
        <f>IF($U114="","",IFERROR(TRIM(INDEX('Submission template'!$I$17:$I$300,$U114)),""))</f>
      </c>
      <c r="W114" s="219">
        <f>IF($V114="",0,IF(ISNUMBER(SEARCH("%",$V114)),0,IFERROR(VALUE(LEFT($V114,IF(NOT(OR(AND(MID($V114,1,1)&gt;="0",MID($V114,1,1)&lt;="9"),MID($V114,1,1)=".")),0,IF(NOT(OR(AND(MID($V114,2,1)&gt;="0",MID($V114,2,1)&lt;="9"),MID($V114,2,1)=".")),1,IF(NOT(OR(AND(MID($V114,3,1)&gt;="0",MID($V114,3,1)&lt;="9"),MID($V114,3,1)=".")),2,IF(NOT(OR(AND(MID($V114,4,1)&gt;="0",MID($V114,4,1)&lt;="9"),MID($V114,4,1)=".")),3,IF(NOT(OR(AND(MID($V114,5,1)&gt;="0",MID($V114,5,1)&lt;="9"),MID($V114,5,1)=".")),4,IF(NOT(OR(AND(MID($V114,6,1)&gt;="0",MID($V114,6,1)&lt;="9"),MID($V114,6,1)=".")),5,6)))))))),0)))</f>
        <v>0</v>
      </c>
      <c r="X114" s="214">
        <f>IF($U114="","",IFERROR(TRIM(INDEX('Submission template'!$J$17:$J$300,$U114)),""))</f>
      </c>
      <c r="Y114" s="214">
        <f>IF($U114="","",IFERROR(TRIM(INDEX('Submission template'!$K$17:$K$300,$U114)),""))</f>
      </c>
      <c r="Z114" s="214">
        <f>IF($U114="","",IFERROR(TRIM(INDEX('Submission template'!$M$17:$M$300,$U114)),""))</f>
      </c>
      <c r="AA114" s="214">
        <f>IF($U114="","",IFERROR(TRIM(INDEX('Submission template'!$O$17:$O$300,$U114)),""))</f>
      </c>
      <c r="AB114" s="214">
        <f>IF($U114="","",IFERROR(TRIM(INDEX('Submission template'!$S$17:$S$300,$U114)),""))</f>
      </c>
      <c r="AC114" s="214">
        <f>IF($B114="",0,IF($U114="",0,1))</f>
        <v>0</v>
      </c>
      <c r="AD114" s="214">
        <f>IF($B114="",0,IF(OR($H114=TargetLocation,AND($AA114&lt;&gt;"",ISNUMBER(SEARCH(TargetLocation,$AA114)))),1,0))</f>
        <v>0</v>
      </c>
      <c r="AE114" s="214">
        <f>IF($B114="",0,IF(AND(OR(SelRecruiter="All",$C114=SelRecruiter),OR(SelCity="All",$H114=SelCity),OR(SelStage="All",$I114=SelStage),OR(SelRequisition="All",$F114=SelRequisition)),1,0))</f>
        <v>0</v>
      </c>
      <c r="AF114" s="214">
        <f>IF($B114="","",COUNT($AF$5:AF113)+1)</f>
      </c>
      <c r="AG114" s="214">
        <f>IF($C114="","",IF(COUNTIF($C$6:$C114,$C114)=1,COUNT($AG$5:AG113)+1,""))</f>
      </c>
      <c r="AH114" s="214">
        <f>IF($F114="","",IF(COUNTIF($F$6:$F114,$F114)=1,COUNT($AH$5:AH113)+1,""))</f>
      </c>
      <c r="AI114" s="214">
        <f>IF($H114="","",IF(COUNTIF($H$6:$H114,$H114)=1,COUNT($AI$5:AI113)+1,""))</f>
      </c>
      <c r="AJ114" s="214">
        <f>IF(OR($B114="",$J114=0),"",$J114*100000000+IF(ISNUMBER($D114),$D114,0)*1000+(170-$A114))</f>
      </c>
      <c r="AK114" s="214">
        <f>IF(OR($B114="",$W114&lt;=0),"",ROUND($W114*10,0)*100000+(170-$A114))</f>
      </c>
      <c r="AL114" s="214">
        <f>IF(OR($B114="",$P114&lt;=0),"",ROUND($P114*10000,0)*1000+(170-$A114))</f>
      </c>
      <c r="AM114" s="214">
        <f>IF(AND($W114&gt;0,$O114&gt;0),COUNT($AM$5:AM113)+1,"")</f>
      </c>
      <c r="AN114">
        <f>IF($B114="",0,IF($G114="",0,SUMPRODUCT(MAX(ISNUMBER(SEARCH(LocPattern,$G114))*LocIdx))))</f>
        <v>0</v>
      </c>
      <c r="BL114">
        <f>IFERROR(INDEX($B$6:$B$125,MATCH(109,$AF$6:$AF$125,0)),"")</f>
      </c>
    </row>
    <row r="115">
      <c r="A115" s="220" t="n">
        <v>110</v>
      </c>
      <c r="B115" s="220">
        <f>IF(TRIM('Master Data-2026'!D111)="","",TRIM('Master Data-2026'!D111))</f>
      </c>
      <c r="C115" s="220">
        <f>IF($B115="","",TRIM('Master Data-2026'!A111))</f>
      </c>
      <c r="D115" s="221">
        <f>IF($B115="","",IF('Master Data-2026'!B111="","",'Master Data-2026'!B111))</f>
      </c>
      <c r="E115" s="220">
        <f>IF($B115="","",TRIM('Master Data-2026'!C111))</f>
      </c>
      <c r="F115" s="220">
        <f>IF($B115="","",TRIM('Master Data-2026'!G111))</f>
      </c>
      <c r="G115" s="220">
        <f>IF($B115="","",TRIM('Master Data-2026'!F111))</f>
      </c>
      <c r="H115" s="220">
        <f>IF($B115="","",IF($G115="","Not recorded",IF($AN115=0,"Other",INDEX(LocCity,$AN115))))</f>
      </c>
      <c r="I115" s="220">
        <f>IF($B115="","",TRIM('Master Data-2026'!H111))</f>
      </c>
      <c r="J115" s="220">
        <f>IF($B115="",0,IFERROR(INDEX(StageOrderRef,MATCH($I115,StageNameRef,0)),0))</f>
        <v>0</v>
      </c>
      <c r="K115" s="220">
        <f>IF($B115="","",TRIM('Master Data-2026'!I111))</f>
      </c>
      <c r="L115" s="220">
        <f>IF($B115="","",TRIM('Master Data-2026'!J111))</f>
      </c>
      <c r="M115" s="222">
        <f>IF($L115="",0,IF(ISNUMBER(SEARCH("%",$L115)),0,IFERROR(VALUE(LEFT($L115,IF(NOT(OR(AND(MID($L115,1,1)&gt;="0",MID($L115,1,1)&lt;="9"),MID($L115,1,1)=".")),0,IF(NOT(OR(AND(MID($L115,2,1)&gt;="0",MID($L115,2,1)&lt;="9"),MID($L115,2,1)=".")),1,IF(NOT(OR(AND(MID($L115,3,1)&gt;="0",MID($L115,3,1)&lt;="9"),MID($L115,3,1)=".")),2,IF(NOT(OR(AND(MID($L115,4,1)&gt;="0",MID($L115,4,1)&lt;="9"),MID($L115,4,1)=".")),3,IF(NOT(OR(AND(MID($L115,5,1)&gt;="0",MID($L115,5,1)&lt;="9"),MID($L115,5,1)=".")),4,IF(NOT(OR(AND(MID($L115,6,1)&gt;="0",MID($L115,6,1)&lt;="9"),MID($L115,6,1)=".")),5,6)))))))),0)))</f>
        <v>0</v>
      </c>
      <c r="N115" s="220">
        <f>IF($B115="","",TRIM('Master Data-2026'!K111))</f>
      </c>
      <c r="O115" s="222">
        <f>IF($N115="",0,IF(ISNUMBER(SEARCH("%",$N115)),0,IFERROR(VALUE(LEFT($N115,IF(NOT(OR(AND(MID($N115,1,1)&gt;="0",MID($N115,1,1)&lt;="9"),MID($N115,1,1)=".")),0,IF(NOT(OR(AND(MID($N115,2,1)&gt;="0",MID($N115,2,1)&lt;="9"),MID($N115,2,1)=".")),1,IF(NOT(OR(AND(MID($N115,3,1)&gt;="0",MID($N115,3,1)&lt;="9"),MID($N115,3,1)=".")),2,IF(NOT(OR(AND(MID($N115,4,1)&gt;="0",MID($N115,4,1)&lt;="9"),MID($N115,4,1)=".")),3,IF(NOT(OR(AND(MID($N115,5,1)&gt;="0",MID($N115,5,1)&lt;="9"),MID($N115,5,1)=".")),4,IF(NOT(OR(AND(MID($N115,6,1)&gt;="0",MID($N115,6,1)&lt;="9"),MID($N115,6,1)=".")),5,6)))))))),0)))</f>
        <v>0</v>
      </c>
      <c r="P115" s="223">
        <f>IF(AND($M115&gt;0,$O115&gt;0),$O115/$M115-1,0)</f>
        <v>0</v>
      </c>
      <c r="Q115" s="220">
        <f>IF($B115="","",TRIM('Master Data-2026'!L111))</f>
      </c>
      <c r="R115" s="220">
        <f>IF($Q115="",0,IF(ISNUMBER(SEARCH("%",$Q115)),0,IFERROR(VALUE(LEFT($Q115,IF(NOT(OR(AND(MID($Q115,1,1)&gt;="0",MID($Q115,1,1)&lt;="9"),MID($Q115,1,1)=".")),0,IF(NOT(OR(AND(MID($Q115,2,1)&gt;="0",MID($Q115,2,1)&lt;="9"),MID($Q115,2,1)=".")),1,IF(NOT(OR(AND(MID($Q115,3,1)&gt;="0",MID($Q115,3,1)&lt;="9"),MID($Q115,3,1)=".")),2,IF(NOT(OR(AND(MID($Q115,4,1)&gt;="0",MID($Q115,4,1)&lt;="9"),MID($Q115,4,1)=".")),3,IF(NOT(OR(AND(MID($Q115,5,1)&gt;="0",MID($Q115,5,1)&lt;="9"),MID($Q115,5,1)=".")),4,IF(NOT(OR(AND(MID($Q115,6,1)&gt;="0",MID($Q115,6,1)&lt;="9"),MID($Q115,6,1)=".")),5,6)))))))),0)))</f>
        <v>0</v>
      </c>
      <c r="S115" s="224">
        <f>IF($Q115="",-1,IF(ISNUMBER(SEARCH("immediate",$Q115)),0,IF(ISNUMBER(SEARCH("month",$Q115)),IF($R115=0,-1,$R115*30),IF(ISNUMBER(SEARCH("day",$Q115)),IF($R115=0,-1,$R115),-1))))</f>
        <v>-1</v>
      </c>
      <c r="T115" s="220">
        <f>IF($B115="","",IF($S115&lt;0,"Not recorded",IF($S115=0,"Immediate",IF($S115&lt;=30,"1-30 days",IF($S115&lt;=60,"31-60 days","60+ days")))))</f>
      </c>
      <c r="U115" s="220">
        <f>IF($B115="","",IFERROR(MATCH($B115,'Submission template'!$D$17:$D$300,0),""))</f>
      </c>
      <c r="V115" s="220">
        <f>IF($U115="","",IFERROR(TRIM(INDEX('Submission template'!$I$17:$I$300,$U115)),""))</f>
      </c>
      <c r="W115" s="225">
        <f>IF($V115="",0,IF(ISNUMBER(SEARCH("%",$V115)),0,IFERROR(VALUE(LEFT($V115,IF(NOT(OR(AND(MID($V115,1,1)&gt;="0",MID($V115,1,1)&lt;="9"),MID($V115,1,1)=".")),0,IF(NOT(OR(AND(MID($V115,2,1)&gt;="0",MID($V115,2,1)&lt;="9"),MID($V115,2,1)=".")),1,IF(NOT(OR(AND(MID($V115,3,1)&gt;="0",MID($V115,3,1)&lt;="9"),MID($V115,3,1)=".")),2,IF(NOT(OR(AND(MID($V115,4,1)&gt;="0",MID($V115,4,1)&lt;="9"),MID($V115,4,1)=".")),3,IF(NOT(OR(AND(MID($V115,5,1)&gt;="0",MID($V115,5,1)&lt;="9"),MID($V115,5,1)=".")),4,IF(NOT(OR(AND(MID($V115,6,1)&gt;="0",MID($V115,6,1)&lt;="9"),MID($V115,6,1)=".")),5,6)))))))),0)))</f>
        <v>0</v>
      </c>
      <c r="X115" s="220">
        <f>IF($U115="","",IFERROR(TRIM(INDEX('Submission template'!$J$17:$J$300,$U115)),""))</f>
      </c>
      <c r="Y115" s="220">
        <f>IF($U115="","",IFERROR(TRIM(INDEX('Submission template'!$K$17:$K$300,$U115)),""))</f>
      </c>
      <c r="Z115" s="220">
        <f>IF($U115="","",IFERROR(TRIM(INDEX('Submission template'!$M$17:$M$300,$U115)),""))</f>
      </c>
      <c r="AA115" s="220">
        <f>IF($U115="","",IFERROR(TRIM(INDEX('Submission template'!$O$17:$O$300,$U115)),""))</f>
      </c>
      <c r="AB115" s="220">
        <f>IF($U115="","",IFERROR(TRIM(INDEX('Submission template'!$S$17:$S$300,$U115)),""))</f>
      </c>
      <c r="AC115" s="220">
        <f>IF($B115="",0,IF($U115="",0,1))</f>
        <v>0</v>
      </c>
      <c r="AD115" s="220">
        <f>IF($B115="",0,IF(OR($H115=TargetLocation,AND($AA115&lt;&gt;"",ISNUMBER(SEARCH(TargetLocation,$AA115)))),1,0))</f>
        <v>0</v>
      </c>
      <c r="AE115" s="220">
        <f>IF($B115="",0,IF(AND(OR(SelRecruiter="All",$C115=SelRecruiter),OR(SelCity="All",$H115=SelCity),OR(SelStage="All",$I115=SelStage),OR(SelRequisition="All",$F115=SelRequisition)),1,0))</f>
        <v>0</v>
      </c>
      <c r="AF115" s="220">
        <f>IF($B115="","",COUNT($AF$5:AF114)+1)</f>
      </c>
      <c r="AG115" s="220">
        <f>IF($C115="","",IF(COUNTIF($C$6:$C115,$C115)=1,COUNT($AG$5:AG114)+1,""))</f>
      </c>
      <c r="AH115" s="220">
        <f>IF($F115="","",IF(COUNTIF($F$6:$F115,$F115)=1,COUNT($AH$5:AH114)+1,""))</f>
      </c>
      <c r="AI115" s="220">
        <f>IF($H115="","",IF(COUNTIF($H$6:$H115,$H115)=1,COUNT($AI$5:AI114)+1,""))</f>
      </c>
      <c r="AJ115" s="220">
        <f>IF(OR($B115="",$J115=0),"",$J115*100000000+IF(ISNUMBER($D115),$D115,0)*1000+(170-$A115))</f>
      </c>
      <c r="AK115" s="220">
        <f>IF(OR($B115="",$W115&lt;=0),"",ROUND($W115*10,0)*100000+(170-$A115))</f>
      </c>
      <c r="AL115" s="220">
        <f>IF(OR($B115="",$P115&lt;=0),"",ROUND($P115*10000,0)*1000+(170-$A115))</f>
      </c>
      <c r="AM115" s="220">
        <f>IF(AND($W115&gt;0,$O115&gt;0),COUNT($AM$5:AM114)+1,"")</f>
      </c>
      <c r="AN115">
        <f>IF($B115="",0,IF($G115="",0,SUMPRODUCT(MAX(ISNUMBER(SEARCH(LocPattern,$G115))*LocIdx))))</f>
        <v>0</v>
      </c>
      <c r="BL115">
        <f>IFERROR(INDEX($B$6:$B$125,MATCH(110,$AF$6:$AF$125,0)),"")</f>
      </c>
    </row>
    <row r="116">
      <c r="A116" s="214" t="n">
        <v>111</v>
      </c>
      <c r="B116" s="214">
        <f>IF(TRIM('Master Data-2026'!D112)="","",TRIM('Master Data-2026'!D112))</f>
      </c>
      <c r="C116" s="214">
        <f>IF($B116="","",TRIM('Master Data-2026'!A112))</f>
      </c>
      <c r="D116" s="215">
        <f>IF($B116="","",IF('Master Data-2026'!B112="","",'Master Data-2026'!B112))</f>
      </c>
      <c r="E116" s="214">
        <f>IF($B116="","",TRIM('Master Data-2026'!C112))</f>
      </c>
      <c r="F116" s="214">
        <f>IF($B116="","",TRIM('Master Data-2026'!G112))</f>
      </c>
      <c r="G116" s="214">
        <f>IF($B116="","",TRIM('Master Data-2026'!F112))</f>
      </c>
      <c r="H116" s="214">
        <f>IF($B116="","",IF($G116="","Not recorded",IF($AN116=0,"Other",INDEX(LocCity,$AN116))))</f>
      </c>
      <c r="I116" s="214">
        <f>IF($B116="","",TRIM('Master Data-2026'!H112))</f>
      </c>
      <c r="J116" s="214">
        <f>IF($B116="",0,IFERROR(INDEX(StageOrderRef,MATCH($I116,StageNameRef,0)),0))</f>
        <v>0</v>
      </c>
      <c r="K116" s="214">
        <f>IF($B116="","",TRIM('Master Data-2026'!I112))</f>
      </c>
      <c r="L116" s="214">
        <f>IF($B116="","",TRIM('Master Data-2026'!J112))</f>
      </c>
      <c r="M116" s="216">
        <f>IF($L116="",0,IF(ISNUMBER(SEARCH("%",$L116)),0,IFERROR(VALUE(LEFT($L116,IF(NOT(OR(AND(MID($L116,1,1)&gt;="0",MID($L116,1,1)&lt;="9"),MID($L116,1,1)=".")),0,IF(NOT(OR(AND(MID($L116,2,1)&gt;="0",MID($L116,2,1)&lt;="9"),MID($L116,2,1)=".")),1,IF(NOT(OR(AND(MID($L116,3,1)&gt;="0",MID($L116,3,1)&lt;="9"),MID($L116,3,1)=".")),2,IF(NOT(OR(AND(MID($L116,4,1)&gt;="0",MID($L116,4,1)&lt;="9"),MID($L116,4,1)=".")),3,IF(NOT(OR(AND(MID($L116,5,1)&gt;="0",MID($L116,5,1)&lt;="9"),MID($L116,5,1)=".")),4,IF(NOT(OR(AND(MID($L116,6,1)&gt;="0",MID($L116,6,1)&lt;="9"),MID($L116,6,1)=".")),5,6)))))))),0)))</f>
        <v>0</v>
      </c>
      <c r="N116" s="214">
        <f>IF($B116="","",TRIM('Master Data-2026'!K112))</f>
      </c>
      <c r="O116" s="216">
        <f>IF($N116="",0,IF(ISNUMBER(SEARCH("%",$N116)),0,IFERROR(VALUE(LEFT($N116,IF(NOT(OR(AND(MID($N116,1,1)&gt;="0",MID($N116,1,1)&lt;="9"),MID($N116,1,1)=".")),0,IF(NOT(OR(AND(MID($N116,2,1)&gt;="0",MID($N116,2,1)&lt;="9"),MID($N116,2,1)=".")),1,IF(NOT(OR(AND(MID($N116,3,1)&gt;="0",MID($N116,3,1)&lt;="9"),MID($N116,3,1)=".")),2,IF(NOT(OR(AND(MID($N116,4,1)&gt;="0",MID($N116,4,1)&lt;="9"),MID($N116,4,1)=".")),3,IF(NOT(OR(AND(MID($N116,5,1)&gt;="0",MID($N116,5,1)&lt;="9"),MID($N116,5,1)=".")),4,IF(NOT(OR(AND(MID($N116,6,1)&gt;="0",MID($N116,6,1)&lt;="9"),MID($N116,6,1)=".")),5,6)))))))),0)))</f>
        <v>0</v>
      </c>
      <c r="P116" s="217">
        <f>IF(AND($M116&gt;0,$O116&gt;0),$O116/$M116-1,0)</f>
        <v>0</v>
      </c>
      <c r="Q116" s="214">
        <f>IF($B116="","",TRIM('Master Data-2026'!L112))</f>
      </c>
      <c r="R116" s="214">
        <f>IF($Q116="",0,IF(ISNUMBER(SEARCH("%",$Q116)),0,IFERROR(VALUE(LEFT($Q116,IF(NOT(OR(AND(MID($Q116,1,1)&gt;="0",MID($Q116,1,1)&lt;="9"),MID($Q116,1,1)=".")),0,IF(NOT(OR(AND(MID($Q116,2,1)&gt;="0",MID($Q116,2,1)&lt;="9"),MID($Q116,2,1)=".")),1,IF(NOT(OR(AND(MID($Q116,3,1)&gt;="0",MID($Q116,3,1)&lt;="9"),MID($Q116,3,1)=".")),2,IF(NOT(OR(AND(MID($Q116,4,1)&gt;="0",MID($Q116,4,1)&lt;="9"),MID($Q116,4,1)=".")),3,IF(NOT(OR(AND(MID($Q116,5,1)&gt;="0",MID($Q116,5,1)&lt;="9"),MID($Q116,5,1)=".")),4,IF(NOT(OR(AND(MID($Q116,6,1)&gt;="0",MID($Q116,6,1)&lt;="9"),MID($Q116,6,1)=".")),5,6)))))))),0)))</f>
        <v>0</v>
      </c>
      <c r="S116" s="218">
        <f>IF($Q116="",-1,IF(ISNUMBER(SEARCH("immediate",$Q116)),0,IF(ISNUMBER(SEARCH("month",$Q116)),IF($R116=0,-1,$R116*30),IF(ISNUMBER(SEARCH("day",$Q116)),IF($R116=0,-1,$R116),-1))))</f>
        <v>-1</v>
      </c>
      <c r="T116" s="214">
        <f>IF($B116="","",IF($S116&lt;0,"Not recorded",IF($S116=0,"Immediate",IF($S116&lt;=30,"1-30 days",IF($S116&lt;=60,"31-60 days","60+ days")))))</f>
      </c>
      <c r="U116" s="214">
        <f>IF($B116="","",IFERROR(MATCH($B116,'Submission template'!$D$17:$D$300,0),""))</f>
      </c>
      <c r="V116" s="214">
        <f>IF($U116="","",IFERROR(TRIM(INDEX('Submission template'!$I$17:$I$300,$U116)),""))</f>
      </c>
      <c r="W116" s="219">
        <f>IF($V116="",0,IF(ISNUMBER(SEARCH("%",$V116)),0,IFERROR(VALUE(LEFT($V116,IF(NOT(OR(AND(MID($V116,1,1)&gt;="0",MID($V116,1,1)&lt;="9"),MID($V116,1,1)=".")),0,IF(NOT(OR(AND(MID($V116,2,1)&gt;="0",MID($V116,2,1)&lt;="9"),MID($V116,2,1)=".")),1,IF(NOT(OR(AND(MID($V116,3,1)&gt;="0",MID($V116,3,1)&lt;="9"),MID($V116,3,1)=".")),2,IF(NOT(OR(AND(MID($V116,4,1)&gt;="0",MID($V116,4,1)&lt;="9"),MID($V116,4,1)=".")),3,IF(NOT(OR(AND(MID($V116,5,1)&gt;="0",MID($V116,5,1)&lt;="9"),MID($V116,5,1)=".")),4,IF(NOT(OR(AND(MID($V116,6,1)&gt;="0",MID($V116,6,1)&lt;="9"),MID($V116,6,1)=".")),5,6)))))))),0)))</f>
        <v>0</v>
      </c>
      <c r="X116" s="214">
        <f>IF($U116="","",IFERROR(TRIM(INDEX('Submission template'!$J$17:$J$300,$U116)),""))</f>
      </c>
      <c r="Y116" s="214">
        <f>IF($U116="","",IFERROR(TRIM(INDEX('Submission template'!$K$17:$K$300,$U116)),""))</f>
      </c>
      <c r="Z116" s="214">
        <f>IF($U116="","",IFERROR(TRIM(INDEX('Submission template'!$M$17:$M$300,$U116)),""))</f>
      </c>
      <c r="AA116" s="214">
        <f>IF($U116="","",IFERROR(TRIM(INDEX('Submission template'!$O$17:$O$300,$U116)),""))</f>
      </c>
      <c r="AB116" s="214">
        <f>IF($U116="","",IFERROR(TRIM(INDEX('Submission template'!$S$17:$S$300,$U116)),""))</f>
      </c>
      <c r="AC116" s="214">
        <f>IF($B116="",0,IF($U116="",0,1))</f>
        <v>0</v>
      </c>
      <c r="AD116" s="214">
        <f>IF($B116="",0,IF(OR($H116=TargetLocation,AND($AA116&lt;&gt;"",ISNUMBER(SEARCH(TargetLocation,$AA116)))),1,0))</f>
        <v>0</v>
      </c>
      <c r="AE116" s="214">
        <f>IF($B116="",0,IF(AND(OR(SelRecruiter="All",$C116=SelRecruiter),OR(SelCity="All",$H116=SelCity),OR(SelStage="All",$I116=SelStage),OR(SelRequisition="All",$F116=SelRequisition)),1,0))</f>
        <v>0</v>
      </c>
      <c r="AF116" s="214">
        <f>IF($B116="","",COUNT($AF$5:AF115)+1)</f>
      </c>
      <c r="AG116" s="214">
        <f>IF($C116="","",IF(COUNTIF($C$6:$C116,$C116)=1,COUNT($AG$5:AG115)+1,""))</f>
      </c>
      <c r="AH116" s="214">
        <f>IF($F116="","",IF(COUNTIF($F$6:$F116,$F116)=1,COUNT($AH$5:AH115)+1,""))</f>
      </c>
      <c r="AI116" s="214">
        <f>IF($H116="","",IF(COUNTIF($H$6:$H116,$H116)=1,COUNT($AI$5:AI115)+1,""))</f>
      </c>
      <c r="AJ116" s="214">
        <f>IF(OR($B116="",$J116=0),"",$J116*100000000+IF(ISNUMBER($D116),$D116,0)*1000+(170-$A116))</f>
      </c>
      <c r="AK116" s="214">
        <f>IF(OR($B116="",$W116&lt;=0),"",ROUND($W116*10,0)*100000+(170-$A116))</f>
      </c>
      <c r="AL116" s="214">
        <f>IF(OR($B116="",$P116&lt;=0),"",ROUND($P116*10000,0)*1000+(170-$A116))</f>
      </c>
      <c r="AM116" s="214">
        <f>IF(AND($W116&gt;0,$O116&gt;0),COUNT($AM$5:AM115)+1,"")</f>
      </c>
      <c r="AN116">
        <f>IF($B116="",0,IF($G116="",0,SUMPRODUCT(MAX(ISNUMBER(SEARCH(LocPattern,$G116))*LocIdx))))</f>
        <v>0</v>
      </c>
      <c r="BL116">
        <f>IFERROR(INDEX($B$6:$B$125,MATCH(111,$AF$6:$AF$125,0)),"")</f>
      </c>
    </row>
    <row r="117">
      <c r="A117" s="220" t="n">
        <v>112</v>
      </c>
      <c r="B117" s="220">
        <f>IF(TRIM('Master Data-2026'!D113)="","",TRIM('Master Data-2026'!D113))</f>
      </c>
      <c r="C117" s="220">
        <f>IF($B117="","",TRIM('Master Data-2026'!A113))</f>
      </c>
      <c r="D117" s="221">
        <f>IF($B117="","",IF('Master Data-2026'!B113="","",'Master Data-2026'!B113))</f>
      </c>
      <c r="E117" s="220">
        <f>IF($B117="","",TRIM('Master Data-2026'!C113))</f>
      </c>
      <c r="F117" s="220">
        <f>IF($B117="","",TRIM('Master Data-2026'!G113))</f>
      </c>
      <c r="G117" s="220">
        <f>IF($B117="","",TRIM('Master Data-2026'!F113))</f>
      </c>
      <c r="H117" s="220">
        <f>IF($B117="","",IF($G117="","Not recorded",IF($AN117=0,"Other",INDEX(LocCity,$AN117))))</f>
      </c>
      <c r="I117" s="220">
        <f>IF($B117="","",TRIM('Master Data-2026'!H113))</f>
      </c>
      <c r="J117" s="220">
        <f>IF($B117="",0,IFERROR(INDEX(StageOrderRef,MATCH($I117,StageNameRef,0)),0))</f>
        <v>0</v>
      </c>
      <c r="K117" s="220">
        <f>IF($B117="","",TRIM('Master Data-2026'!I113))</f>
      </c>
      <c r="L117" s="220">
        <f>IF($B117="","",TRIM('Master Data-2026'!J113))</f>
      </c>
      <c r="M117" s="222">
        <f>IF($L117="",0,IF(ISNUMBER(SEARCH("%",$L117)),0,IFERROR(VALUE(LEFT($L117,IF(NOT(OR(AND(MID($L117,1,1)&gt;="0",MID($L117,1,1)&lt;="9"),MID($L117,1,1)=".")),0,IF(NOT(OR(AND(MID($L117,2,1)&gt;="0",MID($L117,2,1)&lt;="9"),MID($L117,2,1)=".")),1,IF(NOT(OR(AND(MID($L117,3,1)&gt;="0",MID($L117,3,1)&lt;="9"),MID($L117,3,1)=".")),2,IF(NOT(OR(AND(MID($L117,4,1)&gt;="0",MID($L117,4,1)&lt;="9"),MID($L117,4,1)=".")),3,IF(NOT(OR(AND(MID($L117,5,1)&gt;="0",MID($L117,5,1)&lt;="9"),MID($L117,5,1)=".")),4,IF(NOT(OR(AND(MID($L117,6,1)&gt;="0",MID($L117,6,1)&lt;="9"),MID($L117,6,1)=".")),5,6)))))))),0)))</f>
        <v>0</v>
      </c>
      <c r="N117" s="220">
        <f>IF($B117="","",TRIM('Master Data-2026'!K113))</f>
      </c>
      <c r="O117" s="222">
        <f>IF($N117="",0,IF(ISNUMBER(SEARCH("%",$N117)),0,IFERROR(VALUE(LEFT($N117,IF(NOT(OR(AND(MID($N117,1,1)&gt;="0",MID($N117,1,1)&lt;="9"),MID($N117,1,1)=".")),0,IF(NOT(OR(AND(MID($N117,2,1)&gt;="0",MID($N117,2,1)&lt;="9"),MID($N117,2,1)=".")),1,IF(NOT(OR(AND(MID($N117,3,1)&gt;="0",MID($N117,3,1)&lt;="9"),MID($N117,3,1)=".")),2,IF(NOT(OR(AND(MID($N117,4,1)&gt;="0",MID($N117,4,1)&lt;="9"),MID($N117,4,1)=".")),3,IF(NOT(OR(AND(MID($N117,5,1)&gt;="0",MID($N117,5,1)&lt;="9"),MID($N117,5,1)=".")),4,IF(NOT(OR(AND(MID($N117,6,1)&gt;="0",MID($N117,6,1)&lt;="9"),MID($N117,6,1)=".")),5,6)))))))),0)))</f>
        <v>0</v>
      </c>
      <c r="P117" s="223">
        <f>IF(AND($M117&gt;0,$O117&gt;0),$O117/$M117-1,0)</f>
        <v>0</v>
      </c>
      <c r="Q117" s="220">
        <f>IF($B117="","",TRIM('Master Data-2026'!L113))</f>
      </c>
      <c r="R117" s="220">
        <f>IF($Q117="",0,IF(ISNUMBER(SEARCH("%",$Q117)),0,IFERROR(VALUE(LEFT($Q117,IF(NOT(OR(AND(MID($Q117,1,1)&gt;="0",MID($Q117,1,1)&lt;="9"),MID($Q117,1,1)=".")),0,IF(NOT(OR(AND(MID($Q117,2,1)&gt;="0",MID($Q117,2,1)&lt;="9"),MID($Q117,2,1)=".")),1,IF(NOT(OR(AND(MID($Q117,3,1)&gt;="0",MID($Q117,3,1)&lt;="9"),MID($Q117,3,1)=".")),2,IF(NOT(OR(AND(MID($Q117,4,1)&gt;="0",MID($Q117,4,1)&lt;="9"),MID($Q117,4,1)=".")),3,IF(NOT(OR(AND(MID($Q117,5,1)&gt;="0",MID($Q117,5,1)&lt;="9"),MID($Q117,5,1)=".")),4,IF(NOT(OR(AND(MID($Q117,6,1)&gt;="0",MID($Q117,6,1)&lt;="9"),MID($Q117,6,1)=".")),5,6)))))))),0)))</f>
        <v>0</v>
      </c>
      <c r="S117" s="224">
        <f>IF($Q117="",-1,IF(ISNUMBER(SEARCH("immediate",$Q117)),0,IF(ISNUMBER(SEARCH("month",$Q117)),IF($R117=0,-1,$R117*30),IF(ISNUMBER(SEARCH("day",$Q117)),IF($R117=0,-1,$R117),-1))))</f>
        <v>-1</v>
      </c>
      <c r="T117" s="220">
        <f>IF($B117="","",IF($S117&lt;0,"Not recorded",IF($S117=0,"Immediate",IF($S117&lt;=30,"1-30 days",IF($S117&lt;=60,"31-60 days","60+ days")))))</f>
      </c>
      <c r="U117" s="220">
        <f>IF($B117="","",IFERROR(MATCH($B117,'Submission template'!$D$17:$D$300,0),""))</f>
      </c>
      <c r="V117" s="220">
        <f>IF($U117="","",IFERROR(TRIM(INDEX('Submission template'!$I$17:$I$300,$U117)),""))</f>
      </c>
      <c r="W117" s="225">
        <f>IF($V117="",0,IF(ISNUMBER(SEARCH("%",$V117)),0,IFERROR(VALUE(LEFT($V117,IF(NOT(OR(AND(MID($V117,1,1)&gt;="0",MID($V117,1,1)&lt;="9"),MID($V117,1,1)=".")),0,IF(NOT(OR(AND(MID($V117,2,1)&gt;="0",MID($V117,2,1)&lt;="9"),MID($V117,2,1)=".")),1,IF(NOT(OR(AND(MID($V117,3,1)&gt;="0",MID($V117,3,1)&lt;="9"),MID($V117,3,1)=".")),2,IF(NOT(OR(AND(MID($V117,4,1)&gt;="0",MID($V117,4,1)&lt;="9"),MID($V117,4,1)=".")),3,IF(NOT(OR(AND(MID($V117,5,1)&gt;="0",MID($V117,5,1)&lt;="9"),MID($V117,5,1)=".")),4,IF(NOT(OR(AND(MID($V117,6,1)&gt;="0",MID($V117,6,1)&lt;="9"),MID($V117,6,1)=".")),5,6)))))))),0)))</f>
        <v>0</v>
      </c>
      <c r="X117" s="220">
        <f>IF($U117="","",IFERROR(TRIM(INDEX('Submission template'!$J$17:$J$300,$U117)),""))</f>
      </c>
      <c r="Y117" s="220">
        <f>IF($U117="","",IFERROR(TRIM(INDEX('Submission template'!$K$17:$K$300,$U117)),""))</f>
      </c>
      <c r="Z117" s="220">
        <f>IF($U117="","",IFERROR(TRIM(INDEX('Submission template'!$M$17:$M$300,$U117)),""))</f>
      </c>
      <c r="AA117" s="220">
        <f>IF($U117="","",IFERROR(TRIM(INDEX('Submission template'!$O$17:$O$300,$U117)),""))</f>
      </c>
      <c r="AB117" s="220">
        <f>IF($U117="","",IFERROR(TRIM(INDEX('Submission template'!$S$17:$S$300,$U117)),""))</f>
      </c>
      <c r="AC117" s="220">
        <f>IF($B117="",0,IF($U117="",0,1))</f>
        <v>0</v>
      </c>
      <c r="AD117" s="220">
        <f>IF($B117="",0,IF(OR($H117=TargetLocation,AND($AA117&lt;&gt;"",ISNUMBER(SEARCH(TargetLocation,$AA117)))),1,0))</f>
        <v>0</v>
      </c>
      <c r="AE117" s="220">
        <f>IF($B117="",0,IF(AND(OR(SelRecruiter="All",$C117=SelRecruiter),OR(SelCity="All",$H117=SelCity),OR(SelStage="All",$I117=SelStage),OR(SelRequisition="All",$F117=SelRequisition)),1,0))</f>
        <v>0</v>
      </c>
      <c r="AF117" s="220">
        <f>IF($B117="","",COUNT($AF$5:AF116)+1)</f>
      </c>
      <c r="AG117" s="220">
        <f>IF($C117="","",IF(COUNTIF($C$6:$C117,$C117)=1,COUNT($AG$5:AG116)+1,""))</f>
      </c>
      <c r="AH117" s="220">
        <f>IF($F117="","",IF(COUNTIF($F$6:$F117,$F117)=1,COUNT($AH$5:AH116)+1,""))</f>
      </c>
      <c r="AI117" s="220">
        <f>IF($H117="","",IF(COUNTIF($H$6:$H117,$H117)=1,COUNT($AI$5:AI116)+1,""))</f>
      </c>
      <c r="AJ117" s="220">
        <f>IF(OR($B117="",$J117=0),"",$J117*100000000+IF(ISNUMBER($D117),$D117,0)*1000+(170-$A117))</f>
      </c>
      <c r="AK117" s="220">
        <f>IF(OR($B117="",$W117&lt;=0),"",ROUND($W117*10,0)*100000+(170-$A117))</f>
      </c>
      <c r="AL117" s="220">
        <f>IF(OR($B117="",$P117&lt;=0),"",ROUND($P117*10000,0)*1000+(170-$A117))</f>
      </c>
      <c r="AM117" s="220">
        <f>IF(AND($W117&gt;0,$O117&gt;0),COUNT($AM$5:AM116)+1,"")</f>
      </c>
      <c r="AN117">
        <f>IF($B117="",0,IF($G117="",0,SUMPRODUCT(MAX(ISNUMBER(SEARCH(LocPattern,$G117))*LocIdx))))</f>
        <v>0</v>
      </c>
      <c r="BL117">
        <f>IFERROR(INDEX($B$6:$B$125,MATCH(112,$AF$6:$AF$125,0)),"")</f>
      </c>
    </row>
    <row r="118">
      <c r="A118" s="214" t="n">
        <v>113</v>
      </c>
      <c r="B118" s="214">
        <f>IF(TRIM('Master Data-2026'!D114)="","",TRIM('Master Data-2026'!D114))</f>
      </c>
      <c r="C118" s="214">
        <f>IF($B118="","",TRIM('Master Data-2026'!A114))</f>
      </c>
      <c r="D118" s="215">
        <f>IF($B118="","",IF('Master Data-2026'!B114="","",'Master Data-2026'!B114))</f>
      </c>
      <c r="E118" s="214">
        <f>IF($B118="","",TRIM('Master Data-2026'!C114))</f>
      </c>
      <c r="F118" s="214">
        <f>IF($B118="","",TRIM('Master Data-2026'!G114))</f>
      </c>
      <c r="G118" s="214">
        <f>IF($B118="","",TRIM('Master Data-2026'!F114))</f>
      </c>
      <c r="H118" s="214">
        <f>IF($B118="","",IF($G118="","Not recorded",IF($AN118=0,"Other",INDEX(LocCity,$AN118))))</f>
      </c>
      <c r="I118" s="214">
        <f>IF($B118="","",TRIM('Master Data-2026'!H114))</f>
      </c>
      <c r="J118" s="214">
        <f>IF($B118="",0,IFERROR(INDEX(StageOrderRef,MATCH($I118,StageNameRef,0)),0))</f>
        <v>0</v>
      </c>
      <c r="K118" s="214">
        <f>IF($B118="","",TRIM('Master Data-2026'!I114))</f>
      </c>
      <c r="L118" s="214">
        <f>IF($B118="","",TRIM('Master Data-2026'!J114))</f>
      </c>
      <c r="M118" s="216">
        <f>IF($L118="",0,IF(ISNUMBER(SEARCH("%",$L118)),0,IFERROR(VALUE(LEFT($L118,IF(NOT(OR(AND(MID($L118,1,1)&gt;="0",MID($L118,1,1)&lt;="9"),MID($L118,1,1)=".")),0,IF(NOT(OR(AND(MID($L118,2,1)&gt;="0",MID($L118,2,1)&lt;="9"),MID($L118,2,1)=".")),1,IF(NOT(OR(AND(MID($L118,3,1)&gt;="0",MID($L118,3,1)&lt;="9"),MID($L118,3,1)=".")),2,IF(NOT(OR(AND(MID($L118,4,1)&gt;="0",MID($L118,4,1)&lt;="9"),MID($L118,4,1)=".")),3,IF(NOT(OR(AND(MID($L118,5,1)&gt;="0",MID($L118,5,1)&lt;="9"),MID($L118,5,1)=".")),4,IF(NOT(OR(AND(MID($L118,6,1)&gt;="0",MID($L118,6,1)&lt;="9"),MID($L118,6,1)=".")),5,6)))))))),0)))</f>
        <v>0</v>
      </c>
      <c r="N118" s="214">
        <f>IF($B118="","",TRIM('Master Data-2026'!K114))</f>
      </c>
      <c r="O118" s="216">
        <f>IF($N118="",0,IF(ISNUMBER(SEARCH("%",$N118)),0,IFERROR(VALUE(LEFT($N118,IF(NOT(OR(AND(MID($N118,1,1)&gt;="0",MID($N118,1,1)&lt;="9"),MID($N118,1,1)=".")),0,IF(NOT(OR(AND(MID($N118,2,1)&gt;="0",MID($N118,2,1)&lt;="9"),MID($N118,2,1)=".")),1,IF(NOT(OR(AND(MID($N118,3,1)&gt;="0",MID($N118,3,1)&lt;="9"),MID($N118,3,1)=".")),2,IF(NOT(OR(AND(MID($N118,4,1)&gt;="0",MID($N118,4,1)&lt;="9"),MID($N118,4,1)=".")),3,IF(NOT(OR(AND(MID($N118,5,1)&gt;="0",MID($N118,5,1)&lt;="9"),MID($N118,5,1)=".")),4,IF(NOT(OR(AND(MID($N118,6,1)&gt;="0",MID($N118,6,1)&lt;="9"),MID($N118,6,1)=".")),5,6)))))))),0)))</f>
        <v>0</v>
      </c>
      <c r="P118" s="217">
        <f>IF(AND($M118&gt;0,$O118&gt;0),$O118/$M118-1,0)</f>
        <v>0</v>
      </c>
      <c r="Q118" s="214">
        <f>IF($B118="","",TRIM('Master Data-2026'!L114))</f>
      </c>
      <c r="R118" s="214">
        <f>IF($Q118="",0,IF(ISNUMBER(SEARCH("%",$Q118)),0,IFERROR(VALUE(LEFT($Q118,IF(NOT(OR(AND(MID($Q118,1,1)&gt;="0",MID($Q118,1,1)&lt;="9"),MID($Q118,1,1)=".")),0,IF(NOT(OR(AND(MID($Q118,2,1)&gt;="0",MID($Q118,2,1)&lt;="9"),MID($Q118,2,1)=".")),1,IF(NOT(OR(AND(MID($Q118,3,1)&gt;="0",MID($Q118,3,1)&lt;="9"),MID($Q118,3,1)=".")),2,IF(NOT(OR(AND(MID($Q118,4,1)&gt;="0",MID($Q118,4,1)&lt;="9"),MID($Q118,4,1)=".")),3,IF(NOT(OR(AND(MID($Q118,5,1)&gt;="0",MID($Q118,5,1)&lt;="9"),MID($Q118,5,1)=".")),4,IF(NOT(OR(AND(MID($Q118,6,1)&gt;="0",MID($Q118,6,1)&lt;="9"),MID($Q118,6,1)=".")),5,6)))))))),0)))</f>
        <v>0</v>
      </c>
      <c r="S118" s="218">
        <f>IF($Q118="",-1,IF(ISNUMBER(SEARCH("immediate",$Q118)),0,IF(ISNUMBER(SEARCH("month",$Q118)),IF($R118=0,-1,$R118*30),IF(ISNUMBER(SEARCH("day",$Q118)),IF($R118=0,-1,$R118),-1))))</f>
        <v>-1</v>
      </c>
      <c r="T118" s="214">
        <f>IF($B118="","",IF($S118&lt;0,"Not recorded",IF($S118=0,"Immediate",IF($S118&lt;=30,"1-30 days",IF($S118&lt;=60,"31-60 days","60+ days")))))</f>
      </c>
      <c r="U118" s="214">
        <f>IF($B118="","",IFERROR(MATCH($B118,'Submission template'!$D$17:$D$300,0),""))</f>
      </c>
      <c r="V118" s="214">
        <f>IF($U118="","",IFERROR(TRIM(INDEX('Submission template'!$I$17:$I$300,$U118)),""))</f>
      </c>
      <c r="W118" s="219">
        <f>IF($V118="",0,IF(ISNUMBER(SEARCH("%",$V118)),0,IFERROR(VALUE(LEFT($V118,IF(NOT(OR(AND(MID($V118,1,1)&gt;="0",MID($V118,1,1)&lt;="9"),MID($V118,1,1)=".")),0,IF(NOT(OR(AND(MID($V118,2,1)&gt;="0",MID($V118,2,1)&lt;="9"),MID($V118,2,1)=".")),1,IF(NOT(OR(AND(MID($V118,3,1)&gt;="0",MID($V118,3,1)&lt;="9"),MID($V118,3,1)=".")),2,IF(NOT(OR(AND(MID($V118,4,1)&gt;="0",MID($V118,4,1)&lt;="9"),MID($V118,4,1)=".")),3,IF(NOT(OR(AND(MID($V118,5,1)&gt;="0",MID($V118,5,1)&lt;="9"),MID($V118,5,1)=".")),4,IF(NOT(OR(AND(MID($V118,6,1)&gt;="0",MID($V118,6,1)&lt;="9"),MID($V118,6,1)=".")),5,6)))))))),0)))</f>
        <v>0</v>
      </c>
      <c r="X118" s="214">
        <f>IF($U118="","",IFERROR(TRIM(INDEX('Submission template'!$J$17:$J$300,$U118)),""))</f>
      </c>
      <c r="Y118" s="214">
        <f>IF($U118="","",IFERROR(TRIM(INDEX('Submission template'!$K$17:$K$300,$U118)),""))</f>
      </c>
      <c r="Z118" s="214">
        <f>IF($U118="","",IFERROR(TRIM(INDEX('Submission template'!$M$17:$M$300,$U118)),""))</f>
      </c>
      <c r="AA118" s="214">
        <f>IF($U118="","",IFERROR(TRIM(INDEX('Submission template'!$O$17:$O$300,$U118)),""))</f>
      </c>
      <c r="AB118" s="214">
        <f>IF($U118="","",IFERROR(TRIM(INDEX('Submission template'!$S$17:$S$300,$U118)),""))</f>
      </c>
      <c r="AC118" s="214">
        <f>IF($B118="",0,IF($U118="",0,1))</f>
        <v>0</v>
      </c>
      <c r="AD118" s="214">
        <f>IF($B118="",0,IF(OR($H118=TargetLocation,AND($AA118&lt;&gt;"",ISNUMBER(SEARCH(TargetLocation,$AA118)))),1,0))</f>
        <v>0</v>
      </c>
      <c r="AE118" s="214">
        <f>IF($B118="",0,IF(AND(OR(SelRecruiter="All",$C118=SelRecruiter),OR(SelCity="All",$H118=SelCity),OR(SelStage="All",$I118=SelStage),OR(SelRequisition="All",$F118=SelRequisition)),1,0))</f>
        <v>0</v>
      </c>
      <c r="AF118" s="214">
        <f>IF($B118="","",COUNT($AF$5:AF117)+1)</f>
      </c>
      <c r="AG118" s="214">
        <f>IF($C118="","",IF(COUNTIF($C$6:$C118,$C118)=1,COUNT($AG$5:AG117)+1,""))</f>
      </c>
      <c r="AH118" s="214">
        <f>IF($F118="","",IF(COUNTIF($F$6:$F118,$F118)=1,COUNT($AH$5:AH117)+1,""))</f>
      </c>
      <c r="AI118" s="214">
        <f>IF($H118="","",IF(COUNTIF($H$6:$H118,$H118)=1,COUNT($AI$5:AI117)+1,""))</f>
      </c>
      <c r="AJ118" s="214">
        <f>IF(OR($B118="",$J118=0),"",$J118*100000000+IF(ISNUMBER($D118),$D118,0)*1000+(170-$A118))</f>
      </c>
      <c r="AK118" s="214">
        <f>IF(OR($B118="",$W118&lt;=0),"",ROUND($W118*10,0)*100000+(170-$A118))</f>
      </c>
      <c r="AL118" s="214">
        <f>IF(OR($B118="",$P118&lt;=0),"",ROUND($P118*10000,0)*1000+(170-$A118))</f>
      </c>
      <c r="AM118" s="214">
        <f>IF(AND($W118&gt;0,$O118&gt;0),COUNT($AM$5:AM117)+1,"")</f>
      </c>
      <c r="AN118">
        <f>IF($B118="",0,IF($G118="",0,SUMPRODUCT(MAX(ISNUMBER(SEARCH(LocPattern,$G118))*LocIdx))))</f>
        <v>0</v>
      </c>
      <c r="BL118">
        <f>IFERROR(INDEX($B$6:$B$125,MATCH(113,$AF$6:$AF$125,0)),"")</f>
      </c>
    </row>
    <row r="119">
      <c r="A119" s="220" t="n">
        <v>114</v>
      </c>
      <c r="B119" s="220">
        <f>IF(TRIM('Master Data-2026'!D115)="","",TRIM('Master Data-2026'!D115))</f>
      </c>
      <c r="C119" s="220">
        <f>IF($B119="","",TRIM('Master Data-2026'!A115))</f>
      </c>
      <c r="D119" s="221">
        <f>IF($B119="","",IF('Master Data-2026'!B115="","",'Master Data-2026'!B115))</f>
      </c>
      <c r="E119" s="220">
        <f>IF($B119="","",TRIM('Master Data-2026'!C115))</f>
      </c>
      <c r="F119" s="220">
        <f>IF($B119="","",TRIM('Master Data-2026'!G115))</f>
      </c>
      <c r="G119" s="220">
        <f>IF($B119="","",TRIM('Master Data-2026'!F115))</f>
      </c>
      <c r="H119" s="220">
        <f>IF($B119="","",IF($G119="","Not recorded",IF($AN119=0,"Other",INDEX(LocCity,$AN119))))</f>
      </c>
      <c r="I119" s="220">
        <f>IF($B119="","",TRIM('Master Data-2026'!H115))</f>
      </c>
      <c r="J119" s="220">
        <f>IF($B119="",0,IFERROR(INDEX(StageOrderRef,MATCH($I119,StageNameRef,0)),0))</f>
        <v>0</v>
      </c>
      <c r="K119" s="220">
        <f>IF($B119="","",TRIM('Master Data-2026'!I115))</f>
      </c>
      <c r="L119" s="220">
        <f>IF($B119="","",TRIM('Master Data-2026'!J115))</f>
      </c>
      <c r="M119" s="222">
        <f>IF($L119="",0,IF(ISNUMBER(SEARCH("%",$L119)),0,IFERROR(VALUE(LEFT($L119,IF(NOT(OR(AND(MID($L119,1,1)&gt;="0",MID($L119,1,1)&lt;="9"),MID($L119,1,1)=".")),0,IF(NOT(OR(AND(MID($L119,2,1)&gt;="0",MID($L119,2,1)&lt;="9"),MID($L119,2,1)=".")),1,IF(NOT(OR(AND(MID($L119,3,1)&gt;="0",MID($L119,3,1)&lt;="9"),MID($L119,3,1)=".")),2,IF(NOT(OR(AND(MID($L119,4,1)&gt;="0",MID($L119,4,1)&lt;="9"),MID($L119,4,1)=".")),3,IF(NOT(OR(AND(MID($L119,5,1)&gt;="0",MID($L119,5,1)&lt;="9"),MID($L119,5,1)=".")),4,IF(NOT(OR(AND(MID($L119,6,1)&gt;="0",MID($L119,6,1)&lt;="9"),MID($L119,6,1)=".")),5,6)))))))),0)))</f>
        <v>0</v>
      </c>
      <c r="N119" s="220">
        <f>IF($B119="","",TRIM('Master Data-2026'!K115))</f>
      </c>
      <c r="O119" s="222">
        <f>IF($N119="",0,IF(ISNUMBER(SEARCH("%",$N119)),0,IFERROR(VALUE(LEFT($N119,IF(NOT(OR(AND(MID($N119,1,1)&gt;="0",MID($N119,1,1)&lt;="9"),MID($N119,1,1)=".")),0,IF(NOT(OR(AND(MID($N119,2,1)&gt;="0",MID($N119,2,1)&lt;="9"),MID($N119,2,1)=".")),1,IF(NOT(OR(AND(MID($N119,3,1)&gt;="0",MID($N119,3,1)&lt;="9"),MID($N119,3,1)=".")),2,IF(NOT(OR(AND(MID($N119,4,1)&gt;="0",MID($N119,4,1)&lt;="9"),MID($N119,4,1)=".")),3,IF(NOT(OR(AND(MID($N119,5,1)&gt;="0",MID($N119,5,1)&lt;="9"),MID($N119,5,1)=".")),4,IF(NOT(OR(AND(MID($N119,6,1)&gt;="0",MID($N119,6,1)&lt;="9"),MID($N119,6,1)=".")),5,6)))))))),0)))</f>
        <v>0</v>
      </c>
      <c r="P119" s="223">
        <f>IF(AND($M119&gt;0,$O119&gt;0),$O119/$M119-1,0)</f>
        <v>0</v>
      </c>
      <c r="Q119" s="220">
        <f>IF($B119="","",TRIM('Master Data-2026'!L115))</f>
      </c>
      <c r="R119" s="220">
        <f>IF($Q119="",0,IF(ISNUMBER(SEARCH("%",$Q119)),0,IFERROR(VALUE(LEFT($Q119,IF(NOT(OR(AND(MID($Q119,1,1)&gt;="0",MID($Q119,1,1)&lt;="9"),MID($Q119,1,1)=".")),0,IF(NOT(OR(AND(MID($Q119,2,1)&gt;="0",MID($Q119,2,1)&lt;="9"),MID($Q119,2,1)=".")),1,IF(NOT(OR(AND(MID($Q119,3,1)&gt;="0",MID($Q119,3,1)&lt;="9"),MID($Q119,3,1)=".")),2,IF(NOT(OR(AND(MID($Q119,4,1)&gt;="0",MID($Q119,4,1)&lt;="9"),MID($Q119,4,1)=".")),3,IF(NOT(OR(AND(MID($Q119,5,1)&gt;="0",MID($Q119,5,1)&lt;="9"),MID($Q119,5,1)=".")),4,IF(NOT(OR(AND(MID($Q119,6,1)&gt;="0",MID($Q119,6,1)&lt;="9"),MID($Q119,6,1)=".")),5,6)))))))),0)))</f>
        <v>0</v>
      </c>
      <c r="S119" s="224">
        <f>IF($Q119="",-1,IF(ISNUMBER(SEARCH("immediate",$Q119)),0,IF(ISNUMBER(SEARCH("month",$Q119)),IF($R119=0,-1,$R119*30),IF(ISNUMBER(SEARCH("day",$Q119)),IF($R119=0,-1,$R119),-1))))</f>
        <v>-1</v>
      </c>
      <c r="T119" s="220">
        <f>IF($B119="","",IF($S119&lt;0,"Not recorded",IF($S119=0,"Immediate",IF($S119&lt;=30,"1-30 days",IF($S119&lt;=60,"31-60 days","60+ days")))))</f>
      </c>
      <c r="U119" s="220">
        <f>IF($B119="","",IFERROR(MATCH($B119,'Submission template'!$D$17:$D$300,0),""))</f>
      </c>
      <c r="V119" s="220">
        <f>IF($U119="","",IFERROR(TRIM(INDEX('Submission template'!$I$17:$I$300,$U119)),""))</f>
      </c>
      <c r="W119" s="225">
        <f>IF($V119="",0,IF(ISNUMBER(SEARCH("%",$V119)),0,IFERROR(VALUE(LEFT($V119,IF(NOT(OR(AND(MID($V119,1,1)&gt;="0",MID($V119,1,1)&lt;="9"),MID($V119,1,1)=".")),0,IF(NOT(OR(AND(MID($V119,2,1)&gt;="0",MID($V119,2,1)&lt;="9"),MID($V119,2,1)=".")),1,IF(NOT(OR(AND(MID($V119,3,1)&gt;="0",MID($V119,3,1)&lt;="9"),MID($V119,3,1)=".")),2,IF(NOT(OR(AND(MID($V119,4,1)&gt;="0",MID($V119,4,1)&lt;="9"),MID($V119,4,1)=".")),3,IF(NOT(OR(AND(MID($V119,5,1)&gt;="0",MID($V119,5,1)&lt;="9"),MID($V119,5,1)=".")),4,IF(NOT(OR(AND(MID($V119,6,1)&gt;="0",MID($V119,6,1)&lt;="9"),MID($V119,6,1)=".")),5,6)))))))),0)))</f>
        <v>0</v>
      </c>
      <c r="X119" s="220">
        <f>IF($U119="","",IFERROR(TRIM(INDEX('Submission template'!$J$17:$J$300,$U119)),""))</f>
      </c>
      <c r="Y119" s="220">
        <f>IF($U119="","",IFERROR(TRIM(INDEX('Submission template'!$K$17:$K$300,$U119)),""))</f>
      </c>
      <c r="Z119" s="220">
        <f>IF($U119="","",IFERROR(TRIM(INDEX('Submission template'!$M$17:$M$300,$U119)),""))</f>
      </c>
      <c r="AA119" s="220">
        <f>IF($U119="","",IFERROR(TRIM(INDEX('Submission template'!$O$17:$O$300,$U119)),""))</f>
      </c>
      <c r="AB119" s="220">
        <f>IF($U119="","",IFERROR(TRIM(INDEX('Submission template'!$S$17:$S$300,$U119)),""))</f>
      </c>
      <c r="AC119" s="220">
        <f>IF($B119="",0,IF($U119="",0,1))</f>
        <v>0</v>
      </c>
      <c r="AD119" s="220">
        <f>IF($B119="",0,IF(OR($H119=TargetLocation,AND($AA119&lt;&gt;"",ISNUMBER(SEARCH(TargetLocation,$AA119)))),1,0))</f>
        <v>0</v>
      </c>
      <c r="AE119" s="220">
        <f>IF($B119="",0,IF(AND(OR(SelRecruiter="All",$C119=SelRecruiter),OR(SelCity="All",$H119=SelCity),OR(SelStage="All",$I119=SelStage),OR(SelRequisition="All",$F119=SelRequisition)),1,0))</f>
        <v>0</v>
      </c>
      <c r="AF119" s="220">
        <f>IF($B119="","",COUNT($AF$5:AF118)+1)</f>
      </c>
      <c r="AG119" s="220">
        <f>IF($C119="","",IF(COUNTIF($C$6:$C119,$C119)=1,COUNT($AG$5:AG118)+1,""))</f>
      </c>
      <c r="AH119" s="220">
        <f>IF($F119="","",IF(COUNTIF($F$6:$F119,$F119)=1,COUNT($AH$5:AH118)+1,""))</f>
      </c>
      <c r="AI119" s="220">
        <f>IF($H119="","",IF(COUNTIF($H$6:$H119,$H119)=1,COUNT($AI$5:AI118)+1,""))</f>
      </c>
      <c r="AJ119" s="220">
        <f>IF(OR($B119="",$J119=0),"",$J119*100000000+IF(ISNUMBER($D119),$D119,0)*1000+(170-$A119))</f>
      </c>
      <c r="AK119" s="220">
        <f>IF(OR($B119="",$W119&lt;=0),"",ROUND($W119*10,0)*100000+(170-$A119))</f>
      </c>
      <c r="AL119" s="220">
        <f>IF(OR($B119="",$P119&lt;=0),"",ROUND($P119*10000,0)*1000+(170-$A119))</f>
      </c>
      <c r="AM119" s="220">
        <f>IF(AND($W119&gt;0,$O119&gt;0),COUNT($AM$5:AM118)+1,"")</f>
      </c>
      <c r="AN119">
        <f>IF($B119="",0,IF($G119="",0,SUMPRODUCT(MAX(ISNUMBER(SEARCH(LocPattern,$G119))*LocIdx))))</f>
        <v>0</v>
      </c>
      <c r="BL119">
        <f>IFERROR(INDEX($B$6:$B$125,MATCH(114,$AF$6:$AF$125,0)),"")</f>
      </c>
    </row>
    <row r="120">
      <c r="A120" s="214" t="n">
        <v>115</v>
      </c>
      <c r="B120" s="214">
        <f>IF(TRIM('Master Data-2026'!D116)="","",TRIM('Master Data-2026'!D116))</f>
      </c>
      <c r="C120" s="214">
        <f>IF($B120="","",TRIM('Master Data-2026'!A116))</f>
      </c>
      <c r="D120" s="215">
        <f>IF($B120="","",IF('Master Data-2026'!B116="","",'Master Data-2026'!B116))</f>
      </c>
      <c r="E120" s="214">
        <f>IF($B120="","",TRIM('Master Data-2026'!C116))</f>
      </c>
      <c r="F120" s="214">
        <f>IF($B120="","",TRIM('Master Data-2026'!G116))</f>
      </c>
      <c r="G120" s="214">
        <f>IF($B120="","",TRIM('Master Data-2026'!F116))</f>
      </c>
      <c r="H120" s="214">
        <f>IF($B120="","",IF($G120="","Not recorded",IF($AN120=0,"Other",INDEX(LocCity,$AN120))))</f>
      </c>
      <c r="I120" s="214">
        <f>IF($B120="","",TRIM('Master Data-2026'!H116))</f>
      </c>
      <c r="J120" s="214">
        <f>IF($B120="",0,IFERROR(INDEX(StageOrderRef,MATCH($I120,StageNameRef,0)),0))</f>
        <v>0</v>
      </c>
      <c r="K120" s="214">
        <f>IF($B120="","",TRIM('Master Data-2026'!I116))</f>
      </c>
      <c r="L120" s="214">
        <f>IF($B120="","",TRIM('Master Data-2026'!J116))</f>
      </c>
      <c r="M120" s="216">
        <f>IF($L120="",0,IF(ISNUMBER(SEARCH("%",$L120)),0,IFERROR(VALUE(LEFT($L120,IF(NOT(OR(AND(MID($L120,1,1)&gt;="0",MID($L120,1,1)&lt;="9"),MID($L120,1,1)=".")),0,IF(NOT(OR(AND(MID($L120,2,1)&gt;="0",MID($L120,2,1)&lt;="9"),MID($L120,2,1)=".")),1,IF(NOT(OR(AND(MID($L120,3,1)&gt;="0",MID($L120,3,1)&lt;="9"),MID($L120,3,1)=".")),2,IF(NOT(OR(AND(MID($L120,4,1)&gt;="0",MID($L120,4,1)&lt;="9"),MID($L120,4,1)=".")),3,IF(NOT(OR(AND(MID($L120,5,1)&gt;="0",MID($L120,5,1)&lt;="9"),MID($L120,5,1)=".")),4,IF(NOT(OR(AND(MID($L120,6,1)&gt;="0",MID($L120,6,1)&lt;="9"),MID($L120,6,1)=".")),5,6)))))))),0)))</f>
        <v>0</v>
      </c>
      <c r="N120" s="214">
        <f>IF($B120="","",TRIM('Master Data-2026'!K116))</f>
      </c>
      <c r="O120" s="216">
        <f>IF($N120="",0,IF(ISNUMBER(SEARCH("%",$N120)),0,IFERROR(VALUE(LEFT($N120,IF(NOT(OR(AND(MID($N120,1,1)&gt;="0",MID($N120,1,1)&lt;="9"),MID($N120,1,1)=".")),0,IF(NOT(OR(AND(MID($N120,2,1)&gt;="0",MID($N120,2,1)&lt;="9"),MID($N120,2,1)=".")),1,IF(NOT(OR(AND(MID($N120,3,1)&gt;="0",MID($N120,3,1)&lt;="9"),MID($N120,3,1)=".")),2,IF(NOT(OR(AND(MID($N120,4,1)&gt;="0",MID($N120,4,1)&lt;="9"),MID($N120,4,1)=".")),3,IF(NOT(OR(AND(MID($N120,5,1)&gt;="0",MID($N120,5,1)&lt;="9"),MID($N120,5,1)=".")),4,IF(NOT(OR(AND(MID($N120,6,1)&gt;="0",MID($N120,6,1)&lt;="9"),MID($N120,6,1)=".")),5,6)))))))),0)))</f>
        <v>0</v>
      </c>
      <c r="P120" s="217">
        <f>IF(AND($M120&gt;0,$O120&gt;0),$O120/$M120-1,0)</f>
        <v>0</v>
      </c>
      <c r="Q120" s="214">
        <f>IF($B120="","",TRIM('Master Data-2026'!L116))</f>
      </c>
      <c r="R120" s="214">
        <f>IF($Q120="",0,IF(ISNUMBER(SEARCH("%",$Q120)),0,IFERROR(VALUE(LEFT($Q120,IF(NOT(OR(AND(MID($Q120,1,1)&gt;="0",MID($Q120,1,1)&lt;="9"),MID($Q120,1,1)=".")),0,IF(NOT(OR(AND(MID($Q120,2,1)&gt;="0",MID($Q120,2,1)&lt;="9"),MID($Q120,2,1)=".")),1,IF(NOT(OR(AND(MID($Q120,3,1)&gt;="0",MID($Q120,3,1)&lt;="9"),MID($Q120,3,1)=".")),2,IF(NOT(OR(AND(MID($Q120,4,1)&gt;="0",MID($Q120,4,1)&lt;="9"),MID($Q120,4,1)=".")),3,IF(NOT(OR(AND(MID($Q120,5,1)&gt;="0",MID($Q120,5,1)&lt;="9"),MID($Q120,5,1)=".")),4,IF(NOT(OR(AND(MID($Q120,6,1)&gt;="0",MID($Q120,6,1)&lt;="9"),MID($Q120,6,1)=".")),5,6)))))))),0)))</f>
        <v>0</v>
      </c>
      <c r="S120" s="218">
        <f>IF($Q120="",-1,IF(ISNUMBER(SEARCH("immediate",$Q120)),0,IF(ISNUMBER(SEARCH("month",$Q120)),IF($R120=0,-1,$R120*30),IF(ISNUMBER(SEARCH("day",$Q120)),IF($R120=0,-1,$R120),-1))))</f>
        <v>-1</v>
      </c>
      <c r="T120" s="214">
        <f>IF($B120="","",IF($S120&lt;0,"Not recorded",IF($S120=0,"Immediate",IF($S120&lt;=30,"1-30 days",IF($S120&lt;=60,"31-60 days","60+ days")))))</f>
      </c>
      <c r="U120" s="214">
        <f>IF($B120="","",IFERROR(MATCH($B120,'Submission template'!$D$17:$D$300,0),""))</f>
      </c>
      <c r="V120" s="214">
        <f>IF($U120="","",IFERROR(TRIM(INDEX('Submission template'!$I$17:$I$300,$U120)),""))</f>
      </c>
      <c r="W120" s="219">
        <f>IF($V120="",0,IF(ISNUMBER(SEARCH("%",$V120)),0,IFERROR(VALUE(LEFT($V120,IF(NOT(OR(AND(MID($V120,1,1)&gt;="0",MID($V120,1,1)&lt;="9"),MID($V120,1,1)=".")),0,IF(NOT(OR(AND(MID($V120,2,1)&gt;="0",MID($V120,2,1)&lt;="9"),MID($V120,2,1)=".")),1,IF(NOT(OR(AND(MID($V120,3,1)&gt;="0",MID($V120,3,1)&lt;="9"),MID($V120,3,1)=".")),2,IF(NOT(OR(AND(MID($V120,4,1)&gt;="0",MID($V120,4,1)&lt;="9"),MID($V120,4,1)=".")),3,IF(NOT(OR(AND(MID($V120,5,1)&gt;="0",MID($V120,5,1)&lt;="9"),MID($V120,5,1)=".")),4,IF(NOT(OR(AND(MID($V120,6,1)&gt;="0",MID($V120,6,1)&lt;="9"),MID($V120,6,1)=".")),5,6)))))))),0)))</f>
        <v>0</v>
      </c>
      <c r="X120" s="214">
        <f>IF($U120="","",IFERROR(TRIM(INDEX('Submission template'!$J$17:$J$300,$U120)),""))</f>
      </c>
      <c r="Y120" s="214">
        <f>IF($U120="","",IFERROR(TRIM(INDEX('Submission template'!$K$17:$K$300,$U120)),""))</f>
      </c>
      <c r="Z120" s="214">
        <f>IF($U120="","",IFERROR(TRIM(INDEX('Submission template'!$M$17:$M$300,$U120)),""))</f>
      </c>
      <c r="AA120" s="214">
        <f>IF($U120="","",IFERROR(TRIM(INDEX('Submission template'!$O$17:$O$300,$U120)),""))</f>
      </c>
      <c r="AB120" s="214">
        <f>IF($U120="","",IFERROR(TRIM(INDEX('Submission template'!$S$17:$S$300,$U120)),""))</f>
      </c>
      <c r="AC120" s="214">
        <f>IF($B120="",0,IF($U120="",0,1))</f>
        <v>0</v>
      </c>
      <c r="AD120" s="214">
        <f>IF($B120="",0,IF(OR($H120=TargetLocation,AND($AA120&lt;&gt;"",ISNUMBER(SEARCH(TargetLocation,$AA120)))),1,0))</f>
        <v>0</v>
      </c>
      <c r="AE120" s="214">
        <f>IF($B120="",0,IF(AND(OR(SelRecruiter="All",$C120=SelRecruiter),OR(SelCity="All",$H120=SelCity),OR(SelStage="All",$I120=SelStage),OR(SelRequisition="All",$F120=SelRequisition)),1,0))</f>
        <v>0</v>
      </c>
      <c r="AF120" s="214">
        <f>IF($B120="","",COUNT($AF$5:AF119)+1)</f>
      </c>
      <c r="AG120" s="214">
        <f>IF($C120="","",IF(COUNTIF($C$6:$C120,$C120)=1,COUNT($AG$5:AG119)+1,""))</f>
      </c>
      <c r="AH120" s="214">
        <f>IF($F120="","",IF(COUNTIF($F$6:$F120,$F120)=1,COUNT($AH$5:AH119)+1,""))</f>
      </c>
      <c r="AI120" s="214">
        <f>IF($H120="","",IF(COUNTIF($H$6:$H120,$H120)=1,COUNT($AI$5:AI119)+1,""))</f>
      </c>
      <c r="AJ120" s="214">
        <f>IF(OR($B120="",$J120=0),"",$J120*100000000+IF(ISNUMBER($D120),$D120,0)*1000+(170-$A120))</f>
      </c>
      <c r="AK120" s="214">
        <f>IF(OR($B120="",$W120&lt;=0),"",ROUND($W120*10,0)*100000+(170-$A120))</f>
      </c>
      <c r="AL120" s="214">
        <f>IF(OR($B120="",$P120&lt;=0),"",ROUND($P120*10000,0)*1000+(170-$A120))</f>
      </c>
      <c r="AM120" s="214">
        <f>IF(AND($W120&gt;0,$O120&gt;0),COUNT($AM$5:AM119)+1,"")</f>
      </c>
      <c r="AN120">
        <f>IF($B120="",0,IF($G120="",0,SUMPRODUCT(MAX(ISNUMBER(SEARCH(LocPattern,$G120))*LocIdx))))</f>
        <v>0</v>
      </c>
      <c r="BL120">
        <f>IFERROR(INDEX($B$6:$B$125,MATCH(115,$AF$6:$AF$125,0)),"")</f>
      </c>
    </row>
    <row r="121">
      <c r="A121" s="220" t="n">
        <v>116</v>
      </c>
      <c r="B121" s="220">
        <f>IF(TRIM('Master Data-2026'!D117)="","",TRIM('Master Data-2026'!D117))</f>
      </c>
      <c r="C121" s="220">
        <f>IF($B121="","",TRIM('Master Data-2026'!A117))</f>
      </c>
      <c r="D121" s="221">
        <f>IF($B121="","",IF('Master Data-2026'!B117="","",'Master Data-2026'!B117))</f>
      </c>
      <c r="E121" s="220">
        <f>IF($B121="","",TRIM('Master Data-2026'!C117))</f>
      </c>
      <c r="F121" s="220">
        <f>IF($B121="","",TRIM('Master Data-2026'!G117))</f>
      </c>
      <c r="G121" s="220">
        <f>IF($B121="","",TRIM('Master Data-2026'!F117))</f>
      </c>
      <c r="H121" s="220">
        <f>IF($B121="","",IF($G121="","Not recorded",IF($AN121=0,"Other",INDEX(LocCity,$AN121))))</f>
      </c>
      <c r="I121" s="220">
        <f>IF($B121="","",TRIM('Master Data-2026'!H117))</f>
      </c>
      <c r="J121" s="220">
        <f>IF($B121="",0,IFERROR(INDEX(StageOrderRef,MATCH($I121,StageNameRef,0)),0))</f>
        <v>0</v>
      </c>
      <c r="K121" s="220">
        <f>IF($B121="","",TRIM('Master Data-2026'!I117))</f>
      </c>
      <c r="L121" s="220">
        <f>IF($B121="","",TRIM('Master Data-2026'!J117))</f>
      </c>
      <c r="M121" s="222">
        <f>IF($L121="",0,IF(ISNUMBER(SEARCH("%",$L121)),0,IFERROR(VALUE(LEFT($L121,IF(NOT(OR(AND(MID($L121,1,1)&gt;="0",MID($L121,1,1)&lt;="9"),MID($L121,1,1)=".")),0,IF(NOT(OR(AND(MID($L121,2,1)&gt;="0",MID($L121,2,1)&lt;="9"),MID($L121,2,1)=".")),1,IF(NOT(OR(AND(MID($L121,3,1)&gt;="0",MID($L121,3,1)&lt;="9"),MID($L121,3,1)=".")),2,IF(NOT(OR(AND(MID($L121,4,1)&gt;="0",MID($L121,4,1)&lt;="9"),MID($L121,4,1)=".")),3,IF(NOT(OR(AND(MID($L121,5,1)&gt;="0",MID($L121,5,1)&lt;="9"),MID($L121,5,1)=".")),4,IF(NOT(OR(AND(MID($L121,6,1)&gt;="0",MID($L121,6,1)&lt;="9"),MID($L121,6,1)=".")),5,6)))))))),0)))</f>
        <v>0</v>
      </c>
      <c r="N121" s="220">
        <f>IF($B121="","",TRIM('Master Data-2026'!K117))</f>
      </c>
      <c r="O121" s="222">
        <f>IF($N121="",0,IF(ISNUMBER(SEARCH("%",$N121)),0,IFERROR(VALUE(LEFT($N121,IF(NOT(OR(AND(MID($N121,1,1)&gt;="0",MID($N121,1,1)&lt;="9"),MID($N121,1,1)=".")),0,IF(NOT(OR(AND(MID($N121,2,1)&gt;="0",MID($N121,2,1)&lt;="9"),MID($N121,2,1)=".")),1,IF(NOT(OR(AND(MID($N121,3,1)&gt;="0",MID($N121,3,1)&lt;="9"),MID($N121,3,1)=".")),2,IF(NOT(OR(AND(MID($N121,4,1)&gt;="0",MID($N121,4,1)&lt;="9"),MID($N121,4,1)=".")),3,IF(NOT(OR(AND(MID($N121,5,1)&gt;="0",MID($N121,5,1)&lt;="9"),MID($N121,5,1)=".")),4,IF(NOT(OR(AND(MID($N121,6,1)&gt;="0",MID($N121,6,1)&lt;="9"),MID($N121,6,1)=".")),5,6)))))))),0)))</f>
        <v>0</v>
      </c>
      <c r="P121" s="223">
        <f>IF(AND($M121&gt;0,$O121&gt;0),$O121/$M121-1,0)</f>
        <v>0</v>
      </c>
      <c r="Q121" s="220">
        <f>IF($B121="","",TRIM('Master Data-2026'!L117))</f>
      </c>
      <c r="R121" s="220">
        <f>IF($Q121="",0,IF(ISNUMBER(SEARCH("%",$Q121)),0,IFERROR(VALUE(LEFT($Q121,IF(NOT(OR(AND(MID($Q121,1,1)&gt;="0",MID($Q121,1,1)&lt;="9"),MID($Q121,1,1)=".")),0,IF(NOT(OR(AND(MID($Q121,2,1)&gt;="0",MID($Q121,2,1)&lt;="9"),MID($Q121,2,1)=".")),1,IF(NOT(OR(AND(MID($Q121,3,1)&gt;="0",MID($Q121,3,1)&lt;="9"),MID($Q121,3,1)=".")),2,IF(NOT(OR(AND(MID($Q121,4,1)&gt;="0",MID($Q121,4,1)&lt;="9"),MID($Q121,4,1)=".")),3,IF(NOT(OR(AND(MID($Q121,5,1)&gt;="0",MID($Q121,5,1)&lt;="9"),MID($Q121,5,1)=".")),4,IF(NOT(OR(AND(MID($Q121,6,1)&gt;="0",MID($Q121,6,1)&lt;="9"),MID($Q121,6,1)=".")),5,6)))))))),0)))</f>
        <v>0</v>
      </c>
      <c r="S121" s="224">
        <f>IF($Q121="",-1,IF(ISNUMBER(SEARCH("immediate",$Q121)),0,IF(ISNUMBER(SEARCH("month",$Q121)),IF($R121=0,-1,$R121*30),IF(ISNUMBER(SEARCH("day",$Q121)),IF($R121=0,-1,$R121),-1))))</f>
        <v>-1</v>
      </c>
      <c r="T121" s="220">
        <f>IF($B121="","",IF($S121&lt;0,"Not recorded",IF($S121=0,"Immediate",IF($S121&lt;=30,"1-30 days",IF($S121&lt;=60,"31-60 days","60+ days")))))</f>
      </c>
      <c r="U121" s="220">
        <f>IF($B121="","",IFERROR(MATCH($B121,'Submission template'!$D$17:$D$300,0),""))</f>
      </c>
      <c r="V121" s="220">
        <f>IF($U121="","",IFERROR(TRIM(INDEX('Submission template'!$I$17:$I$300,$U121)),""))</f>
      </c>
      <c r="W121" s="225">
        <f>IF($V121="",0,IF(ISNUMBER(SEARCH("%",$V121)),0,IFERROR(VALUE(LEFT($V121,IF(NOT(OR(AND(MID($V121,1,1)&gt;="0",MID($V121,1,1)&lt;="9"),MID($V121,1,1)=".")),0,IF(NOT(OR(AND(MID($V121,2,1)&gt;="0",MID($V121,2,1)&lt;="9"),MID($V121,2,1)=".")),1,IF(NOT(OR(AND(MID($V121,3,1)&gt;="0",MID($V121,3,1)&lt;="9"),MID($V121,3,1)=".")),2,IF(NOT(OR(AND(MID($V121,4,1)&gt;="0",MID($V121,4,1)&lt;="9"),MID($V121,4,1)=".")),3,IF(NOT(OR(AND(MID($V121,5,1)&gt;="0",MID($V121,5,1)&lt;="9"),MID($V121,5,1)=".")),4,IF(NOT(OR(AND(MID($V121,6,1)&gt;="0",MID($V121,6,1)&lt;="9"),MID($V121,6,1)=".")),5,6)))))))),0)))</f>
        <v>0</v>
      </c>
      <c r="X121" s="220">
        <f>IF($U121="","",IFERROR(TRIM(INDEX('Submission template'!$J$17:$J$300,$U121)),""))</f>
      </c>
      <c r="Y121" s="220">
        <f>IF($U121="","",IFERROR(TRIM(INDEX('Submission template'!$K$17:$K$300,$U121)),""))</f>
      </c>
      <c r="Z121" s="220">
        <f>IF($U121="","",IFERROR(TRIM(INDEX('Submission template'!$M$17:$M$300,$U121)),""))</f>
      </c>
      <c r="AA121" s="220">
        <f>IF($U121="","",IFERROR(TRIM(INDEX('Submission template'!$O$17:$O$300,$U121)),""))</f>
      </c>
      <c r="AB121" s="220">
        <f>IF($U121="","",IFERROR(TRIM(INDEX('Submission template'!$S$17:$S$300,$U121)),""))</f>
      </c>
      <c r="AC121" s="220">
        <f>IF($B121="",0,IF($U121="",0,1))</f>
        <v>0</v>
      </c>
      <c r="AD121" s="220">
        <f>IF($B121="",0,IF(OR($H121=TargetLocation,AND($AA121&lt;&gt;"",ISNUMBER(SEARCH(TargetLocation,$AA121)))),1,0))</f>
        <v>0</v>
      </c>
      <c r="AE121" s="220">
        <f>IF($B121="",0,IF(AND(OR(SelRecruiter="All",$C121=SelRecruiter),OR(SelCity="All",$H121=SelCity),OR(SelStage="All",$I121=SelStage),OR(SelRequisition="All",$F121=SelRequisition)),1,0))</f>
        <v>0</v>
      </c>
      <c r="AF121" s="220">
        <f>IF($B121="","",COUNT($AF$5:AF120)+1)</f>
      </c>
      <c r="AG121" s="220">
        <f>IF($C121="","",IF(COUNTIF($C$6:$C121,$C121)=1,COUNT($AG$5:AG120)+1,""))</f>
      </c>
      <c r="AH121" s="220">
        <f>IF($F121="","",IF(COUNTIF($F$6:$F121,$F121)=1,COUNT($AH$5:AH120)+1,""))</f>
      </c>
      <c r="AI121" s="220">
        <f>IF($H121="","",IF(COUNTIF($H$6:$H121,$H121)=1,COUNT($AI$5:AI120)+1,""))</f>
      </c>
      <c r="AJ121" s="220">
        <f>IF(OR($B121="",$J121=0),"",$J121*100000000+IF(ISNUMBER($D121),$D121,0)*1000+(170-$A121))</f>
      </c>
      <c r="AK121" s="220">
        <f>IF(OR($B121="",$W121&lt;=0),"",ROUND($W121*10,0)*100000+(170-$A121))</f>
      </c>
      <c r="AL121" s="220">
        <f>IF(OR($B121="",$P121&lt;=0),"",ROUND($P121*10000,0)*1000+(170-$A121))</f>
      </c>
      <c r="AM121" s="220">
        <f>IF(AND($W121&gt;0,$O121&gt;0),COUNT($AM$5:AM120)+1,"")</f>
      </c>
      <c r="AN121">
        <f>IF($B121="",0,IF($G121="",0,SUMPRODUCT(MAX(ISNUMBER(SEARCH(LocPattern,$G121))*LocIdx))))</f>
        <v>0</v>
      </c>
      <c r="BL121">
        <f>IFERROR(INDEX($B$6:$B$125,MATCH(116,$AF$6:$AF$125,0)),"")</f>
      </c>
    </row>
    <row r="122">
      <c r="A122" s="214" t="n">
        <v>117</v>
      </c>
      <c r="B122" s="214">
        <f>IF(TRIM('Master Data-2026'!D118)="","",TRIM('Master Data-2026'!D118))</f>
      </c>
      <c r="C122" s="214">
        <f>IF($B122="","",TRIM('Master Data-2026'!A118))</f>
      </c>
      <c r="D122" s="215">
        <f>IF($B122="","",IF('Master Data-2026'!B118="","",'Master Data-2026'!B118))</f>
      </c>
      <c r="E122" s="214">
        <f>IF($B122="","",TRIM('Master Data-2026'!C118))</f>
      </c>
      <c r="F122" s="214">
        <f>IF($B122="","",TRIM('Master Data-2026'!G118))</f>
      </c>
      <c r="G122" s="214">
        <f>IF($B122="","",TRIM('Master Data-2026'!F118))</f>
      </c>
      <c r="H122" s="214">
        <f>IF($B122="","",IF($G122="","Not recorded",IF($AN122=0,"Other",INDEX(LocCity,$AN122))))</f>
      </c>
      <c r="I122" s="214">
        <f>IF($B122="","",TRIM('Master Data-2026'!H118))</f>
      </c>
      <c r="J122" s="214">
        <f>IF($B122="",0,IFERROR(INDEX(StageOrderRef,MATCH($I122,StageNameRef,0)),0))</f>
        <v>0</v>
      </c>
      <c r="K122" s="214">
        <f>IF($B122="","",TRIM('Master Data-2026'!I118))</f>
      </c>
      <c r="L122" s="214">
        <f>IF($B122="","",TRIM('Master Data-2026'!J118))</f>
      </c>
      <c r="M122" s="216">
        <f>IF($L122="",0,IF(ISNUMBER(SEARCH("%",$L122)),0,IFERROR(VALUE(LEFT($L122,IF(NOT(OR(AND(MID($L122,1,1)&gt;="0",MID($L122,1,1)&lt;="9"),MID($L122,1,1)=".")),0,IF(NOT(OR(AND(MID($L122,2,1)&gt;="0",MID($L122,2,1)&lt;="9"),MID($L122,2,1)=".")),1,IF(NOT(OR(AND(MID($L122,3,1)&gt;="0",MID($L122,3,1)&lt;="9"),MID($L122,3,1)=".")),2,IF(NOT(OR(AND(MID($L122,4,1)&gt;="0",MID($L122,4,1)&lt;="9"),MID($L122,4,1)=".")),3,IF(NOT(OR(AND(MID($L122,5,1)&gt;="0",MID($L122,5,1)&lt;="9"),MID($L122,5,1)=".")),4,IF(NOT(OR(AND(MID($L122,6,1)&gt;="0",MID($L122,6,1)&lt;="9"),MID($L122,6,1)=".")),5,6)))))))),0)))</f>
        <v>0</v>
      </c>
      <c r="N122" s="214">
        <f>IF($B122="","",TRIM('Master Data-2026'!K118))</f>
      </c>
      <c r="O122" s="216">
        <f>IF($N122="",0,IF(ISNUMBER(SEARCH("%",$N122)),0,IFERROR(VALUE(LEFT($N122,IF(NOT(OR(AND(MID($N122,1,1)&gt;="0",MID($N122,1,1)&lt;="9"),MID($N122,1,1)=".")),0,IF(NOT(OR(AND(MID($N122,2,1)&gt;="0",MID($N122,2,1)&lt;="9"),MID($N122,2,1)=".")),1,IF(NOT(OR(AND(MID($N122,3,1)&gt;="0",MID($N122,3,1)&lt;="9"),MID($N122,3,1)=".")),2,IF(NOT(OR(AND(MID($N122,4,1)&gt;="0",MID($N122,4,1)&lt;="9"),MID($N122,4,1)=".")),3,IF(NOT(OR(AND(MID($N122,5,1)&gt;="0",MID($N122,5,1)&lt;="9"),MID($N122,5,1)=".")),4,IF(NOT(OR(AND(MID($N122,6,1)&gt;="0",MID($N122,6,1)&lt;="9"),MID($N122,6,1)=".")),5,6)))))))),0)))</f>
        <v>0</v>
      </c>
      <c r="P122" s="217">
        <f>IF(AND($M122&gt;0,$O122&gt;0),$O122/$M122-1,0)</f>
        <v>0</v>
      </c>
      <c r="Q122" s="214">
        <f>IF($B122="","",TRIM('Master Data-2026'!L118))</f>
      </c>
      <c r="R122" s="214">
        <f>IF($Q122="",0,IF(ISNUMBER(SEARCH("%",$Q122)),0,IFERROR(VALUE(LEFT($Q122,IF(NOT(OR(AND(MID($Q122,1,1)&gt;="0",MID($Q122,1,1)&lt;="9"),MID($Q122,1,1)=".")),0,IF(NOT(OR(AND(MID($Q122,2,1)&gt;="0",MID($Q122,2,1)&lt;="9"),MID($Q122,2,1)=".")),1,IF(NOT(OR(AND(MID($Q122,3,1)&gt;="0",MID($Q122,3,1)&lt;="9"),MID($Q122,3,1)=".")),2,IF(NOT(OR(AND(MID($Q122,4,1)&gt;="0",MID($Q122,4,1)&lt;="9"),MID($Q122,4,1)=".")),3,IF(NOT(OR(AND(MID($Q122,5,1)&gt;="0",MID($Q122,5,1)&lt;="9"),MID($Q122,5,1)=".")),4,IF(NOT(OR(AND(MID($Q122,6,1)&gt;="0",MID($Q122,6,1)&lt;="9"),MID($Q122,6,1)=".")),5,6)))))))),0)))</f>
        <v>0</v>
      </c>
      <c r="S122" s="218">
        <f>IF($Q122="",-1,IF(ISNUMBER(SEARCH("immediate",$Q122)),0,IF(ISNUMBER(SEARCH("month",$Q122)),IF($R122=0,-1,$R122*30),IF(ISNUMBER(SEARCH("day",$Q122)),IF($R122=0,-1,$R122),-1))))</f>
        <v>-1</v>
      </c>
      <c r="T122" s="214">
        <f>IF($B122="","",IF($S122&lt;0,"Not recorded",IF($S122=0,"Immediate",IF($S122&lt;=30,"1-30 days",IF($S122&lt;=60,"31-60 days","60+ days")))))</f>
      </c>
      <c r="U122" s="214">
        <f>IF($B122="","",IFERROR(MATCH($B122,'Submission template'!$D$17:$D$300,0),""))</f>
      </c>
      <c r="V122" s="214">
        <f>IF($U122="","",IFERROR(TRIM(INDEX('Submission template'!$I$17:$I$300,$U122)),""))</f>
      </c>
      <c r="W122" s="219">
        <f>IF($V122="",0,IF(ISNUMBER(SEARCH("%",$V122)),0,IFERROR(VALUE(LEFT($V122,IF(NOT(OR(AND(MID($V122,1,1)&gt;="0",MID($V122,1,1)&lt;="9"),MID($V122,1,1)=".")),0,IF(NOT(OR(AND(MID($V122,2,1)&gt;="0",MID($V122,2,1)&lt;="9"),MID($V122,2,1)=".")),1,IF(NOT(OR(AND(MID($V122,3,1)&gt;="0",MID($V122,3,1)&lt;="9"),MID($V122,3,1)=".")),2,IF(NOT(OR(AND(MID($V122,4,1)&gt;="0",MID($V122,4,1)&lt;="9"),MID($V122,4,1)=".")),3,IF(NOT(OR(AND(MID($V122,5,1)&gt;="0",MID($V122,5,1)&lt;="9"),MID($V122,5,1)=".")),4,IF(NOT(OR(AND(MID($V122,6,1)&gt;="0",MID($V122,6,1)&lt;="9"),MID($V122,6,1)=".")),5,6)))))))),0)))</f>
        <v>0</v>
      </c>
      <c r="X122" s="214">
        <f>IF($U122="","",IFERROR(TRIM(INDEX('Submission template'!$J$17:$J$300,$U122)),""))</f>
      </c>
      <c r="Y122" s="214">
        <f>IF($U122="","",IFERROR(TRIM(INDEX('Submission template'!$K$17:$K$300,$U122)),""))</f>
      </c>
      <c r="Z122" s="214">
        <f>IF($U122="","",IFERROR(TRIM(INDEX('Submission template'!$M$17:$M$300,$U122)),""))</f>
      </c>
      <c r="AA122" s="214">
        <f>IF($U122="","",IFERROR(TRIM(INDEX('Submission template'!$O$17:$O$300,$U122)),""))</f>
      </c>
      <c r="AB122" s="214">
        <f>IF($U122="","",IFERROR(TRIM(INDEX('Submission template'!$S$17:$S$300,$U122)),""))</f>
      </c>
      <c r="AC122" s="214">
        <f>IF($B122="",0,IF($U122="",0,1))</f>
        <v>0</v>
      </c>
      <c r="AD122" s="214">
        <f>IF($B122="",0,IF(OR($H122=TargetLocation,AND($AA122&lt;&gt;"",ISNUMBER(SEARCH(TargetLocation,$AA122)))),1,0))</f>
        <v>0</v>
      </c>
      <c r="AE122" s="214">
        <f>IF($B122="",0,IF(AND(OR(SelRecruiter="All",$C122=SelRecruiter),OR(SelCity="All",$H122=SelCity),OR(SelStage="All",$I122=SelStage),OR(SelRequisition="All",$F122=SelRequisition)),1,0))</f>
        <v>0</v>
      </c>
      <c r="AF122" s="214">
        <f>IF($B122="","",COUNT($AF$5:AF121)+1)</f>
      </c>
      <c r="AG122" s="214">
        <f>IF($C122="","",IF(COUNTIF($C$6:$C122,$C122)=1,COUNT($AG$5:AG121)+1,""))</f>
      </c>
      <c r="AH122" s="214">
        <f>IF($F122="","",IF(COUNTIF($F$6:$F122,$F122)=1,COUNT($AH$5:AH121)+1,""))</f>
      </c>
      <c r="AI122" s="214">
        <f>IF($H122="","",IF(COUNTIF($H$6:$H122,$H122)=1,COUNT($AI$5:AI121)+1,""))</f>
      </c>
      <c r="AJ122" s="214">
        <f>IF(OR($B122="",$J122=0),"",$J122*100000000+IF(ISNUMBER($D122),$D122,0)*1000+(170-$A122))</f>
      </c>
      <c r="AK122" s="214">
        <f>IF(OR($B122="",$W122&lt;=0),"",ROUND($W122*10,0)*100000+(170-$A122))</f>
      </c>
      <c r="AL122" s="214">
        <f>IF(OR($B122="",$P122&lt;=0),"",ROUND($P122*10000,0)*1000+(170-$A122))</f>
      </c>
      <c r="AM122" s="214">
        <f>IF(AND($W122&gt;0,$O122&gt;0),COUNT($AM$5:AM121)+1,"")</f>
      </c>
      <c r="AN122">
        <f>IF($B122="",0,IF($G122="",0,SUMPRODUCT(MAX(ISNUMBER(SEARCH(LocPattern,$G122))*LocIdx))))</f>
        <v>0</v>
      </c>
      <c r="BL122">
        <f>IFERROR(INDEX($B$6:$B$125,MATCH(117,$AF$6:$AF$125,0)),"")</f>
      </c>
    </row>
    <row r="123">
      <c r="A123" s="220" t="n">
        <v>118</v>
      </c>
      <c r="B123" s="220">
        <f>IF(TRIM('Master Data-2026'!D119)="","",TRIM('Master Data-2026'!D119))</f>
      </c>
      <c r="C123" s="220">
        <f>IF($B123="","",TRIM('Master Data-2026'!A119))</f>
      </c>
      <c r="D123" s="221">
        <f>IF($B123="","",IF('Master Data-2026'!B119="","",'Master Data-2026'!B119))</f>
      </c>
      <c r="E123" s="220">
        <f>IF($B123="","",TRIM('Master Data-2026'!C119))</f>
      </c>
      <c r="F123" s="220">
        <f>IF($B123="","",TRIM('Master Data-2026'!G119))</f>
      </c>
      <c r="G123" s="220">
        <f>IF($B123="","",TRIM('Master Data-2026'!F119))</f>
      </c>
      <c r="H123" s="220">
        <f>IF($B123="","",IF($G123="","Not recorded",IF($AN123=0,"Other",INDEX(LocCity,$AN123))))</f>
      </c>
      <c r="I123" s="220">
        <f>IF($B123="","",TRIM('Master Data-2026'!H119))</f>
      </c>
      <c r="J123" s="220">
        <f>IF($B123="",0,IFERROR(INDEX(StageOrderRef,MATCH($I123,StageNameRef,0)),0))</f>
        <v>0</v>
      </c>
      <c r="K123" s="220">
        <f>IF($B123="","",TRIM('Master Data-2026'!I119))</f>
      </c>
      <c r="L123" s="220">
        <f>IF($B123="","",TRIM('Master Data-2026'!J119))</f>
      </c>
      <c r="M123" s="222">
        <f>IF($L123="",0,IF(ISNUMBER(SEARCH("%",$L123)),0,IFERROR(VALUE(LEFT($L123,IF(NOT(OR(AND(MID($L123,1,1)&gt;="0",MID($L123,1,1)&lt;="9"),MID($L123,1,1)=".")),0,IF(NOT(OR(AND(MID($L123,2,1)&gt;="0",MID($L123,2,1)&lt;="9"),MID($L123,2,1)=".")),1,IF(NOT(OR(AND(MID($L123,3,1)&gt;="0",MID($L123,3,1)&lt;="9"),MID($L123,3,1)=".")),2,IF(NOT(OR(AND(MID($L123,4,1)&gt;="0",MID($L123,4,1)&lt;="9"),MID($L123,4,1)=".")),3,IF(NOT(OR(AND(MID($L123,5,1)&gt;="0",MID($L123,5,1)&lt;="9"),MID($L123,5,1)=".")),4,IF(NOT(OR(AND(MID($L123,6,1)&gt;="0",MID($L123,6,1)&lt;="9"),MID($L123,6,1)=".")),5,6)))))))),0)))</f>
        <v>0</v>
      </c>
      <c r="N123" s="220">
        <f>IF($B123="","",TRIM('Master Data-2026'!K119))</f>
      </c>
      <c r="O123" s="222">
        <f>IF($N123="",0,IF(ISNUMBER(SEARCH("%",$N123)),0,IFERROR(VALUE(LEFT($N123,IF(NOT(OR(AND(MID($N123,1,1)&gt;="0",MID($N123,1,1)&lt;="9"),MID($N123,1,1)=".")),0,IF(NOT(OR(AND(MID($N123,2,1)&gt;="0",MID($N123,2,1)&lt;="9"),MID($N123,2,1)=".")),1,IF(NOT(OR(AND(MID($N123,3,1)&gt;="0",MID($N123,3,1)&lt;="9"),MID($N123,3,1)=".")),2,IF(NOT(OR(AND(MID($N123,4,1)&gt;="0",MID($N123,4,1)&lt;="9"),MID($N123,4,1)=".")),3,IF(NOT(OR(AND(MID($N123,5,1)&gt;="0",MID($N123,5,1)&lt;="9"),MID($N123,5,1)=".")),4,IF(NOT(OR(AND(MID($N123,6,1)&gt;="0",MID($N123,6,1)&lt;="9"),MID($N123,6,1)=".")),5,6)))))))),0)))</f>
        <v>0</v>
      </c>
      <c r="P123" s="223">
        <f>IF(AND($M123&gt;0,$O123&gt;0),$O123/$M123-1,0)</f>
        <v>0</v>
      </c>
      <c r="Q123" s="220">
        <f>IF($B123="","",TRIM('Master Data-2026'!L119))</f>
      </c>
      <c r="R123" s="220">
        <f>IF($Q123="",0,IF(ISNUMBER(SEARCH("%",$Q123)),0,IFERROR(VALUE(LEFT($Q123,IF(NOT(OR(AND(MID($Q123,1,1)&gt;="0",MID($Q123,1,1)&lt;="9"),MID($Q123,1,1)=".")),0,IF(NOT(OR(AND(MID($Q123,2,1)&gt;="0",MID($Q123,2,1)&lt;="9"),MID($Q123,2,1)=".")),1,IF(NOT(OR(AND(MID($Q123,3,1)&gt;="0",MID($Q123,3,1)&lt;="9"),MID($Q123,3,1)=".")),2,IF(NOT(OR(AND(MID($Q123,4,1)&gt;="0",MID($Q123,4,1)&lt;="9"),MID($Q123,4,1)=".")),3,IF(NOT(OR(AND(MID($Q123,5,1)&gt;="0",MID($Q123,5,1)&lt;="9"),MID($Q123,5,1)=".")),4,IF(NOT(OR(AND(MID($Q123,6,1)&gt;="0",MID($Q123,6,1)&lt;="9"),MID($Q123,6,1)=".")),5,6)))))))),0)))</f>
        <v>0</v>
      </c>
      <c r="S123" s="224">
        <f>IF($Q123="",-1,IF(ISNUMBER(SEARCH("immediate",$Q123)),0,IF(ISNUMBER(SEARCH("month",$Q123)),IF($R123=0,-1,$R123*30),IF(ISNUMBER(SEARCH("day",$Q123)),IF($R123=0,-1,$R123),-1))))</f>
        <v>-1</v>
      </c>
      <c r="T123" s="220">
        <f>IF($B123="","",IF($S123&lt;0,"Not recorded",IF($S123=0,"Immediate",IF($S123&lt;=30,"1-30 days",IF($S123&lt;=60,"31-60 days","60+ days")))))</f>
      </c>
      <c r="U123" s="220">
        <f>IF($B123="","",IFERROR(MATCH($B123,'Submission template'!$D$17:$D$300,0),""))</f>
      </c>
      <c r="V123" s="220">
        <f>IF($U123="","",IFERROR(TRIM(INDEX('Submission template'!$I$17:$I$300,$U123)),""))</f>
      </c>
      <c r="W123" s="225">
        <f>IF($V123="",0,IF(ISNUMBER(SEARCH("%",$V123)),0,IFERROR(VALUE(LEFT($V123,IF(NOT(OR(AND(MID($V123,1,1)&gt;="0",MID($V123,1,1)&lt;="9"),MID($V123,1,1)=".")),0,IF(NOT(OR(AND(MID($V123,2,1)&gt;="0",MID($V123,2,1)&lt;="9"),MID($V123,2,1)=".")),1,IF(NOT(OR(AND(MID($V123,3,1)&gt;="0",MID($V123,3,1)&lt;="9"),MID($V123,3,1)=".")),2,IF(NOT(OR(AND(MID($V123,4,1)&gt;="0",MID($V123,4,1)&lt;="9"),MID($V123,4,1)=".")),3,IF(NOT(OR(AND(MID($V123,5,1)&gt;="0",MID($V123,5,1)&lt;="9"),MID($V123,5,1)=".")),4,IF(NOT(OR(AND(MID($V123,6,1)&gt;="0",MID($V123,6,1)&lt;="9"),MID($V123,6,1)=".")),5,6)))))))),0)))</f>
        <v>0</v>
      </c>
      <c r="X123" s="220">
        <f>IF($U123="","",IFERROR(TRIM(INDEX('Submission template'!$J$17:$J$300,$U123)),""))</f>
      </c>
      <c r="Y123" s="220">
        <f>IF($U123="","",IFERROR(TRIM(INDEX('Submission template'!$K$17:$K$300,$U123)),""))</f>
      </c>
      <c r="Z123" s="220">
        <f>IF($U123="","",IFERROR(TRIM(INDEX('Submission template'!$M$17:$M$300,$U123)),""))</f>
      </c>
      <c r="AA123" s="220">
        <f>IF($U123="","",IFERROR(TRIM(INDEX('Submission template'!$O$17:$O$300,$U123)),""))</f>
      </c>
      <c r="AB123" s="220">
        <f>IF($U123="","",IFERROR(TRIM(INDEX('Submission template'!$S$17:$S$300,$U123)),""))</f>
      </c>
      <c r="AC123" s="220">
        <f>IF($B123="",0,IF($U123="",0,1))</f>
        <v>0</v>
      </c>
      <c r="AD123" s="220">
        <f>IF($B123="",0,IF(OR($H123=TargetLocation,AND($AA123&lt;&gt;"",ISNUMBER(SEARCH(TargetLocation,$AA123)))),1,0))</f>
        <v>0</v>
      </c>
      <c r="AE123" s="220">
        <f>IF($B123="",0,IF(AND(OR(SelRecruiter="All",$C123=SelRecruiter),OR(SelCity="All",$H123=SelCity),OR(SelStage="All",$I123=SelStage),OR(SelRequisition="All",$F123=SelRequisition)),1,0))</f>
        <v>0</v>
      </c>
      <c r="AF123" s="220">
        <f>IF($B123="","",COUNT($AF$5:AF122)+1)</f>
      </c>
      <c r="AG123" s="220">
        <f>IF($C123="","",IF(COUNTIF($C$6:$C123,$C123)=1,COUNT($AG$5:AG122)+1,""))</f>
      </c>
      <c r="AH123" s="220">
        <f>IF($F123="","",IF(COUNTIF($F$6:$F123,$F123)=1,COUNT($AH$5:AH122)+1,""))</f>
      </c>
      <c r="AI123" s="220">
        <f>IF($H123="","",IF(COUNTIF($H$6:$H123,$H123)=1,COUNT($AI$5:AI122)+1,""))</f>
      </c>
      <c r="AJ123" s="220">
        <f>IF(OR($B123="",$J123=0),"",$J123*100000000+IF(ISNUMBER($D123),$D123,0)*1000+(170-$A123))</f>
      </c>
      <c r="AK123" s="220">
        <f>IF(OR($B123="",$W123&lt;=0),"",ROUND($W123*10,0)*100000+(170-$A123))</f>
      </c>
      <c r="AL123" s="220">
        <f>IF(OR($B123="",$P123&lt;=0),"",ROUND($P123*10000,0)*1000+(170-$A123))</f>
      </c>
      <c r="AM123" s="220">
        <f>IF(AND($W123&gt;0,$O123&gt;0),COUNT($AM$5:AM122)+1,"")</f>
      </c>
      <c r="AN123">
        <f>IF($B123="",0,IF($G123="",0,SUMPRODUCT(MAX(ISNUMBER(SEARCH(LocPattern,$G123))*LocIdx))))</f>
        <v>0</v>
      </c>
      <c r="BL123">
        <f>IFERROR(INDEX($B$6:$B$125,MATCH(118,$AF$6:$AF$125,0)),"")</f>
      </c>
    </row>
    <row r="124">
      <c r="A124" s="214" t="n">
        <v>119</v>
      </c>
      <c r="B124" s="214">
        <f>IF(TRIM('Master Data-2026'!D120)="","",TRIM('Master Data-2026'!D120))</f>
      </c>
      <c r="C124" s="214">
        <f>IF($B124="","",TRIM('Master Data-2026'!A120))</f>
      </c>
      <c r="D124" s="215">
        <f>IF($B124="","",IF('Master Data-2026'!B120="","",'Master Data-2026'!B120))</f>
      </c>
      <c r="E124" s="214">
        <f>IF($B124="","",TRIM('Master Data-2026'!C120))</f>
      </c>
      <c r="F124" s="214">
        <f>IF($B124="","",TRIM('Master Data-2026'!G120))</f>
      </c>
      <c r="G124" s="214">
        <f>IF($B124="","",TRIM('Master Data-2026'!F120))</f>
      </c>
      <c r="H124" s="214">
        <f>IF($B124="","",IF($G124="","Not recorded",IF($AN124=0,"Other",INDEX(LocCity,$AN124))))</f>
      </c>
      <c r="I124" s="214">
        <f>IF($B124="","",TRIM('Master Data-2026'!H120))</f>
      </c>
      <c r="J124" s="214">
        <f>IF($B124="",0,IFERROR(INDEX(StageOrderRef,MATCH($I124,StageNameRef,0)),0))</f>
        <v>0</v>
      </c>
      <c r="K124" s="214">
        <f>IF($B124="","",TRIM('Master Data-2026'!I120))</f>
      </c>
      <c r="L124" s="214">
        <f>IF($B124="","",TRIM('Master Data-2026'!J120))</f>
      </c>
      <c r="M124" s="216">
        <f>IF($L124="",0,IF(ISNUMBER(SEARCH("%",$L124)),0,IFERROR(VALUE(LEFT($L124,IF(NOT(OR(AND(MID($L124,1,1)&gt;="0",MID($L124,1,1)&lt;="9"),MID($L124,1,1)=".")),0,IF(NOT(OR(AND(MID($L124,2,1)&gt;="0",MID($L124,2,1)&lt;="9"),MID($L124,2,1)=".")),1,IF(NOT(OR(AND(MID($L124,3,1)&gt;="0",MID($L124,3,1)&lt;="9"),MID($L124,3,1)=".")),2,IF(NOT(OR(AND(MID($L124,4,1)&gt;="0",MID($L124,4,1)&lt;="9"),MID($L124,4,1)=".")),3,IF(NOT(OR(AND(MID($L124,5,1)&gt;="0",MID($L124,5,1)&lt;="9"),MID($L124,5,1)=".")),4,IF(NOT(OR(AND(MID($L124,6,1)&gt;="0",MID($L124,6,1)&lt;="9"),MID($L124,6,1)=".")),5,6)))))))),0)))</f>
        <v>0</v>
      </c>
      <c r="N124" s="214">
        <f>IF($B124="","",TRIM('Master Data-2026'!K120))</f>
      </c>
      <c r="O124" s="216">
        <f>IF($N124="",0,IF(ISNUMBER(SEARCH("%",$N124)),0,IFERROR(VALUE(LEFT($N124,IF(NOT(OR(AND(MID($N124,1,1)&gt;="0",MID($N124,1,1)&lt;="9"),MID($N124,1,1)=".")),0,IF(NOT(OR(AND(MID($N124,2,1)&gt;="0",MID($N124,2,1)&lt;="9"),MID($N124,2,1)=".")),1,IF(NOT(OR(AND(MID($N124,3,1)&gt;="0",MID($N124,3,1)&lt;="9"),MID($N124,3,1)=".")),2,IF(NOT(OR(AND(MID($N124,4,1)&gt;="0",MID($N124,4,1)&lt;="9"),MID($N124,4,1)=".")),3,IF(NOT(OR(AND(MID($N124,5,1)&gt;="0",MID($N124,5,1)&lt;="9"),MID($N124,5,1)=".")),4,IF(NOT(OR(AND(MID($N124,6,1)&gt;="0",MID($N124,6,1)&lt;="9"),MID($N124,6,1)=".")),5,6)))))))),0)))</f>
        <v>0</v>
      </c>
      <c r="P124" s="217">
        <f>IF(AND($M124&gt;0,$O124&gt;0),$O124/$M124-1,0)</f>
        <v>0</v>
      </c>
      <c r="Q124" s="214">
        <f>IF($B124="","",TRIM('Master Data-2026'!L120))</f>
      </c>
      <c r="R124" s="214">
        <f>IF($Q124="",0,IF(ISNUMBER(SEARCH("%",$Q124)),0,IFERROR(VALUE(LEFT($Q124,IF(NOT(OR(AND(MID($Q124,1,1)&gt;="0",MID($Q124,1,1)&lt;="9"),MID($Q124,1,1)=".")),0,IF(NOT(OR(AND(MID($Q124,2,1)&gt;="0",MID($Q124,2,1)&lt;="9"),MID($Q124,2,1)=".")),1,IF(NOT(OR(AND(MID($Q124,3,1)&gt;="0",MID($Q124,3,1)&lt;="9"),MID($Q124,3,1)=".")),2,IF(NOT(OR(AND(MID($Q124,4,1)&gt;="0",MID($Q124,4,1)&lt;="9"),MID($Q124,4,1)=".")),3,IF(NOT(OR(AND(MID($Q124,5,1)&gt;="0",MID($Q124,5,1)&lt;="9"),MID($Q124,5,1)=".")),4,IF(NOT(OR(AND(MID($Q124,6,1)&gt;="0",MID($Q124,6,1)&lt;="9"),MID($Q124,6,1)=".")),5,6)))))))),0)))</f>
        <v>0</v>
      </c>
      <c r="S124" s="218">
        <f>IF($Q124="",-1,IF(ISNUMBER(SEARCH("immediate",$Q124)),0,IF(ISNUMBER(SEARCH("month",$Q124)),IF($R124=0,-1,$R124*30),IF(ISNUMBER(SEARCH("day",$Q124)),IF($R124=0,-1,$R124),-1))))</f>
        <v>-1</v>
      </c>
      <c r="T124" s="214">
        <f>IF($B124="","",IF($S124&lt;0,"Not recorded",IF($S124=0,"Immediate",IF($S124&lt;=30,"1-30 days",IF($S124&lt;=60,"31-60 days","60+ days")))))</f>
      </c>
      <c r="U124" s="214">
        <f>IF($B124="","",IFERROR(MATCH($B124,'Submission template'!$D$17:$D$300,0),""))</f>
      </c>
      <c r="V124" s="214">
        <f>IF($U124="","",IFERROR(TRIM(INDEX('Submission template'!$I$17:$I$300,$U124)),""))</f>
      </c>
      <c r="W124" s="219">
        <f>IF($V124="",0,IF(ISNUMBER(SEARCH("%",$V124)),0,IFERROR(VALUE(LEFT($V124,IF(NOT(OR(AND(MID($V124,1,1)&gt;="0",MID($V124,1,1)&lt;="9"),MID($V124,1,1)=".")),0,IF(NOT(OR(AND(MID($V124,2,1)&gt;="0",MID($V124,2,1)&lt;="9"),MID($V124,2,1)=".")),1,IF(NOT(OR(AND(MID($V124,3,1)&gt;="0",MID($V124,3,1)&lt;="9"),MID($V124,3,1)=".")),2,IF(NOT(OR(AND(MID($V124,4,1)&gt;="0",MID($V124,4,1)&lt;="9"),MID($V124,4,1)=".")),3,IF(NOT(OR(AND(MID($V124,5,1)&gt;="0",MID($V124,5,1)&lt;="9"),MID($V124,5,1)=".")),4,IF(NOT(OR(AND(MID($V124,6,1)&gt;="0",MID($V124,6,1)&lt;="9"),MID($V124,6,1)=".")),5,6)))))))),0)))</f>
        <v>0</v>
      </c>
      <c r="X124" s="214">
        <f>IF($U124="","",IFERROR(TRIM(INDEX('Submission template'!$J$17:$J$300,$U124)),""))</f>
      </c>
      <c r="Y124" s="214">
        <f>IF($U124="","",IFERROR(TRIM(INDEX('Submission template'!$K$17:$K$300,$U124)),""))</f>
      </c>
      <c r="Z124" s="214">
        <f>IF($U124="","",IFERROR(TRIM(INDEX('Submission template'!$M$17:$M$300,$U124)),""))</f>
      </c>
      <c r="AA124" s="214">
        <f>IF($U124="","",IFERROR(TRIM(INDEX('Submission template'!$O$17:$O$300,$U124)),""))</f>
      </c>
      <c r="AB124" s="214">
        <f>IF($U124="","",IFERROR(TRIM(INDEX('Submission template'!$S$17:$S$300,$U124)),""))</f>
      </c>
      <c r="AC124" s="214">
        <f>IF($B124="",0,IF($U124="",0,1))</f>
        <v>0</v>
      </c>
      <c r="AD124" s="214">
        <f>IF($B124="",0,IF(OR($H124=TargetLocation,AND($AA124&lt;&gt;"",ISNUMBER(SEARCH(TargetLocation,$AA124)))),1,0))</f>
        <v>0</v>
      </c>
      <c r="AE124" s="214">
        <f>IF($B124="",0,IF(AND(OR(SelRecruiter="All",$C124=SelRecruiter),OR(SelCity="All",$H124=SelCity),OR(SelStage="All",$I124=SelStage),OR(SelRequisition="All",$F124=SelRequisition)),1,0))</f>
        <v>0</v>
      </c>
      <c r="AF124" s="214">
        <f>IF($B124="","",COUNT($AF$5:AF123)+1)</f>
      </c>
      <c r="AG124" s="214">
        <f>IF($C124="","",IF(COUNTIF($C$6:$C124,$C124)=1,COUNT($AG$5:AG123)+1,""))</f>
      </c>
      <c r="AH124" s="214">
        <f>IF($F124="","",IF(COUNTIF($F$6:$F124,$F124)=1,COUNT($AH$5:AH123)+1,""))</f>
      </c>
      <c r="AI124" s="214">
        <f>IF($H124="","",IF(COUNTIF($H$6:$H124,$H124)=1,COUNT($AI$5:AI123)+1,""))</f>
      </c>
      <c r="AJ124" s="214">
        <f>IF(OR($B124="",$J124=0),"",$J124*100000000+IF(ISNUMBER($D124),$D124,0)*1000+(170-$A124))</f>
      </c>
      <c r="AK124" s="214">
        <f>IF(OR($B124="",$W124&lt;=0),"",ROUND($W124*10,0)*100000+(170-$A124))</f>
      </c>
      <c r="AL124" s="214">
        <f>IF(OR($B124="",$P124&lt;=0),"",ROUND($P124*10000,0)*1000+(170-$A124))</f>
      </c>
      <c r="AM124" s="214">
        <f>IF(AND($W124&gt;0,$O124&gt;0),COUNT($AM$5:AM123)+1,"")</f>
      </c>
      <c r="AN124">
        <f>IF($B124="",0,IF($G124="",0,SUMPRODUCT(MAX(ISNUMBER(SEARCH(LocPattern,$G124))*LocIdx))))</f>
        <v>0</v>
      </c>
      <c r="BL124">
        <f>IFERROR(INDEX($B$6:$B$125,MATCH(119,$AF$6:$AF$125,0)),"")</f>
      </c>
    </row>
    <row r="125">
      <c r="A125" s="220" t="n">
        <v>120</v>
      </c>
      <c r="B125" s="220">
        <f>IF(TRIM('Master Data-2026'!D121)="","",TRIM('Master Data-2026'!D121))</f>
      </c>
      <c r="C125" s="220">
        <f>IF($B125="","",TRIM('Master Data-2026'!A121))</f>
      </c>
      <c r="D125" s="221">
        <f>IF($B125="","",IF('Master Data-2026'!B121="","",'Master Data-2026'!B121))</f>
      </c>
      <c r="E125" s="220">
        <f>IF($B125="","",TRIM('Master Data-2026'!C121))</f>
      </c>
      <c r="F125" s="220">
        <f>IF($B125="","",TRIM('Master Data-2026'!G121))</f>
      </c>
      <c r="G125" s="220">
        <f>IF($B125="","",TRIM('Master Data-2026'!F121))</f>
      </c>
      <c r="H125" s="220">
        <f>IF($B125="","",IF($G125="","Not recorded",IF($AN125=0,"Other",INDEX(LocCity,$AN125))))</f>
      </c>
      <c r="I125" s="220">
        <f>IF($B125="","",TRIM('Master Data-2026'!H121))</f>
      </c>
      <c r="J125" s="220">
        <f>IF($B125="",0,IFERROR(INDEX(StageOrderRef,MATCH($I125,StageNameRef,0)),0))</f>
        <v>0</v>
      </c>
      <c r="K125" s="220">
        <f>IF($B125="","",TRIM('Master Data-2026'!I121))</f>
      </c>
      <c r="L125" s="220">
        <f>IF($B125="","",TRIM('Master Data-2026'!J121))</f>
      </c>
      <c r="M125" s="222">
        <f>IF($L125="",0,IF(ISNUMBER(SEARCH("%",$L125)),0,IFERROR(VALUE(LEFT($L125,IF(NOT(OR(AND(MID($L125,1,1)&gt;="0",MID($L125,1,1)&lt;="9"),MID($L125,1,1)=".")),0,IF(NOT(OR(AND(MID($L125,2,1)&gt;="0",MID($L125,2,1)&lt;="9"),MID($L125,2,1)=".")),1,IF(NOT(OR(AND(MID($L125,3,1)&gt;="0",MID($L125,3,1)&lt;="9"),MID($L125,3,1)=".")),2,IF(NOT(OR(AND(MID($L125,4,1)&gt;="0",MID($L125,4,1)&lt;="9"),MID($L125,4,1)=".")),3,IF(NOT(OR(AND(MID($L125,5,1)&gt;="0",MID($L125,5,1)&lt;="9"),MID($L125,5,1)=".")),4,IF(NOT(OR(AND(MID($L125,6,1)&gt;="0",MID($L125,6,1)&lt;="9"),MID($L125,6,1)=".")),5,6)))))))),0)))</f>
        <v>0</v>
      </c>
      <c r="N125" s="220">
        <f>IF($B125="","",TRIM('Master Data-2026'!K121))</f>
      </c>
      <c r="O125" s="222">
        <f>IF($N125="",0,IF(ISNUMBER(SEARCH("%",$N125)),0,IFERROR(VALUE(LEFT($N125,IF(NOT(OR(AND(MID($N125,1,1)&gt;="0",MID($N125,1,1)&lt;="9"),MID($N125,1,1)=".")),0,IF(NOT(OR(AND(MID($N125,2,1)&gt;="0",MID($N125,2,1)&lt;="9"),MID($N125,2,1)=".")),1,IF(NOT(OR(AND(MID($N125,3,1)&gt;="0",MID($N125,3,1)&lt;="9"),MID($N125,3,1)=".")),2,IF(NOT(OR(AND(MID($N125,4,1)&gt;="0",MID($N125,4,1)&lt;="9"),MID($N125,4,1)=".")),3,IF(NOT(OR(AND(MID($N125,5,1)&gt;="0",MID($N125,5,1)&lt;="9"),MID($N125,5,1)=".")),4,IF(NOT(OR(AND(MID($N125,6,1)&gt;="0",MID($N125,6,1)&lt;="9"),MID($N125,6,1)=".")),5,6)))))))),0)))</f>
        <v>0</v>
      </c>
      <c r="P125" s="223">
        <f>IF(AND($M125&gt;0,$O125&gt;0),$O125/$M125-1,0)</f>
        <v>0</v>
      </c>
      <c r="Q125" s="220">
        <f>IF($B125="","",TRIM('Master Data-2026'!L121))</f>
      </c>
      <c r="R125" s="220">
        <f>IF($Q125="",0,IF(ISNUMBER(SEARCH("%",$Q125)),0,IFERROR(VALUE(LEFT($Q125,IF(NOT(OR(AND(MID($Q125,1,1)&gt;="0",MID($Q125,1,1)&lt;="9"),MID($Q125,1,1)=".")),0,IF(NOT(OR(AND(MID($Q125,2,1)&gt;="0",MID($Q125,2,1)&lt;="9"),MID($Q125,2,1)=".")),1,IF(NOT(OR(AND(MID($Q125,3,1)&gt;="0",MID($Q125,3,1)&lt;="9"),MID($Q125,3,1)=".")),2,IF(NOT(OR(AND(MID($Q125,4,1)&gt;="0",MID($Q125,4,1)&lt;="9"),MID($Q125,4,1)=".")),3,IF(NOT(OR(AND(MID($Q125,5,1)&gt;="0",MID($Q125,5,1)&lt;="9"),MID($Q125,5,1)=".")),4,IF(NOT(OR(AND(MID($Q125,6,1)&gt;="0",MID($Q125,6,1)&lt;="9"),MID($Q125,6,1)=".")),5,6)))))))),0)))</f>
        <v>0</v>
      </c>
      <c r="S125" s="224">
        <f>IF($Q125="",-1,IF(ISNUMBER(SEARCH("immediate",$Q125)),0,IF(ISNUMBER(SEARCH("month",$Q125)),IF($R125=0,-1,$R125*30),IF(ISNUMBER(SEARCH("day",$Q125)),IF($R125=0,-1,$R125),-1))))</f>
        <v>-1</v>
      </c>
      <c r="T125" s="220">
        <f>IF($B125="","",IF($S125&lt;0,"Not recorded",IF($S125=0,"Immediate",IF($S125&lt;=30,"1-30 days",IF($S125&lt;=60,"31-60 days","60+ days")))))</f>
      </c>
      <c r="U125" s="220">
        <f>IF($B125="","",IFERROR(MATCH($B125,'Submission template'!$D$17:$D$300,0),""))</f>
      </c>
      <c r="V125" s="220">
        <f>IF($U125="","",IFERROR(TRIM(INDEX('Submission template'!$I$17:$I$300,$U125)),""))</f>
      </c>
      <c r="W125" s="225">
        <f>IF($V125="",0,IF(ISNUMBER(SEARCH("%",$V125)),0,IFERROR(VALUE(LEFT($V125,IF(NOT(OR(AND(MID($V125,1,1)&gt;="0",MID($V125,1,1)&lt;="9"),MID($V125,1,1)=".")),0,IF(NOT(OR(AND(MID($V125,2,1)&gt;="0",MID($V125,2,1)&lt;="9"),MID($V125,2,1)=".")),1,IF(NOT(OR(AND(MID($V125,3,1)&gt;="0",MID($V125,3,1)&lt;="9"),MID($V125,3,1)=".")),2,IF(NOT(OR(AND(MID($V125,4,1)&gt;="0",MID($V125,4,1)&lt;="9"),MID($V125,4,1)=".")),3,IF(NOT(OR(AND(MID($V125,5,1)&gt;="0",MID($V125,5,1)&lt;="9"),MID($V125,5,1)=".")),4,IF(NOT(OR(AND(MID($V125,6,1)&gt;="0",MID($V125,6,1)&lt;="9"),MID($V125,6,1)=".")),5,6)))))))),0)))</f>
        <v>0</v>
      </c>
      <c r="X125" s="220">
        <f>IF($U125="","",IFERROR(TRIM(INDEX('Submission template'!$J$17:$J$300,$U125)),""))</f>
      </c>
      <c r="Y125" s="220">
        <f>IF($U125="","",IFERROR(TRIM(INDEX('Submission template'!$K$17:$K$300,$U125)),""))</f>
      </c>
      <c r="Z125" s="220">
        <f>IF($U125="","",IFERROR(TRIM(INDEX('Submission template'!$M$17:$M$300,$U125)),""))</f>
      </c>
      <c r="AA125" s="220">
        <f>IF($U125="","",IFERROR(TRIM(INDEX('Submission template'!$O$17:$O$300,$U125)),""))</f>
      </c>
      <c r="AB125" s="220">
        <f>IF($U125="","",IFERROR(TRIM(INDEX('Submission template'!$S$17:$S$300,$U125)),""))</f>
      </c>
      <c r="AC125" s="220">
        <f>IF($B125="",0,IF($U125="",0,1))</f>
        <v>0</v>
      </c>
      <c r="AD125" s="220">
        <f>IF($B125="",0,IF(OR($H125=TargetLocation,AND($AA125&lt;&gt;"",ISNUMBER(SEARCH(TargetLocation,$AA125)))),1,0))</f>
        <v>0</v>
      </c>
      <c r="AE125" s="220">
        <f>IF($B125="",0,IF(AND(OR(SelRecruiter="All",$C125=SelRecruiter),OR(SelCity="All",$H125=SelCity),OR(SelStage="All",$I125=SelStage),OR(SelRequisition="All",$F125=SelRequisition)),1,0))</f>
        <v>0</v>
      </c>
      <c r="AF125" s="220">
        <f>IF($B125="","",COUNT($AF$5:AF124)+1)</f>
      </c>
      <c r="AG125" s="220">
        <f>IF($C125="","",IF(COUNTIF($C$6:$C125,$C125)=1,COUNT($AG$5:AG124)+1,""))</f>
      </c>
      <c r="AH125" s="220">
        <f>IF($F125="","",IF(COUNTIF($F$6:$F125,$F125)=1,COUNT($AH$5:AH124)+1,""))</f>
      </c>
      <c r="AI125" s="220">
        <f>IF($H125="","",IF(COUNTIF($H$6:$H125,$H125)=1,COUNT($AI$5:AI124)+1,""))</f>
      </c>
      <c r="AJ125" s="220">
        <f>IF(OR($B125="",$J125=0),"",$J125*100000000+IF(ISNUMBER($D125),$D125,0)*1000+(170-$A125))</f>
      </c>
      <c r="AK125" s="220">
        <f>IF(OR($B125="",$W125&lt;=0),"",ROUND($W125*10,0)*100000+(170-$A125))</f>
      </c>
      <c r="AL125" s="220">
        <f>IF(OR($B125="",$P125&lt;=0),"",ROUND($P125*10000,0)*1000+(170-$A125))</f>
      </c>
      <c r="AM125" s="220">
        <f>IF(AND($W125&gt;0,$O125&gt;0),COUNT($AM$5:AM124)+1,"")</f>
      </c>
      <c r="AN125">
        <f>IF($B125="",0,IF($G125="",0,SUMPRODUCT(MAX(ISNUMBER(SEARCH(LocPattern,$G125))*LocIdx))))</f>
        <v>0</v>
      </c>
      <c r="BL125">
        <f>IFERROR(INDEX($B$6:$B$125,MATCH(120,$AF$6:$AF$125,0)),"")</f>
      </c>
    </row>
    <row r="208">
      <c r="A208" s="226" t="inlineStr">
        <is>
          <t>2 · AGGREGATES — all filter-aware, all formula-driven</t>
        </is>
      </c>
    </row>
    <row r="210">
      <c r="A210" s="211" t="inlineStr">
        <is>
          <t>Stage distribution</t>
        </is>
      </c>
    </row>
    <row r="211">
      <c r="A211" s="227" t="inlineStr">
        <is>
          <t>Stage</t>
        </is>
      </c>
      <c r="B211" s="228" t="inlineStr">
        <is>
          <t>Order</t>
        </is>
      </c>
      <c r="C211" s="228" t="inlineStr">
        <is>
          <t>All candidates</t>
        </is>
      </c>
      <c r="D211" s="228" t="inlineStr">
        <is>
          <t>Filtered</t>
        </is>
      </c>
      <c r="E211" s="228" t="inlineStr">
        <is>
          <t>Share</t>
        </is>
      </c>
    </row>
    <row r="212">
      <c r="A212" s="214" t="str">
        <f>Reference!$B$7</f>
        <v>Telephonic Screening</v>
      </c>
      <c r="B212" s="214">
        <f>Reference!$C$7</f>
        <v>1</v>
      </c>
      <c r="C212" s="214">
        <f>COUNTIF($I$6:$I$125,$A212)</f>
        <v>29</v>
      </c>
      <c r="D212" s="214">
        <f>SUMPRODUCT($AE$6:$AE$125*($I$6:$I$125=$A212))</f>
        <v>29</v>
      </c>
      <c r="E212" s="217">
        <f>IFERROR($D212/SUM($D$212:$D$219),0)</f>
        <v>0.5576923076923077</v>
      </c>
    </row>
    <row r="213">
      <c r="A213" s="220" t="str">
        <f>Reference!$B$8</f>
        <v>ZN Submission</v>
      </c>
      <c r="B213" s="220">
        <f>Reference!$C$8</f>
        <v>2</v>
      </c>
      <c r="C213" s="220">
        <f>COUNTIF($I$6:$I$125,$A213)</f>
        <v>20</v>
      </c>
      <c r="D213" s="220">
        <f>SUMPRODUCT($AE$6:$AE$125*($I$6:$I$125=$A213))</f>
        <v>20</v>
      </c>
      <c r="E213" s="223">
        <f>IFERROR($D213/SUM($D$212:$D$219),0)</f>
        <v>0.38461538461538464</v>
      </c>
    </row>
    <row r="214">
      <c r="A214" s="214" t="str">
        <f>Reference!$B$9</f>
        <v>ZN Interview</v>
      </c>
      <c r="B214" s="214">
        <f>Reference!$C$9</f>
        <v>3</v>
      </c>
      <c r="C214" s="214">
        <f>COUNTIF($I$6:$I$125,$A214)</f>
        <v>3</v>
      </c>
      <c r="D214" s="214">
        <f>SUMPRODUCT($AE$6:$AE$125*($I$6:$I$125=$A214))</f>
        <v>3</v>
      </c>
      <c r="E214" s="217">
        <f>IFERROR($D214/SUM($D$212:$D$219),0)</f>
        <v>0.057692307692307696</v>
      </c>
    </row>
    <row r="215">
      <c r="A215" s="220" t="str">
        <f>Reference!$B$10</f>
        <v>ZN Salary Discussion</v>
      </c>
      <c r="B215" s="220">
        <f>Reference!$C$10</f>
        <v>4</v>
      </c>
      <c r="C215" s="220">
        <f>COUNTIF($I$6:$I$125,$A215)</f>
        <v>0</v>
      </c>
      <c r="D215" s="220">
        <f>SUMPRODUCT($AE$6:$AE$125*($I$6:$I$125=$A215))</f>
        <v>0</v>
      </c>
      <c r="E215" s="223">
        <f>IFERROR($D215/SUM($D$212:$D$219),0)</f>
        <v>0</v>
      </c>
    </row>
    <row r="216">
      <c r="A216" s="214" t="str">
        <f>Reference!$B$11</f>
        <v>ZN Offer</v>
      </c>
      <c r="B216" s="214">
        <f>Reference!$C$11</f>
        <v>5</v>
      </c>
      <c r="C216" s="214">
        <f>COUNTIF($I$6:$I$125,$A216)</f>
        <v>0</v>
      </c>
      <c r="D216" s="214">
        <f>SUMPRODUCT($AE$6:$AE$125*($I$6:$I$125=$A216))</f>
        <v>0</v>
      </c>
      <c r="E216" s="217">
        <f>IFERROR($D216/SUM($D$212:$D$219),0)</f>
        <v>0</v>
      </c>
    </row>
    <row r="217">
      <c r="A217" s="220" t="str">
        <f>Reference!$B$12</f>
        <v>ZN Hire</v>
      </c>
      <c r="B217" s="220">
        <f>Reference!$C$12</f>
        <v>6</v>
      </c>
      <c r="C217" s="220">
        <f>COUNTIF($I$6:$I$125,$A217)</f>
        <v>0</v>
      </c>
      <c r="D217" s="220">
        <f>SUMPRODUCT($AE$6:$AE$125*($I$6:$I$125=$A217))</f>
        <v>0</v>
      </c>
      <c r="E217" s="223">
        <f>IFERROR($D217/SUM($D$212:$D$219),0)</f>
        <v>0</v>
      </c>
    </row>
    <row r="218">
      <c r="A218" s="214" t="str">
        <f>Reference!$B$13</f>
        <v>Candidate Withdrawn</v>
      </c>
      <c r="B218" s="214">
        <f>Reference!$C$13</f>
        <v>0</v>
      </c>
      <c r="C218" s="214">
        <f>COUNTIF($I$6:$I$125,$A218)</f>
        <v>0</v>
      </c>
      <c r="D218" s="214">
        <f>SUMPRODUCT($AE$6:$AE$125*($I$6:$I$125=$A218))</f>
        <v>0</v>
      </c>
      <c r="E218" s="217">
        <f>IFERROR($D218/SUM($D$212:$D$219),0)</f>
        <v>0</v>
      </c>
    </row>
    <row r="219">
      <c r="A219" s="220" t="inlineStr">
        <is>
          <t>Not recorded</t>
        </is>
      </c>
      <c r="B219" s="220" t="n">
        <v>0</v>
      </c>
      <c r="C219" s="220">
        <f>SUMPRODUCT(($B$6:$B$125&lt;&gt;"")*1)-SUM($C$212:$C$218)</f>
        <v>0</v>
      </c>
      <c r="D219" s="220">
        <f>SUMPRODUCT($AE$6:$AE$125)-SUM($D$212:$D$218)</f>
        <v>0</v>
      </c>
      <c r="E219" s="223">
        <f>IFERROR($D219/SUM($D$212:$D$219),0)</f>
        <v>0</v>
      </c>
    </row>
    <row r="221">
      <c r="A221" s="211" t="inlineStr">
        <is>
          <t>Recruitment funnel</t>
        </is>
      </c>
    </row>
    <row r="222">
      <c r="A222" s="227" t="inlineStr">
        <is>
          <t>Stage reached</t>
        </is>
      </c>
      <c r="B222" s="228" t="inlineStr">
        <is>
          <t>Min order</t>
        </is>
      </c>
      <c r="C222" s="228" t="inlineStr">
        <is>
          <t>Candidates</t>
        </is>
      </c>
      <c r="D222" s="228" t="inlineStr">
        <is>
          <t>Step conversion</t>
        </is>
      </c>
      <c r="E222" s="228" t="inlineStr">
        <is>
          <t>% of sourced</t>
        </is>
      </c>
    </row>
    <row r="223">
      <c r="A223" s="214" t="inlineStr">
        <is>
          <t>Total sourced</t>
        </is>
      </c>
      <c r="B223" s="214" t="n">
        <v>0</v>
      </c>
      <c r="C223" s="214">
        <f>SUMPRODUCT($AE$6:$AE$125)</f>
        <v>52</v>
      </c>
      <c r="D223" s="217">
        <f>1</f>
        <v>1</v>
      </c>
      <c r="E223" s="217">
        <f>IFERROR($C223/$C$223,0)</f>
        <v>1</v>
      </c>
    </row>
    <row r="224">
      <c r="A224" s="220" t="inlineStr">
        <is>
          <t>Telephonic screening</t>
        </is>
      </c>
      <c r="B224" s="220" t="n">
        <v>1</v>
      </c>
      <c r="C224" s="220">
        <f>SUMPRODUCT($AE$6:$AE$125*($J$6:$J$125&gt;=1))</f>
        <v>52</v>
      </c>
      <c r="D224" s="223">
        <f>IFERROR($C224/$C223,0)</f>
        <v>1</v>
      </c>
      <c r="E224" s="223">
        <f>IFERROR($C224/$C$223,0)</f>
        <v>1</v>
      </c>
    </row>
    <row r="225">
      <c r="A225" s="214" t="inlineStr">
        <is>
          <t>Client submission</t>
        </is>
      </c>
      <c r="B225" s="214" t="n">
        <v>2</v>
      </c>
      <c r="C225" s="214">
        <f>SUMPRODUCT($AE$6:$AE$125*($J$6:$J$125&gt;=2))</f>
        <v>23</v>
      </c>
      <c r="D225" s="217">
        <f>IFERROR($C225/$C224,0)</f>
        <v>0.4423076923076923</v>
      </c>
      <c r="E225" s="217">
        <f>IFERROR($C225/$C$223,0)</f>
        <v>0.4423076923076923</v>
      </c>
    </row>
    <row r="226">
      <c r="A226" s="220" t="inlineStr">
        <is>
          <t>Client interview</t>
        </is>
      </c>
      <c r="B226" s="220" t="n">
        <v>3</v>
      </c>
      <c r="C226" s="220">
        <f>SUMPRODUCT($AE$6:$AE$125*($J$6:$J$125&gt;=3))</f>
        <v>3</v>
      </c>
      <c r="D226" s="223">
        <f>IFERROR($C226/$C225,0)</f>
        <v>0.13043478260869565</v>
      </c>
      <c r="E226" s="223">
        <f>IFERROR($C226/$C$223,0)</f>
        <v>0.057692307692307696</v>
      </c>
    </row>
    <row r="227">
      <c r="A227" s="214" t="inlineStr">
        <is>
          <t>Salary discussion</t>
        </is>
      </c>
      <c r="B227" s="214" t="n">
        <v>4</v>
      </c>
      <c r="C227" s="214">
        <f>SUMPRODUCT($AE$6:$AE$125*($J$6:$J$125&gt;=4))</f>
        <v>0</v>
      </c>
      <c r="D227" s="217">
        <f>IFERROR($C227/$C226,0)</f>
        <v>0</v>
      </c>
      <c r="E227" s="217">
        <f>IFERROR($C227/$C$223,0)</f>
        <v>0</v>
      </c>
    </row>
    <row r="228">
      <c r="A228" s="220" t="inlineStr">
        <is>
          <t>Offer</t>
        </is>
      </c>
      <c r="B228" s="220" t="n">
        <v>5</v>
      </c>
      <c r="C228" s="220">
        <f>SUMPRODUCT($AE$6:$AE$125*($J$6:$J$125&gt;=5))</f>
        <v>0</v>
      </c>
      <c r="D228" s="223">
        <f>IFERROR($C228/$C227,0)</f>
        <v>0</v>
      </c>
      <c r="E228" s="223">
        <f>IFERROR($C228/$C$223,0)</f>
        <v>0</v>
      </c>
    </row>
    <row r="229">
      <c r="A229" s="214" t="inlineStr">
        <is>
          <t>Hire</t>
        </is>
      </c>
      <c r="B229" s="214" t="n">
        <v>6</v>
      </c>
      <c r="C229" s="214">
        <f>SUMPRODUCT($AE$6:$AE$125*($J$6:$J$125&gt;=6))</f>
        <v>0</v>
      </c>
      <c r="D229" s="217">
        <f>IFERROR($C229/$C228,0)</f>
        <v>0</v>
      </c>
      <c r="E229" s="217">
        <f>IFERROR($C229/$C$223,0)</f>
        <v>0</v>
      </c>
    </row>
    <row r="230">
      <c r="A230" s="211" t="inlineStr">
        <is>
          <t>Candidates by city</t>
        </is>
      </c>
    </row>
    <row r="231">
      <c r="A231" s="227" t="inlineStr">
        <is>
          <t>City</t>
        </is>
      </c>
      <c r="B231" s="228" t="inlineStr">
        <is>
          <t>Candidates</t>
        </is>
      </c>
      <c r="C231" s="228" t="inlineStr">
        <is>
          <t>Share</t>
        </is>
      </c>
    </row>
    <row r="232">
      <c r="A232" s="214" t="str">
        <f>IFERROR(INDEX($AO$6:$AO$25,MATCH(LARGE($AQ$6:$AQ$25,1),$AQ$6:$AQ$25,0)),"")</f>
        <v>Chennai</v>
      </c>
      <c r="B232" s="214">
        <f>IF($A232="",0,SUMPRODUCT($AE$6:$AE$125*($H$6:$H$125=$A232)))</f>
        <v>32</v>
      </c>
      <c r="C232" s="217">
        <f>IFERROR($B232/SUMPRODUCT($AE$6:$AE$125),0)</f>
        <v>0.6153846153846154</v>
      </c>
    </row>
    <row r="233">
      <c r="A233" s="220" t="str">
        <f>IFERROR(INDEX($AO$6:$AO$25,MATCH(LARGE($AQ$6:$AQ$25,2),$AQ$6:$AQ$25,0)),"")</f>
        <v>Not recorded</v>
      </c>
      <c r="B233" s="220">
        <f>IF($A233="",0,SUMPRODUCT($AE$6:$AE$125*($H$6:$H$125=$A233)))</f>
        <v>6</v>
      </c>
      <c r="C233" s="223">
        <f>IFERROR($B233/SUMPRODUCT($AE$6:$AE$125),0)</f>
        <v>0.11538461538461539</v>
      </c>
    </row>
    <row r="234">
      <c r="A234" s="214" t="str">
        <f>IFERROR(INDEX($AO$6:$AO$25,MATCH(LARGE($AQ$6:$AQ$25,3),$AQ$6:$AQ$25,0)),"")</f>
        <v>Bangalore</v>
      </c>
      <c r="B234" s="214">
        <f>IF($A234="",0,SUMPRODUCT($AE$6:$AE$125*($H$6:$H$125=$A234)))</f>
        <v>5</v>
      </c>
      <c r="C234" s="217">
        <f>IFERROR($B234/SUMPRODUCT($AE$6:$AE$125),0)</f>
        <v>0.09615384615384616</v>
      </c>
    </row>
    <row r="235">
      <c r="A235" s="220" t="str">
        <f>IFERROR(INDEX($AO$6:$AO$25,MATCH(LARGE($AQ$6:$AQ$25,4),$AQ$6:$AQ$25,0)),"")</f>
        <v>Coimbatore</v>
      </c>
      <c r="B235" s="220">
        <f>IF($A235="",0,SUMPRODUCT($AE$6:$AE$125*($H$6:$H$125=$A235)))</f>
        <v>2</v>
      </c>
      <c r="C235" s="223">
        <f>IFERROR($B235/SUMPRODUCT($AE$6:$AE$125),0)</f>
        <v>0.038461538461538464</v>
      </c>
    </row>
    <row r="236">
      <c r="A236" s="214" t="str">
        <f>IFERROR(INDEX($AO$6:$AO$25,MATCH(LARGE($AQ$6:$AQ$25,5),$AQ$6:$AQ$25,0)),"")</f>
        <v>Tirupati</v>
      </c>
      <c r="B236" s="214">
        <f>IF($A236="",0,SUMPRODUCT($AE$6:$AE$125*($H$6:$H$125=$A236)))</f>
        <v>1</v>
      </c>
      <c r="C236" s="217">
        <f>IFERROR($B236/SUMPRODUCT($AE$6:$AE$125),0)</f>
        <v>0.019230769230769232</v>
      </c>
    </row>
    <row r="237">
      <c r="A237" s="220" t="str">
        <f>IFERROR(INDEX($AO$6:$AO$25,MATCH(LARGE($AQ$6:$AQ$25,6),$AQ$6:$AQ$25,0)),"")</f>
        <v>Ongole</v>
      </c>
      <c r="B237" s="220">
        <f>IF($A237="",0,SUMPRODUCT($AE$6:$AE$125*($H$6:$H$125=$A237)))</f>
        <v>1</v>
      </c>
      <c r="C237" s="223">
        <f>IFERROR($B237/SUMPRODUCT($AE$6:$AE$125),0)</f>
        <v>0.019230769230769232</v>
      </c>
    </row>
    <row r="238">
      <c r="A238" s="214" t="str">
        <f>IFERROR(INDEX($AO$6:$AO$25,MATCH(LARGE($AQ$6:$AQ$25,7),$AQ$6:$AQ$25,0)),"")</f>
        <v>Salem</v>
      </c>
      <c r="B238" s="214">
        <f>IF($A238="",0,SUMPRODUCT($AE$6:$AE$125*($H$6:$H$125=$A238)))</f>
        <v>1</v>
      </c>
      <c r="C238" s="217">
        <f>IFERROR($B238/SUMPRODUCT($AE$6:$AE$125),0)</f>
        <v>0.019230769230769232</v>
      </c>
    </row>
    <row r="239">
      <c r="A239" s="220" t="str">
        <f>IFERROR(INDEX($AO$6:$AO$25,MATCH(LARGE($AQ$6:$AQ$25,8),$AQ$6:$AQ$25,0)),"")</f>
        <v>Puducherry</v>
      </c>
      <c r="B239" s="220">
        <f>IF($A239="",0,SUMPRODUCT($AE$6:$AE$125*($H$6:$H$125=$A239)))</f>
        <v>1</v>
      </c>
      <c r="C239" s="223">
        <f>IFERROR($B239/SUMPRODUCT($AE$6:$AE$125),0)</f>
        <v>0.019230769230769232</v>
      </c>
    </row>
    <row r="240">
      <c r="A240" s="214" t="inlineStr">
        <is>
          <t>All other cities</t>
        </is>
      </c>
      <c r="B240" s="214">
        <f>MAX(0,SUMPRODUCT($AE$6:$AE$125)-SUM($B$232:$B$239))</f>
        <v>3</v>
      </c>
      <c r="C240" s="217">
        <f>IFERROR($B240/SUMPRODUCT($AE$6:$AE$125),0)</f>
        <v>0.057692307692307696</v>
      </c>
    </row>
    <row r="243">
      <c r="A243" s="211" t="inlineStr">
        <is>
          <t>Requisition mix</t>
        </is>
      </c>
    </row>
    <row r="244">
      <c r="A244" s="227" t="inlineStr">
        <is>
          <t>Requisition</t>
        </is>
      </c>
      <c r="B244" s="228" t="inlineStr">
        <is>
          <t>Candidates</t>
        </is>
      </c>
      <c r="C244" s="228" t="inlineStr">
        <is>
          <t>Submitted</t>
        </is>
      </c>
    </row>
    <row r="245">
      <c r="A245" s="214" t="str">
        <f>IFERROR(INDEX($AS$6:$AS$25,MATCH(LARGE($AU$6:$AU$25,1),$AU$6:$AU$25,0)),"")</f>
        <v>Full Stack Developer</v>
      </c>
      <c r="B245" s="214">
        <f>IF($A245="",0,SUMPRODUCT($AE$6:$AE$125*($F$6:$F$125=$A245)))</f>
        <v>43</v>
      </c>
      <c r="C245" s="214">
        <f>IF($A245="",0,SUMPRODUCT($AE$6:$AE$125*($F$6:$F$125=$A245)*($J$6:$J$125&gt;=2)))</f>
        <v>18</v>
      </c>
    </row>
    <row r="246">
      <c r="A246" s="220" t="str">
        <f>IFERROR(INDEX($AS$6:$AS$25,MATCH(LARGE($AU$6:$AU$25,2),$AU$6:$AU$25,0)),"")</f>
        <v>Full Stack Lead</v>
      </c>
      <c r="B246" s="220">
        <f>IF($A246="",0,SUMPRODUCT($AE$6:$AE$125*($F$6:$F$125=$A246)))</f>
        <v>5</v>
      </c>
      <c r="C246" s="220">
        <f>IF($A246="",0,SUMPRODUCT($AE$6:$AE$125*($F$6:$F$125=$A246)*($J$6:$J$125&gt;=2)))</f>
        <v>4</v>
      </c>
    </row>
    <row r="247">
      <c r="A247" s="214" t="str">
        <f>IFERROR(INDEX($AS$6:$AS$25,MATCH(LARGE($AU$6:$AU$25,3),$AU$6:$AU$25,0)),"")</f>
        <v>Voyage Optimization Specialist</v>
      </c>
      <c r="B247" s="214">
        <f>IF($A247="",0,SUMPRODUCT($AE$6:$AE$125*($F$6:$F$125=$A247)))</f>
        <v>1</v>
      </c>
      <c r="C247" s="214">
        <f>IF($A247="",0,SUMPRODUCT($AE$6:$AE$125*($F$6:$F$125=$A247)*($J$6:$J$125&gt;=2)))</f>
        <v>1</v>
      </c>
    </row>
    <row r="248">
      <c r="A248" s="220">
        <f>IFERROR(INDEX($AS$6:$AS$25,MATCH(LARGE($AU$6:$AU$25,4),$AU$6:$AU$25,0)),"")</f>
      </c>
      <c r="B248" s="220">
        <f>IF($A248="",0,SUMPRODUCT($AE$6:$AE$125*($F$6:$F$125=$A248)))</f>
        <v>0</v>
      </c>
      <c r="C248" s="220">
        <f>IF($A248="",0,SUMPRODUCT($AE$6:$AE$125*($F$6:$F$125=$A248)*($J$6:$J$125&gt;=2)))</f>
        <v>0</v>
      </c>
    </row>
    <row r="249">
      <c r="A249" s="214">
        <f>IFERROR(INDEX($AS$6:$AS$25,MATCH(LARGE($AU$6:$AU$25,5),$AU$6:$AU$25,0)),"")</f>
      </c>
      <c r="B249" s="214">
        <f>IF($A249="",0,SUMPRODUCT($AE$6:$AE$125*($F$6:$F$125=$A249)))</f>
        <v>0</v>
      </c>
      <c r="C249" s="214">
        <f>IF($A249="",0,SUMPRODUCT($AE$6:$AE$125*($F$6:$F$125=$A249)*($J$6:$J$125&gt;=2)))</f>
        <v>0</v>
      </c>
    </row>
    <row r="250">
      <c r="A250" s="220">
        <f>IFERROR(INDEX($AS$6:$AS$25,MATCH(LARGE($AU$6:$AU$25,6),$AU$6:$AU$25,0)),"")</f>
      </c>
      <c r="B250" s="220">
        <f>IF($A250="",0,SUMPRODUCT($AE$6:$AE$125*($F$6:$F$125=$A250)))</f>
        <v>0</v>
      </c>
      <c r="C250" s="220">
        <f>IF($A250="",0,SUMPRODUCT($AE$6:$AE$125*($F$6:$F$125=$A250)*($J$6:$J$125&gt;=2)))</f>
        <v>0</v>
      </c>
    </row>
    <row r="251">
      <c r="A251" s="214">
        <f>IFERROR(INDEX($AS$6:$AS$25,MATCH(LARGE($AU$6:$AU$25,7),$AU$6:$AU$25,0)),"")</f>
      </c>
      <c r="B251" s="214">
        <f>IF($A251="",0,SUMPRODUCT($AE$6:$AE$125*($F$6:$F$125=$A251)))</f>
        <v>0</v>
      </c>
      <c r="C251" s="214">
        <f>IF($A251="",0,SUMPRODUCT($AE$6:$AE$125*($F$6:$F$125=$A251)*($J$6:$J$125&gt;=2)))</f>
        <v>0</v>
      </c>
    </row>
    <row r="252">
      <c r="A252" s="220">
        <f>IFERROR(INDEX($AS$6:$AS$25,MATCH(LARGE($AU$6:$AU$25,8),$AU$6:$AU$25,0)),"")</f>
      </c>
      <c r="B252" s="220">
        <f>IF($A252="",0,SUMPRODUCT($AE$6:$AE$125*($F$6:$F$125=$A252)))</f>
        <v>0</v>
      </c>
      <c r="C252" s="220">
        <f>IF($A252="",0,SUMPRODUCT($AE$6:$AE$125*($F$6:$F$125=$A252)*($J$6:$J$125&gt;=2)))</f>
        <v>0</v>
      </c>
    </row>
    <row r="255">
      <c r="A255" s="211" t="inlineStr">
        <is>
          <t>Recruiter performance</t>
        </is>
      </c>
    </row>
    <row r="256">
      <c r="A256" s="227" t="inlineStr">
        <is>
          <t>Recruiter</t>
        </is>
      </c>
      <c r="B256" s="228" t="inlineStr">
        <is>
          <t>Sourced</t>
        </is>
      </c>
      <c r="C256" s="228" t="inlineStr">
        <is>
          <t>Submitted</t>
        </is>
      </c>
      <c r="D256" s="228" t="inlineStr">
        <is>
          <t>Interviewed</t>
        </is>
      </c>
      <c r="E256" s="228" t="inlineStr">
        <is>
          <t>Submission rate</t>
        </is>
      </c>
    </row>
    <row r="257">
      <c r="A257" s="214" t="str">
        <f>IFERROR(INDEX($AW$6:$AW$25,MATCH(LARGE($AY$6:$AY$25,1),$AY$6:$AY$25,0)),"")</f>
        <v>Ananthy</v>
      </c>
      <c r="B257" s="214">
        <f>IF($A257="",0,SUMPRODUCT($AE$6:$AE$125*($C$6:$C$125=$A257)))</f>
        <v>17</v>
      </c>
      <c r="C257" s="214">
        <f>IF($A257="",0,SUMPRODUCT($AE$6:$AE$125*($C$6:$C$125=$A257)*($J$6:$J$125&gt;=2)))</f>
        <v>6</v>
      </c>
      <c r="D257" s="214">
        <f>IF($A257="",0,SUMPRODUCT($AE$6:$AE$125*($C$6:$C$125=$A257)*($J$6:$J$125&gt;=3)))</f>
        <v>2</v>
      </c>
      <c r="E257" s="217">
        <f>IFERROR($C257/$B257,0)</f>
        <v>0.35294117647058826</v>
      </c>
    </row>
    <row r="258">
      <c r="A258" s="220" t="str">
        <f>IFERROR(INDEX($AW$6:$AW$25,MATCH(LARGE($AY$6:$AY$25,2),$AY$6:$AY$25,0)),"")</f>
        <v>Sarath</v>
      </c>
      <c r="B258" s="220">
        <f>IF($A258="",0,SUMPRODUCT($AE$6:$AE$125*($C$6:$C$125=$A258)))</f>
        <v>13</v>
      </c>
      <c r="C258" s="220">
        <f>IF($A258="",0,SUMPRODUCT($AE$6:$AE$125*($C$6:$C$125=$A258)*($J$6:$J$125&gt;=2)))</f>
        <v>10</v>
      </c>
      <c r="D258" s="220">
        <f>IF($A258="",0,SUMPRODUCT($AE$6:$AE$125*($C$6:$C$125=$A258)*($J$6:$J$125&gt;=3)))</f>
        <v>1</v>
      </c>
      <c r="E258" s="223">
        <f>IFERROR($C258/$B258,0)</f>
        <v>0.7692307692307693</v>
      </c>
    </row>
    <row r="259">
      <c r="A259" s="214" t="str">
        <f>IFERROR(INDEX($AW$6:$AW$25,MATCH(LARGE($AY$6:$AY$25,3),$AY$6:$AY$25,0)),"")</f>
        <v>Vandana</v>
      </c>
      <c r="B259" s="214">
        <f>IF($A259="",0,SUMPRODUCT($AE$6:$AE$125*($C$6:$C$125=$A259)))</f>
        <v>10</v>
      </c>
      <c r="C259" s="214">
        <f>IF($A259="",0,SUMPRODUCT($AE$6:$AE$125*($C$6:$C$125=$A259)*($J$6:$J$125&gt;=2)))</f>
        <v>5</v>
      </c>
      <c r="D259" s="214">
        <f>IF($A259="",0,SUMPRODUCT($AE$6:$AE$125*($C$6:$C$125=$A259)*($J$6:$J$125&gt;=3)))</f>
        <v>0</v>
      </c>
      <c r="E259" s="217">
        <f>IFERROR($C259/$B259,0)</f>
        <v>0.5</v>
      </c>
    </row>
    <row r="260">
      <c r="A260" s="220" t="str">
        <f>IFERROR(INDEX($AW$6:$AW$25,MATCH(LARGE($AY$6:$AY$25,4),$AY$6:$AY$25,0)),"")</f>
        <v>Kirthi</v>
      </c>
      <c r="B260" s="220">
        <f>IF($A260="",0,SUMPRODUCT($AE$6:$AE$125*($C$6:$C$125=$A260)))</f>
        <v>8</v>
      </c>
      <c r="C260" s="220">
        <f>IF($A260="",0,SUMPRODUCT($AE$6:$AE$125*($C$6:$C$125=$A260)*($J$6:$J$125&gt;=2)))</f>
        <v>0</v>
      </c>
      <c r="D260" s="220">
        <f>IF($A260="",0,SUMPRODUCT($AE$6:$AE$125*($C$6:$C$125=$A260)*($J$6:$J$125&gt;=3)))</f>
        <v>0</v>
      </c>
      <c r="E260" s="223">
        <f>IFERROR($C260/$B260,0)</f>
        <v>0</v>
      </c>
    </row>
    <row r="261">
      <c r="A261" s="214" t="str">
        <f>IFERROR(INDEX($AW$6:$AW$25,MATCH(LARGE($AY$6:$AY$25,5),$AY$6:$AY$25,0)),"")</f>
        <v>Rujuta</v>
      </c>
      <c r="B261" s="214">
        <f>IF($A261="",0,SUMPRODUCT($AE$6:$AE$125*($C$6:$C$125=$A261)))</f>
        <v>4</v>
      </c>
      <c r="C261" s="214">
        <f>IF($A261="",0,SUMPRODUCT($AE$6:$AE$125*($C$6:$C$125=$A261)*($J$6:$J$125&gt;=2)))</f>
        <v>2</v>
      </c>
      <c r="D261" s="214">
        <f>IF($A261="",0,SUMPRODUCT($AE$6:$AE$125*($C$6:$C$125=$A261)*($J$6:$J$125&gt;=3)))</f>
        <v>0</v>
      </c>
      <c r="E261" s="217">
        <f>IFERROR($C261/$B261,0)</f>
        <v>0.5</v>
      </c>
    </row>
    <row r="262">
      <c r="A262" s="220">
        <f>IFERROR(INDEX($AW$6:$AW$25,MATCH(LARGE($AY$6:$AY$25,6),$AY$6:$AY$25,0)),"")</f>
      </c>
      <c r="B262" s="220">
        <f>IF($A262="",0,SUMPRODUCT($AE$6:$AE$125*($C$6:$C$125=$A262)))</f>
        <v>0</v>
      </c>
      <c r="C262" s="220">
        <f>IF($A262="",0,SUMPRODUCT($AE$6:$AE$125*($C$6:$C$125=$A262)*($J$6:$J$125&gt;=2)))</f>
        <v>0</v>
      </c>
      <c r="D262" s="220">
        <f>IF($A262="",0,SUMPRODUCT($AE$6:$AE$125*($C$6:$C$125=$A262)*($J$6:$J$125&gt;=3)))</f>
        <v>0</v>
      </c>
      <c r="E262" s="223">
        <f>IFERROR($C262/$B262,0)</f>
        <v>0</v>
      </c>
    </row>
    <row r="263">
      <c r="A263" s="214">
        <f>IFERROR(INDEX($AW$6:$AW$25,MATCH(LARGE($AY$6:$AY$25,7),$AY$6:$AY$25,0)),"")</f>
      </c>
      <c r="B263" s="214">
        <f>IF($A263="",0,SUMPRODUCT($AE$6:$AE$125*($C$6:$C$125=$A263)))</f>
        <v>0</v>
      </c>
      <c r="C263" s="214">
        <f>IF($A263="",0,SUMPRODUCT($AE$6:$AE$125*($C$6:$C$125=$A263)*($J$6:$J$125&gt;=2)))</f>
        <v>0</v>
      </c>
      <c r="D263" s="214">
        <f>IF($A263="",0,SUMPRODUCT($AE$6:$AE$125*($C$6:$C$125=$A263)*($J$6:$J$125&gt;=3)))</f>
        <v>0</v>
      </c>
      <c r="E263" s="217">
        <f>IFERROR($C263/$B263,0)</f>
        <v>0</v>
      </c>
    </row>
    <row r="264">
      <c r="A264" s="220">
        <f>IFERROR(INDEX($AW$6:$AW$25,MATCH(LARGE($AY$6:$AY$25,8),$AY$6:$AY$25,0)),"")</f>
      </c>
      <c r="B264" s="220">
        <f>IF($A264="",0,SUMPRODUCT($AE$6:$AE$125*($C$6:$C$125=$A264)))</f>
        <v>0</v>
      </c>
      <c r="C264" s="220">
        <f>IF($A264="",0,SUMPRODUCT($AE$6:$AE$125*($C$6:$C$125=$A264)*($J$6:$J$125&gt;=2)))</f>
        <v>0</v>
      </c>
      <c r="D264" s="220">
        <f>IF($A264="",0,SUMPRODUCT($AE$6:$AE$125*($C$6:$C$125=$A264)*($J$6:$J$125&gt;=3)))</f>
        <v>0</v>
      </c>
      <c r="E264" s="223">
        <f>IFERROR($C264/$B264,0)</f>
        <v>0</v>
      </c>
    </row>
    <row r="265">
      <c r="A265" s="214">
        <f>IFERROR(INDEX($AW$6:$AW$25,MATCH(LARGE($AY$6:$AY$25,9),$AY$6:$AY$25,0)),"")</f>
      </c>
      <c r="B265" s="214">
        <f>IF($A265="",0,SUMPRODUCT($AE$6:$AE$125*($C$6:$C$125=$A265)))</f>
        <v>0</v>
      </c>
      <c r="C265" s="214">
        <f>IF($A265="",0,SUMPRODUCT($AE$6:$AE$125*($C$6:$C$125=$A265)*($J$6:$J$125&gt;=2)))</f>
        <v>0</v>
      </c>
      <c r="D265" s="214">
        <f>IF($A265="",0,SUMPRODUCT($AE$6:$AE$125*($C$6:$C$125=$A265)*($J$6:$J$125&gt;=3)))</f>
        <v>0</v>
      </c>
      <c r="E265" s="217">
        <f>IFERROR($C265/$B265,0)</f>
        <v>0</v>
      </c>
    </row>
    <row r="266">
      <c r="A266" s="220">
        <f>IFERROR(INDEX($AW$6:$AW$25,MATCH(LARGE($AY$6:$AY$25,10),$AY$6:$AY$25,0)),"")</f>
      </c>
      <c r="B266" s="220">
        <f>IF($A266="",0,SUMPRODUCT($AE$6:$AE$125*($C$6:$C$125=$A266)))</f>
        <v>0</v>
      </c>
      <c r="C266" s="220">
        <f>IF($A266="",0,SUMPRODUCT($AE$6:$AE$125*($C$6:$C$125=$A266)*($J$6:$J$125&gt;=2)))</f>
        <v>0</v>
      </c>
      <c r="D266" s="220">
        <f>IF($A266="",0,SUMPRODUCT($AE$6:$AE$125*($C$6:$C$125=$A266)*($J$6:$J$125&gt;=3)))</f>
        <v>0</v>
      </c>
      <c r="E266" s="223">
        <f>IFERROR($C266/$B266,0)</f>
        <v>0</v>
      </c>
    </row>
    <row r="267">
      <c r="A267" s="214">
        <f>IFERROR(INDEX($AW$6:$AW$25,MATCH(LARGE($AY$6:$AY$25,11),$AY$6:$AY$25,0)),"")</f>
      </c>
      <c r="B267" s="214">
        <f>IF($A267="",0,SUMPRODUCT($AE$6:$AE$125*($C$6:$C$125=$A267)))</f>
        <v>0</v>
      </c>
      <c r="C267" s="214">
        <f>IF($A267="",0,SUMPRODUCT($AE$6:$AE$125*($C$6:$C$125=$A267)*($J$6:$J$125&gt;=2)))</f>
        <v>0</v>
      </c>
      <c r="D267" s="214">
        <f>IF($A267="",0,SUMPRODUCT($AE$6:$AE$125*($C$6:$C$125=$A267)*($J$6:$J$125&gt;=3)))</f>
        <v>0</v>
      </c>
      <c r="E267" s="217">
        <f>IFERROR($C267/$B267,0)</f>
        <v>0</v>
      </c>
    </row>
    <row r="268">
      <c r="A268" s="220">
        <f>IFERROR(INDEX($AW$6:$AW$25,MATCH(LARGE($AY$6:$AY$25,12),$AY$6:$AY$25,0)),"")</f>
      </c>
      <c r="B268" s="220">
        <f>IF($A268="",0,SUMPRODUCT($AE$6:$AE$125*($C$6:$C$125=$A268)))</f>
        <v>0</v>
      </c>
      <c r="C268" s="220">
        <f>IF($A268="",0,SUMPRODUCT($AE$6:$AE$125*($C$6:$C$125=$A268)*($J$6:$J$125&gt;=2)))</f>
        <v>0</v>
      </c>
      <c r="D268" s="220">
        <f>IF($A268="",0,SUMPRODUCT($AE$6:$AE$125*($C$6:$C$125=$A268)*($J$6:$J$125&gt;=3)))</f>
        <v>0</v>
      </c>
      <c r="E268" s="223">
        <f>IFERROR($C268/$B268,0)</f>
        <v>0</v>
      </c>
    </row>
    <row r="269">
      <c r="A269" s="214">
        <f>IFERROR(INDEX($AW$6:$AW$25,MATCH(LARGE($AY$6:$AY$25,13),$AY$6:$AY$25,0)),"")</f>
      </c>
      <c r="B269" s="214">
        <f>IF($A269="",0,SUMPRODUCT($AE$6:$AE$125*($C$6:$C$125=$A269)))</f>
        <v>0</v>
      </c>
      <c r="C269" s="214">
        <f>IF($A269="",0,SUMPRODUCT($AE$6:$AE$125*($C$6:$C$125=$A269)*($J$6:$J$125&gt;=2)))</f>
        <v>0</v>
      </c>
      <c r="D269" s="214">
        <f>IF($A269="",0,SUMPRODUCT($AE$6:$AE$125*($C$6:$C$125=$A269)*($J$6:$J$125&gt;=3)))</f>
        <v>0</v>
      </c>
      <c r="E269" s="217">
        <f>IFERROR($C269/$B269,0)</f>
        <v>0</v>
      </c>
    </row>
    <row r="270">
      <c r="A270" s="220">
        <f>IFERROR(INDEX($AW$6:$AW$25,MATCH(LARGE($AY$6:$AY$25,14),$AY$6:$AY$25,0)),"")</f>
      </c>
      <c r="B270" s="220">
        <f>IF($A270="",0,SUMPRODUCT($AE$6:$AE$125*($C$6:$C$125=$A270)))</f>
        <v>0</v>
      </c>
      <c r="C270" s="220">
        <f>IF($A270="",0,SUMPRODUCT($AE$6:$AE$125*($C$6:$C$125=$A270)*($J$6:$J$125&gt;=2)))</f>
        <v>0</v>
      </c>
      <c r="D270" s="220">
        <f>IF($A270="",0,SUMPRODUCT($AE$6:$AE$125*($C$6:$C$125=$A270)*($J$6:$J$125&gt;=3)))</f>
        <v>0</v>
      </c>
      <c r="E270" s="223">
        <f>IFERROR($C270/$B270,0)</f>
        <v>0</v>
      </c>
    </row>
    <row r="271">
      <c r="A271" s="214">
        <f>IFERROR(INDEX($AW$6:$AW$25,MATCH(LARGE($AY$6:$AY$25,15),$AY$6:$AY$25,0)),"")</f>
      </c>
      <c r="B271" s="214">
        <f>IF($A271="",0,SUMPRODUCT($AE$6:$AE$125*($C$6:$C$125=$A271)))</f>
        <v>0</v>
      </c>
      <c r="C271" s="214">
        <f>IF($A271="",0,SUMPRODUCT($AE$6:$AE$125*($C$6:$C$125=$A271)*($J$6:$J$125&gt;=2)))</f>
        <v>0</v>
      </c>
      <c r="D271" s="214">
        <f>IF($A271="",0,SUMPRODUCT($AE$6:$AE$125*($C$6:$C$125=$A271)*($J$6:$J$125&gt;=3)))</f>
        <v>0</v>
      </c>
      <c r="E271" s="217">
        <f>IFERROR($C271/$B271,0)</f>
        <v>0</v>
      </c>
    </row>
    <row r="274">
      <c r="A274" s="211" t="inlineStr">
        <is>
          <t>Notice-period readiness</t>
        </is>
      </c>
    </row>
    <row r="275">
      <c r="A275" s="227" t="inlineStr">
        <is>
          <t>Availability</t>
        </is>
      </c>
      <c r="B275" s="228" t="inlineStr">
        <is>
          <t>Candidates</t>
        </is>
      </c>
      <c r="C275" s="228" t="inlineStr">
        <is>
          <t>Share</t>
        </is>
      </c>
    </row>
    <row r="276">
      <c r="A276" s="214" t="str">
        <f>Reference!$B$61</f>
        <v>Immediate</v>
      </c>
      <c r="B276" s="214">
        <f>SUMPRODUCT($AE$6:$AE$125*($T$6:$T$125=$A276))</f>
        <v>3</v>
      </c>
      <c r="C276" s="217">
        <f>IFERROR($B276/SUMPRODUCT($AE$6:$AE$125),0)</f>
        <v>0.057692307692307696</v>
      </c>
    </row>
    <row r="277">
      <c r="A277" s="220" t="str">
        <f>Reference!$B$62</f>
        <v>1-30 days</v>
      </c>
      <c r="B277" s="220">
        <f>SUMPRODUCT($AE$6:$AE$125*($T$6:$T$125=$A277))</f>
        <v>8</v>
      </c>
      <c r="C277" s="223">
        <f>IFERROR($B277/SUMPRODUCT($AE$6:$AE$125),0)</f>
        <v>0.15384615384615385</v>
      </c>
    </row>
    <row r="278">
      <c r="A278" s="214" t="str">
        <f>Reference!$B$63</f>
        <v>31-60 days</v>
      </c>
      <c r="B278" s="214">
        <f>SUMPRODUCT($AE$6:$AE$125*($T$6:$T$125=$A278))</f>
        <v>10</v>
      </c>
      <c r="C278" s="217">
        <f>IFERROR($B278/SUMPRODUCT($AE$6:$AE$125),0)</f>
        <v>0.19230769230769232</v>
      </c>
    </row>
    <row r="279">
      <c r="A279" s="220" t="str">
        <f>Reference!$B$64</f>
        <v>60+ days</v>
      </c>
      <c r="B279" s="220">
        <f>SUMPRODUCT($AE$6:$AE$125*($T$6:$T$125=$A279))</f>
        <v>0</v>
      </c>
      <c r="C279" s="223">
        <f>IFERROR($B279/SUMPRODUCT($AE$6:$AE$125),0)</f>
        <v>0</v>
      </c>
    </row>
    <row r="280">
      <c r="A280" s="214" t="str">
        <f>Reference!$B$65</f>
        <v>Not recorded</v>
      </c>
      <c r="B280" s="214">
        <f>SUMPRODUCT($AE$6:$AE$125*($T$6:$T$125=$A280))</f>
        <v>31</v>
      </c>
      <c r="C280" s="217">
        <f>IFERROR($B280/SUMPRODUCT($AE$6:$AE$125),0)</f>
        <v>0.5961538461538461</v>
      </c>
    </row>
    <row r="283">
      <c r="A283" s="211" t="inlineStr">
        <is>
          <t>Experience distribution (submitted candidates)</t>
        </is>
      </c>
    </row>
    <row r="284">
      <c r="A284" s="227" t="inlineStr">
        <is>
          <t>Band</t>
        </is>
      </c>
      <c r="B284" s="228" t="inlineStr">
        <is>
          <t>Candidates</t>
        </is>
      </c>
      <c r="C284" s="228" t="inlineStr">
        <is>
          <t>Avg expected CTC</t>
        </is>
      </c>
    </row>
    <row r="285">
      <c r="A285" s="214" t="str">
        <f>Reference!$C$61</f>
        <v>Under 3 yrs</v>
      </c>
      <c r="B285" s="214">
        <f>SUMPRODUCT($AE$6:$AE$125*($W$6:$W$125&gt;0)*($W$6:$W$125&gt;=0)*($W$6:$W$125&lt;3))</f>
        <v>0</v>
      </c>
      <c r="C285" s="216">
        <f>IFERROR(SUMPRODUCT($AE$6:$AE$125*($W$6:$W$125&gt;0)*($W$6:$W$125&gt;=0)*($W$6:$W$125&lt;3)*$O$6:$O$125)/SUMPRODUCT($AE$6:$AE$125*($W$6:$W$125&gt;0)*($W$6:$W$125&gt;=0)*($W$6:$W$125&lt;3)*($O$6:$O$125&gt;0)),0)</f>
        <v>0</v>
      </c>
    </row>
    <row r="286">
      <c r="A286" s="220" t="str">
        <f>Reference!$C$62</f>
        <v>3 - 4 yrs</v>
      </c>
      <c r="B286" s="220">
        <f>SUMPRODUCT($AE$6:$AE$125*($W$6:$W$125&gt;0)*($W$6:$W$125&gt;=3)*($W$6:$W$125&lt;4))</f>
        <v>7</v>
      </c>
      <c r="C286" s="222">
        <f>IFERROR(SUMPRODUCT($AE$6:$AE$125*($W$6:$W$125&gt;0)*($W$6:$W$125&gt;=3)*($W$6:$W$125&lt;4)*$O$6:$O$125)/SUMPRODUCT($AE$6:$AE$125*($W$6:$W$125&gt;0)*($W$6:$W$125&gt;=3)*($W$6:$W$125&lt;4)*($O$6:$O$125&gt;0)),0)</f>
        <v>16.2</v>
      </c>
    </row>
    <row r="287">
      <c r="A287" s="214" t="str">
        <f>Reference!$C$63</f>
        <v>4 - 5 yrs</v>
      </c>
      <c r="B287" s="214">
        <f>SUMPRODUCT($AE$6:$AE$125*($W$6:$W$125&gt;0)*($W$6:$W$125&gt;=4)*($W$6:$W$125&lt;5))</f>
        <v>7</v>
      </c>
      <c r="C287" s="216">
        <f>IFERROR(SUMPRODUCT($AE$6:$AE$125*($W$6:$W$125&gt;0)*($W$6:$W$125&gt;=4)*($W$6:$W$125&lt;5)*$O$6:$O$125)/SUMPRODUCT($AE$6:$AE$125*($W$6:$W$125&gt;0)*($W$6:$W$125&gt;=4)*($W$6:$W$125&lt;5)*($O$6:$O$125&gt;0)),0)</f>
        <v>17.428571428571427</v>
      </c>
    </row>
    <row r="288">
      <c r="A288" s="220" t="str">
        <f>Reference!$C$64</f>
        <v>5 - 7 yrs</v>
      </c>
      <c r="B288" s="220">
        <f>SUMPRODUCT($AE$6:$AE$125*($W$6:$W$125&gt;0)*($W$6:$W$125&gt;=5)*($W$6:$W$125&lt;7))</f>
        <v>2</v>
      </c>
      <c r="C288" s="222">
        <f>IFERROR(SUMPRODUCT($AE$6:$AE$125*($W$6:$W$125&gt;0)*($W$6:$W$125&gt;=5)*($W$6:$W$125&lt;7)*$O$6:$O$125)/SUMPRODUCT($AE$6:$AE$125*($W$6:$W$125&gt;0)*($W$6:$W$125&gt;=5)*($W$6:$W$125&lt;7)*($O$6:$O$125&gt;0)),0)</f>
        <v>20</v>
      </c>
    </row>
    <row r="289">
      <c r="A289" s="214" t="str">
        <f>Reference!$C$65</f>
        <v>7 - 9 yrs</v>
      </c>
      <c r="B289" s="214">
        <f>SUMPRODUCT($AE$6:$AE$125*($W$6:$W$125&gt;0)*($W$6:$W$125&gt;=7)*($W$6:$W$125&lt;9))</f>
        <v>6</v>
      </c>
      <c r="C289" s="216">
        <f>IFERROR(SUMPRODUCT($AE$6:$AE$125*($W$6:$W$125&gt;0)*($W$6:$W$125&gt;=7)*($W$6:$W$125&lt;9)*$O$6:$O$125)/SUMPRODUCT($AE$6:$AE$125*($W$6:$W$125&gt;0)*($W$6:$W$125&gt;=7)*($W$6:$W$125&lt;9)*($O$6:$O$125&gt;0)),0)</f>
        <v>30</v>
      </c>
    </row>
    <row r="290">
      <c r="A290" s="220" t="str">
        <f>Reference!$C$66</f>
        <v>9 yrs +</v>
      </c>
      <c r="B290" s="220">
        <f>SUMPRODUCT($AE$6:$AE$125*($W$6:$W$125&gt;0)*($W$6:$W$125&gt;=9)*($W$6:$W$125&lt;99))</f>
        <v>3</v>
      </c>
      <c r="C290" s="222">
        <f>IFERROR(SUMPRODUCT($AE$6:$AE$125*($W$6:$W$125&gt;0)*($W$6:$W$125&gt;=9)*($W$6:$W$125&lt;99)*$O$6:$O$125)/SUMPRODUCT($AE$6:$AE$125*($W$6:$W$125&gt;0)*($W$6:$W$125&gt;=9)*($W$6:$W$125&lt;99)*($O$6:$O$125&gt;0)),0)</f>
        <v>31</v>
      </c>
    </row>
    <row r="293">
      <c r="A293" s="211" t="inlineStr">
        <is>
          <t>Sourcing trend by month</t>
        </is>
      </c>
    </row>
    <row r="294">
      <c r="A294" s="227" t="inlineStr">
        <is>
          <t>Month</t>
        </is>
      </c>
      <c r="B294" s="228" t="inlineStr">
        <is>
          <t>2025</t>
        </is>
      </c>
      <c r="C294" s="228" t="inlineStr">
        <is>
          <t>2026</t>
        </is>
      </c>
    </row>
    <row r="295">
      <c r="A295" s="214" t="inlineStr">
        <is>
          <t>January</t>
        </is>
      </c>
      <c r="B295" s="214">
        <f>SUMPRODUCT((' Master Data-2025'!$C$2:$C$2007=$A295)*(' Master Data-2025'!$D$2:$D$2007&lt;&gt;""))</f>
        <v>68</v>
      </c>
      <c r="C295" s="214">
        <f>SUMPRODUCT($AE$6:$AE$125*($E$6:$E$125=$A295))</f>
        <v>0</v>
      </c>
    </row>
    <row r="296">
      <c r="A296" s="220" t="inlineStr">
        <is>
          <t>February</t>
        </is>
      </c>
      <c r="B296" s="220">
        <f>SUMPRODUCT((' Master Data-2025'!$C$2:$C$2007=$A296)*(' Master Data-2025'!$D$2:$D$2007&lt;&gt;""))</f>
        <v>10</v>
      </c>
      <c r="C296" s="220">
        <f>SUMPRODUCT($AE$6:$AE$125*($E$6:$E$125=$A296))</f>
        <v>0</v>
      </c>
    </row>
    <row r="297">
      <c r="A297" s="214" t="inlineStr">
        <is>
          <t>March</t>
        </is>
      </c>
      <c r="B297" s="214">
        <f>SUMPRODUCT((' Master Data-2025'!$C$2:$C$2007=$A297)*(' Master Data-2025'!$D$2:$D$2007&lt;&gt;""))</f>
        <v>0</v>
      </c>
      <c r="C297" s="214">
        <f>SUMPRODUCT($AE$6:$AE$125*($E$6:$E$125=$A297))</f>
        <v>0</v>
      </c>
    </row>
    <row r="298">
      <c r="A298" s="220" t="inlineStr">
        <is>
          <t>April</t>
        </is>
      </c>
      <c r="B298" s="220">
        <f>SUMPRODUCT((' Master Data-2025'!$C$2:$C$2007=$A298)*(' Master Data-2025'!$D$2:$D$2007&lt;&gt;""))</f>
        <v>0</v>
      </c>
      <c r="C298" s="220">
        <f>SUMPRODUCT($AE$6:$AE$125*($E$6:$E$125=$A298))</f>
        <v>0</v>
      </c>
    </row>
    <row r="299">
      <c r="A299" s="214" t="inlineStr">
        <is>
          <t>May</t>
        </is>
      </c>
      <c r="B299" s="214">
        <f>SUMPRODUCT((' Master Data-2025'!$C$2:$C$2007=$A299)*(' Master Data-2025'!$D$2:$D$2007&lt;&gt;""))</f>
        <v>0</v>
      </c>
      <c r="C299" s="214">
        <f>SUMPRODUCT($AE$6:$AE$125*($E$6:$E$125=$A299))</f>
        <v>0</v>
      </c>
    </row>
    <row r="300">
      <c r="A300" s="220" t="inlineStr">
        <is>
          <t>June</t>
        </is>
      </c>
      <c r="B300" s="220">
        <f>SUMPRODUCT((' Master Data-2025'!$C$2:$C$2007=$A300)*(' Master Data-2025'!$D$2:$D$2007&lt;&gt;""))</f>
        <v>0</v>
      </c>
      <c r="C300" s="220">
        <f>SUMPRODUCT($AE$6:$AE$125*($E$6:$E$125=$A300))</f>
        <v>0</v>
      </c>
    </row>
    <row r="301">
      <c r="A301" s="214" t="inlineStr">
        <is>
          <t>July</t>
        </is>
      </c>
      <c r="B301" s="214">
        <f>SUMPRODUCT((' Master Data-2025'!$C$2:$C$2007=$A301)*(' Master Data-2025'!$D$2:$D$2007&lt;&gt;""))</f>
        <v>0</v>
      </c>
      <c r="C301" s="214">
        <f>SUMPRODUCT($AE$6:$AE$125*($E$6:$E$125=$A301))</f>
        <v>0</v>
      </c>
    </row>
    <row r="302">
      <c r="A302" s="220" t="inlineStr">
        <is>
          <t>August</t>
        </is>
      </c>
      <c r="B302" s="220">
        <f>SUMPRODUCT((' Master Data-2025'!$C$2:$C$2007=$A302)*(' Master Data-2025'!$D$2:$D$2007&lt;&gt;""))</f>
        <v>0</v>
      </c>
      <c r="C302" s="220">
        <f>SUMPRODUCT($AE$6:$AE$125*($E$6:$E$125=$A302))</f>
        <v>52</v>
      </c>
    </row>
    <row r="303">
      <c r="A303" s="214" t="inlineStr">
        <is>
          <t>September</t>
        </is>
      </c>
      <c r="B303" s="214">
        <f>SUMPRODUCT((' Master Data-2025'!$C$2:$C$2007=$A303)*(' Master Data-2025'!$D$2:$D$2007&lt;&gt;""))</f>
        <v>0</v>
      </c>
      <c r="C303" s="214">
        <f>SUMPRODUCT($AE$6:$AE$125*($E$6:$E$125=$A303))</f>
        <v>0</v>
      </c>
    </row>
    <row r="304">
      <c r="A304" s="220" t="inlineStr">
        <is>
          <t>October</t>
        </is>
      </c>
      <c r="B304" s="220">
        <f>SUMPRODUCT((' Master Data-2025'!$C$2:$C$2007=$A304)*(' Master Data-2025'!$D$2:$D$2007&lt;&gt;""))</f>
        <v>0</v>
      </c>
      <c r="C304" s="220">
        <f>SUMPRODUCT($AE$6:$AE$125*($E$6:$E$125=$A304))</f>
        <v>0</v>
      </c>
    </row>
    <row r="305">
      <c r="A305" s="214" t="inlineStr">
        <is>
          <t>November</t>
        </is>
      </c>
      <c r="B305" s="214">
        <f>SUMPRODUCT((' Master Data-2025'!$C$2:$C$2007=$A305)*(' Master Data-2025'!$D$2:$D$2007&lt;&gt;""))</f>
        <v>0</v>
      </c>
      <c r="C305" s="214">
        <f>SUMPRODUCT($AE$6:$AE$125*($E$6:$E$125=$A305))</f>
        <v>0</v>
      </c>
    </row>
    <row r="306">
      <c r="A306" s="220" t="inlineStr">
        <is>
          <t>December</t>
        </is>
      </c>
      <c r="B306" s="220">
        <f>SUMPRODUCT((' Master Data-2025'!$C$2:$C$2007=$A306)*(' Master Data-2025'!$D$2:$D$2007&lt;&gt;""))</f>
        <v>0</v>
      </c>
      <c r="C306" s="220">
        <f>SUMPRODUCT($AE$6:$AE$125*($E$6:$E$125=$A306))</f>
        <v>0</v>
      </c>
    </row>
    <row r="309">
      <c r="A309" s="211" t="inlineStr">
        <is>
          <t>Expected-hike distribution</t>
        </is>
      </c>
    </row>
    <row r="310">
      <c r="A310" s="227" t="inlineStr">
        <is>
          <t>Hike band</t>
        </is>
      </c>
      <c r="B310" s="228" t="inlineStr">
        <is>
          <t>Candidates</t>
        </is>
      </c>
    </row>
    <row r="311">
      <c r="A311" s="214" t="str">
        <f>Reference!$D$61</f>
        <v>Under 20%</v>
      </c>
      <c r="B311" s="214">
        <f>SUMPRODUCT($AE$6:$AE$125*($P$6:$P$125&gt;0)*($P$6:$P$125&gt;=0)*($P$6:$P$125&lt;0.2))</f>
        <v>3</v>
      </c>
    </row>
    <row r="312">
      <c r="A312" s="220" t="str">
        <f>Reference!$D$62</f>
        <v>20 - 40%</v>
      </c>
      <c r="B312" s="220">
        <f>SUMPRODUCT($AE$6:$AE$125*($P$6:$P$125&gt;0)*($P$6:$P$125&gt;=0.2)*($P$6:$P$125&lt;0.4))</f>
        <v>11</v>
      </c>
    </row>
    <row r="313">
      <c r="A313" s="214" t="str">
        <f>Reference!$D$63</f>
        <v>40 - 60%</v>
      </c>
      <c r="B313" s="214">
        <f>SUMPRODUCT($AE$6:$AE$125*($P$6:$P$125&gt;0)*($P$6:$P$125&gt;=0.4)*($P$6:$P$125&lt;0.6))</f>
        <v>6</v>
      </c>
    </row>
    <row r="314">
      <c r="A314" s="220" t="str">
        <f>Reference!$D$64</f>
        <v>60 - 80%</v>
      </c>
      <c r="B314" s="220">
        <f>SUMPRODUCT($AE$6:$AE$125*($P$6:$P$125&gt;0)*($P$6:$P$125&gt;=0.6)*($P$6:$P$125&lt;0.8))</f>
        <v>5</v>
      </c>
    </row>
    <row r="315">
      <c r="A315" s="214" t="str">
        <f>Reference!$D$65</f>
        <v>80 - 100%</v>
      </c>
      <c r="B315" s="214">
        <f>SUMPRODUCT($AE$6:$AE$125*($P$6:$P$125&gt;0)*($P$6:$P$125&gt;=0.8)*($P$6:$P$125&lt;1.0))</f>
        <v>1</v>
      </c>
    </row>
    <row r="316">
      <c r="A316" s="220" t="str">
        <f>Reference!$D$66</f>
        <v>Over 100%</v>
      </c>
      <c r="B316" s="220">
        <f>SUMPRODUCT($AE$6:$AE$125*($P$6:$P$125&gt;0)*($P$6:$P$125&gt;=1.0)*($P$6:$P$125&lt;99))</f>
        <v>3</v>
      </c>
    </row>
    <row r="318">
      <c r="A318" s="211" t="inlineStr">
        <is>
          <t>Pipeline leaders</t>
        </is>
      </c>
    </row>
    <row r="319">
      <c r="A319" s="210" t="inlineStr">
        <is>
          <t>Ranked by furthest stage reached, then by most recent activity. This is progression through your process — not a quality score.</t>
        </is>
      </c>
    </row>
    <row r="320">
      <c r="A320" s="227" t="inlineStr">
        <is>
          <t>#</t>
        </is>
      </c>
      <c r="B320" s="228" t="inlineStr">
        <is>
          <t>Candidate</t>
        </is>
      </c>
      <c r="C320" s="228" t="inlineStr">
        <is>
          <t>Company</t>
        </is>
      </c>
      <c r="D320" s="228" t="inlineStr">
        <is>
          <t>City</t>
        </is>
      </c>
      <c r="E320" s="228" t="inlineStr">
        <is>
          <t>Experience</t>
        </is>
      </c>
      <c r="F320" s="228" t="inlineStr">
        <is>
          <t>Stage</t>
        </is>
      </c>
      <c r="G320" s="228" t="inlineStr">
        <is>
          <t>Sub-status</t>
        </is>
      </c>
      <c r="H320" s="228" t="inlineStr">
        <is>
          <t>Current CTC</t>
        </is>
      </c>
      <c r="I320" s="228" t="inlineStr">
        <is>
          <t>Expected CTC</t>
        </is>
      </c>
      <c r="J320" s="228" t="inlineStr">
        <is>
          <t>Hike</t>
        </is>
      </c>
      <c r="K320" s="228" t="inlineStr">
        <is>
          <t>Availability</t>
        </is>
      </c>
      <c r="L320" s="228" t="inlineStr">
        <is>
          <t>Recruiter</t>
        </is>
      </c>
      <c r="M320" s="228" t="inlineStr">
        <is>
          <t>Loc match</t>
        </is>
      </c>
      <c r="O320" s="213" t="inlineStr">
        <is>
          <t>row idx</t>
        </is>
      </c>
    </row>
    <row r="321">
      <c r="A321" s="214" t="n">
        <v>1</v>
      </c>
      <c r="B321" s="214" t="str">
        <f>IF($O321="","",INDEX($B$6:$B$125,$O321))</f>
        <v>Ankit Mahajan</v>
      </c>
      <c r="C321" s="214" t="str">
        <f>IF($O321="","",INDEX($Y$6:$Y$125,$O321))</f>
        <v>Samsara Group</v>
      </c>
      <c r="D321" s="214" t="str">
        <f>IF($O321="","",INDEX($H$6:$H$125,$O321))</f>
        <v>Mumbai</v>
      </c>
      <c r="E321" s="219">
        <f>IF($O321="","",INDEX($W$6:$W$125,$O321))</f>
        <v>8</v>
      </c>
      <c r="F321" s="214" t="str">
        <f>IF($O321="","",INDEX($I$6:$I$125,$O321))</f>
        <v>ZN Interview</v>
      </c>
      <c r="G321" s="214" t="str">
        <f>IF($O321="","",INDEX($K$6:$K$125,$O321))</f>
        <v>L1 Scheduled on 25th Aug</v>
      </c>
      <c r="H321" s="216">
        <f>IF($O321="","",INDEX($M$6:$M$125,$O321))</f>
        <v>17</v>
      </c>
      <c r="I321" s="216">
        <f>IF($O321="","",INDEX($O$6:$O$125,$O321))</f>
        <v>25</v>
      </c>
      <c r="J321" s="217">
        <f>IF($O321="","",INDEX($P$6:$P$125,$O321))</f>
        <v>0.47058823529411775</v>
      </c>
      <c r="K321" s="214" t="str">
        <f>IF($O321="","",INDEX($T$6:$T$125,$O321))</f>
        <v>31-60 days</v>
      </c>
      <c r="L321" s="214" t="str">
        <f>IF($O321="","",INDEX($C$6:$C$125,$O321))</f>
        <v>Sarath</v>
      </c>
      <c r="M321" s="218">
        <f>IF($O321="","",INDEX($AD$6:$AD$125,$O321))</f>
        <v>0</v>
      </c>
      <c r="O321" s="229">
        <f>IFERROR(MATCH(LARGE($AJ$6:$AJ$125,$A321),$AJ$6:$AJ$125,0),"")</f>
        <v>52</v>
      </c>
    </row>
    <row r="322">
      <c r="A322" s="220" t="n">
        <v>2</v>
      </c>
      <c r="B322" s="220" t="str">
        <f>IF($O322="","",INDEX($B$6:$B$125,$O322))</f>
        <v>Duraipandi R</v>
      </c>
      <c r="C322" s="220" t="str">
        <f>IF($O322="","",INDEX($Y$6:$Y$125,$O322))</f>
        <v>Sify Technologies Limited</v>
      </c>
      <c r="D322" s="220" t="str">
        <f>IF($O322="","",INDEX($H$6:$H$125,$O322))</f>
        <v>Chennai</v>
      </c>
      <c r="E322" s="225">
        <f>IF($O322="","",INDEX($W$6:$W$125,$O322))</f>
        <v>3</v>
      </c>
      <c r="F322" s="220" t="str">
        <f>IF($O322="","",INDEX($I$6:$I$125,$O322))</f>
        <v>ZN Interview</v>
      </c>
      <c r="G322" s="220" t="str">
        <f>IF($O322="","",INDEX($K$6:$K$125,$O322))</f>
        <v>L1 - 2nd Oct - 11am</v>
      </c>
      <c r="H322" s="222">
        <f>IF($O322="","",INDEX($M$6:$M$125,$O322))</f>
        <v>8</v>
      </c>
      <c r="I322" s="222">
        <f>IF($O322="","",INDEX($O$6:$O$125,$O322))</f>
        <v>15</v>
      </c>
      <c r="J322" s="223">
        <f>IF($O322="","",INDEX($P$6:$P$125,$O322))</f>
        <v>0.875</v>
      </c>
      <c r="K322" s="220" t="str">
        <f>IF($O322="","",INDEX($T$6:$T$125,$O322))</f>
        <v>Not recorded</v>
      </c>
      <c r="L322" s="220" t="str">
        <f>IF($O322="","",INDEX($C$6:$C$125,$O322))</f>
        <v>Ananthy</v>
      </c>
      <c r="M322" s="224">
        <f>IF($O322="","",INDEX($AD$6:$AD$125,$O322))</f>
        <v>1</v>
      </c>
      <c r="O322" s="229">
        <f>IFERROR(MATCH(LARGE($AJ$6:$AJ$125,$A322),$AJ$6:$AJ$125,0),"")</f>
        <v>29</v>
      </c>
    </row>
    <row r="323">
      <c r="A323" s="214" t="n">
        <v>3</v>
      </c>
      <c r="B323" s="214" t="str">
        <f>IF($O323="","",INDEX($B$6:$B$125,$O323))</f>
        <v>syed sharukh</v>
      </c>
      <c r="C323" s="214" t="str">
        <f>IF($O323="","",INDEX($Y$6:$Y$125,$O323))</f>
        <v>Avasoft</v>
      </c>
      <c r="D323" s="214" t="str">
        <f>IF($O323="","",INDEX($H$6:$H$125,$O323))</f>
        <v>Chennai</v>
      </c>
      <c r="E323" s="219">
        <f>IF($O323="","",INDEX($W$6:$W$125,$O323))</f>
        <v>3</v>
      </c>
      <c r="F323" s="214" t="str">
        <f>IF($O323="","",INDEX($I$6:$I$125,$O323))</f>
        <v>ZN Interview</v>
      </c>
      <c r="G323" s="214" t="str">
        <f>IF($O323="","",INDEX($K$6:$K$125,$O323))</f>
        <v>L1 - 25th Aug</v>
      </c>
      <c r="H323" s="216">
        <f>IF($O323="","",INDEX($M$6:$M$125,$O323))</f>
        <v>11</v>
      </c>
      <c r="I323" s="216">
        <f>IF($O323="","",INDEX($O$6:$O$125,$O323))</f>
        <v>16</v>
      </c>
      <c r="J323" s="217">
        <f>IF($O323="","",INDEX($P$6:$P$125,$O323))</f>
        <v>0.4545454545454546</v>
      </c>
      <c r="K323" s="214" t="str">
        <f>IF($O323="","",INDEX($T$6:$T$125,$O323))</f>
        <v>Not recorded</v>
      </c>
      <c r="L323" s="214" t="str">
        <f>IF($O323="","",INDEX($C$6:$C$125,$O323))</f>
        <v>Ananthy</v>
      </c>
      <c r="M323" s="218">
        <f>IF($O323="","",INDEX($AD$6:$AD$125,$O323))</f>
        <v>1</v>
      </c>
      <c r="O323" s="229">
        <f>IFERROR(MATCH(LARGE($AJ$6:$AJ$125,$A323),$AJ$6:$AJ$125,0),"")</f>
        <v>32</v>
      </c>
    </row>
    <row r="324">
      <c r="A324" s="220" t="n">
        <v>4</v>
      </c>
      <c r="B324" s="220" t="str">
        <f>IF($O324="","",INDEX($B$6:$B$125,$O324))</f>
        <v>Rohith</v>
      </c>
      <c r="C324" s="220" t="str">
        <f>IF($O324="","",INDEX($Y$6:$Y$125,$O324))</f>
        <v>NTT Data</v>
      </c>
      <c r="D324" s="220" t="str">
        <f>IF($O324="","",INDEX($H$6:$H$125,$O324))</f>
        <v>Bangalore</v>
      </c>
      <c r="E324" s="225">
        <f>IF($O324="","",INDEX($W$6:$W$125,$O324))</f>
        <v>4.3</v>
      </c>
      <c r="F324" s="220" t="str">
        <f>IF($O324="","",INDEX($I$6:$I$125,$O324))</f>
        <v>ZN Submission</v>
      </c>
      <c r="G324" s="220" t="str">
        <f>IF($O324="","",INDEX($K$6:$K$125,$O324))</f>
        <v>JD sent awaiting for response</v>
      </c>
      <c r="H324" s="222">
        <f>IF($O324="","",INDEX($M$6:$M$125,$O324))</f>
        <v>12</v>
      </c>
      <c r="I324" s="222">
        <f>IF($O324="","",INDEX($O$6:$O$125,$O324))</f>
        <v>16</v>
      </c>
      <c r="J324" s="223">
        <f>IF($O324="","",INDEX($P$6:$P$125,$O324))</f>
        <v>0.33333333333333326</v>
      </c>
      <c r="K324" s="220" t="str">
        <f>IF($O324="","",INDEX($T$6:$T$125,$O324))</f>
        <v>31-60 days</v>
      </c>
      <c r="L324" s="220" t="str">
        <f>IF($O324="","",INDEX($C$6:$C$125,$O324))</f>
        <v>Vandana</v>
      </c>
      <c r="M324" s="224">
        <f>IF($O324="","",INDEX($AD$6:$AD$125,$O324))</f>
        <v>1</v>
      </c>
      <c r="O324" s="229">
        <f>IFERROR(MATCH(LARGE($AJ$6:$AJ$125,$A324),$AJ$6:$AJ$125,0),"")</f>
        <v>42</v>
      </c>
    </row>
    <row r="325">
      <c r="A325" s="214" t="n">
        <v>5</v>
      </c>
      <c r="B325" s="214" t="str">
        <f>IF($O325="","",INDEX($B$6:$B$125,$O325))</f>
        <v>Rajesh</v>
      </c>
      <c r="C325" s="214" t="str">
        <f>IF($O325="","",INDEX($Y$6:$Y$125,$O325))</f>
        <v>Cegeka</v>
      </c>
      <c r="D325" s="214" t="str">
        <f>IF($O325="","",INDEX($H$6:$H$125,$O325))</f>
        <v>Chennai</v>
      </c>
      <c r="E325" s="219">
        <f>IF($O325="","",INDEX($W$6:$W$125,$O325))</f>
        <v>8</v>
      </c>
      <c r="F325" s="214" t="str">
        <f>IF($O325="","",INDEX($I$6:$I$125,$O325))</f>
        <v>ZN Submission</v>
      </c>
      <c r="G325" s="214" t="str">
        <f>IF($O325="","",INDEX($K$6:$K$125,$O325))</f>
        <v>Client Review</v>
      </c>
      <c r="H325" s="216">
        <f>IF($O325="","",INDEX($M$6:$M$125,$O325))</f>
        <v>0</v>
      </c>
      <c r="I325" s="216">
        <f>IF($O325="","",INDEX($O$6:$O$125,$O325))</f>
        <v>0</v>
      </c>
      <c r="J325" s="217">
        <f>IF($O325="","",INDEX($P$6:$P$125,$O325))</f>
        <v>0</v>
      </c>
      <c r="K325" s="214" t="str">
        <f>IF($O325="","",INDEX($T$6:$T$125,$O325))</f>
        <v>Not recorded</v>
      </c>
      <c r="L325" s="214" t="str">
        <f>IF($O325="","",INDEX($C$6:$C$125,$O325))</f>
        <v>Sarath</v>
      </c>
      <c r="M325" s="218">
        <f>IF($O325="","",INDEX($AD$6:$AD$125,$O325))</f>
        <v>1</v>
      </c>
      <c r="O325" s="229">
        <f>IFERROR(MATCH(LARGE($AJ$6:$AJ$125,$A325),$AJ$6:$AJ$125,0),"")</f>
        <v>43</v>
      </c>
    </row>
    <row r="326">
      <c r="A326" s="220" t="n">
        <v>6</v>
      </c>
      <c r="B326" s="220" t="str">
        <f>IF($O326="","",INDEX($B$6:$B$125,$O326))</f>
        <v>Shabana</v>
      </c>
      <c r="C326" s="220" t="str">
        <f>IF($O326="","",INDEX($Y$6:$Y$125,$O326))</f>
        <v>Synechron Technologies</v>
      </c>
      <c r="D326" s="220" t="str">
        <f>IF($O326="","",INDEX($H$6:$H$125,$O326))</f>
        <v>Chennai</v>
      </c>
      <c r="E326" s="225">
        <f>IF($O326="","",INDEX($W$6:$W$125,$O326))</f>
        <v>8</v>
      </c>
      <c r="F326" s="220" t="str">
        <f>IF($O326="","",INDEX($I$6:$I$125,$O326))</f>
        <v>ZN Submission</v>
      </c>
      <c r="G326" s="220" t="str">
        <f>IF($O326="","",INDEX($K$6:$K$125,$O326))</f>
        <v>Client Review</v>
      </c>
      <c r="H326" s="222">
        <f>IF($O326="","",INDEX($M$6:$M$125,$O326))</f>
        <v>0</v>
      </c>
      <c r="I326" s="222">
        <f>IF($O326="","",INDEX($O$6:$O$125,$O326))</f>
        <v>0</v>
      </c>
      <c r="J326" s="223">
        <f>IF($O326="","",INDEX($P$6:$P$125,$O326))</f>
        <v>0</v>
      </c>
      <c r="K326" s="220" t="str">
        <f>IF($O326="","",INDEX($T$6:$T$125,$O326))</f>
        <v>Not recorded</v>
      </c>
      <c r="L326" s="220" t="str">
        <f>IF($O326="","",INDEX($C$6:$C$125,$O326))</f>
        <v>Sarath</v>
      </c>
      <c r="M326" s="224">
        <f>IF($O326="","",INDEX($AD$6:$AD$125,$O326))</f>
        <v>1</v>
      </c>
      <c r="O326" s="229">
        <f>IFERROR(MATCH(LARGE($AJ$6:$AJ$125,$A326),$AJ$6:$AJ$125,0),"")</f>
        <v>44</v>
      </c>
    </row>
    <row r="327">
      <c r="A327" s="214" t="n">
        <v>7</v>
      </c>
      <c r="B327" s="214" t="str">
        <f>IF($O327="","",INDEX($B$6:$B$125,$O327))</f>
        <v>Pasupathi</v>
      </c>
      <c r="C327" s="214" t="str">
        <f>IF($O327="","",INDEX($Y$6:$Y$125,$O327))</f>
        <v>Incedo</v>
      </c>
      <c r="D327" s="214" t="str">
        <f>IF($O327="","",INDEX($H$6:$H$125,$O327))</f>
        <v>Chennai</v>
      </c>
      <c r="E327" s="219">
        <f>IF($O327="","",INDEX($W$6:$W$125,$O327))</f>
        <v>7</v>
      </c>
      <c r="F327" s="214" t="str">
        <f>IF($O327="","",INDEX($I$6:$I$125,$O327))</f>
        <v>ZN Submission</v>
      </c>
      <c r="G327" s="214" t="str">
        <f>IF($O327="","",INDEX($K$6:$K$125,$O327))</f>
        <v>Client Review</v>
      </c>
      <c r="H327" s="216">
        <f>IF($O327="","",INDEX($M$6:$M$125,$O327))</f>
        <v>0</v>
      </c>
      <c r="I327" s="216">
        <f>IF($O327="","",INDEX($O$6:$O$125,$O327))</f>
        <v>0</v>
      </c>
      <c r="J327" s="217">
        <f>IF($O327="","",INDEX($P$6:$P$125,$O327))</f>
        <v>0</v>
      </c>
      <c r="K327" s="214" t="str">
        <f>IF($O327="","",INDEX($T$6:$T$125,$O327))</f>
        <v>Not recorded</v>
      </c>
      <c r="L327" s="214" t="str">
        <f>IF($O327="","",INDEX($C$6:$C$125,$O327))</f>
        <v>Sarath</v>
      </c>
      <c r="M327" s="218">
        <f>IF($O327="","",INDEX($AD$6:$AD$125,$O327))</f>
        <v>1</v>
      </c>
      <c r="O327" s="229">
        <f>IFERROR(MATCH(LARGE($AJ$6:$AJ$125,$A327),$AJ$6:$AJ$125,0),"")</f>
        <v>47</v>
      </c>
    </row>
    <row r="328">
      <c r="A328" s="220" t="n">
        <v>8</v>
      </c>
      <c r="B328" s="220" t="str">
        <f>IF($O328="","",INDEX($B$6:$B$125,$O328))</f>
        <v>Sibiraj Munirathinam</v>
      </c>
      <c r="C328" s="220" t="str">
        <f>IF($O328="","",INDEX($Y$6:$Y$125,$O328))</f>
        <v>Camu</v>
      </c>
      <c r="D328" s="220" t="str">
        <f>IF($O328="","",INDEX($H$6:$H$125,$O328))</f>
        <v>Chennai</v>
      </c>
      <c r="E328" s="225">
        <f>IF($O328="","",INDEX($W$6:$W$125,$O328))</f>
        <v>4</v>
      </c>
      <c r="F328" s="220" t="str">
        <f>IF($O328="","",INDEX($I$6:$I$125,$O328))</f>
        <v>ZN Submission</v>
      </c>
      <c r="G328" s="220" t="str">
        <f>IF($O328="","",INDEX($K$6:$K$125,$O328))</f>
        <v>Client Review</v>
      </c>
      <c r="H328" s="222">
        <f>IF($O328="","",INDEX($M$6:$M$125,$O328))</f>
        <v>9</v>
      </c>
      <c r="I328" s="222">
        <f>IF($O328="","",INDEX($O$6:$O$125,$O328))</f>
        <v>12</v>
      </c>
      <c r="J328" s="223">
        <f>IF($O328="","",INDEX($P$6:$P$125,$O328))</f>
        <v>0.33333333333333326</v>
      </c>
      <c r="K328" s="220" t="str">
        <f>IF($O328="","",INDEX($T$6:$T$125,$O328))</f>
        <v>Immediate</v>
      </c>
      <c r="L328" s="220" t="str">
        <f>IF($O328="","",INDEX($C$6:$C$125,$O328))</f>
        <v>Sarath</v>
      </c>
      <c r="M328" s="224">
        <f>IF($O328="","",INDEX($AD$6:$AD$125,$O328))</f>
        <v>1</v>
      </c>
      <c r="O328" s="229">
        <f>IFERROR(MATCH(LARGE($AJ$6:$AJ$125,$A328),$AJ$6:$AJ$125,0),"")</f>
        <v>1</v>
      </c>
    </row>
    <row r="329">
      <c r="A329" s="214" t="n">
        <v>9</v>
      </c>
      <c r="B329" s="214" t="str">
        <f>IF($O329="","",INDEX($B$6:$B$125,$O329))</f>
        <v>Mubbanthal Surya</v>
      </c>
      <c r="C329" s="214" t="str">
        <f>IF($O329="","",INDEX($Y$6:$Y$125,$O329))</f>
        <v>Business Core Solutions</v>
      </c>
      <c r="D329" s="214" t="str">
        <f>IF($O329="","",INDEX($H$6:$H$125,$O329))</f>
        <v>Chennai</v>
      </c>
      <c r="E329" s="219">
        <f>IF($O329="","",INDEX($W$6:$W$125,$O329))</f>
        <v>3.8</v>
      </c>
      <c r="F329" s="214" t="str">
        <f>IF($O329="","",INDEX($I$6:$I$125,$O329))</f>
        <v>ZN Submission</v>
      </c>
      <c r="G329" s="214" t="str">
        <f>IF($O329="","",INDEX($K$6:$K$125,$O329))</f>
        <v>Client Review</v>
      </c>
      <c r="H329" s="216">
        <f>IF($O329="","",INDEX($M$6:$M$125,$O329))</f>
        <v>6.92</v>
      </c>
      <c r="I329" s="216">
        <f>IF($O329="","",INDEX($O$6:$O$125,$O329))</f>
        <v>12</v>
      </c>
      <c r="J329" s="217">
        <f>IF($O329="","",INDEX($P$6:$P$125,$O329))</f>
        <v>0.7341040462427746</v>
      </c>
      <c r="K329" s="214" t="str">
        <f>IF($O329="","",INDEX($T$6:$T$125,$O329))</f>
        <v>1-30 days</v>
      </c>
      <c r="L329" s="214" t="str">
        <f>IF($O329="","",INDEX($C$6:$C$125,$O329))</f>
        <v>Sarath</v>
      </c>
      <c r="M329" s="218">
        <f>IF($O329="","",INDEX($AD$6:$AD$125,$O329))</f>
        <v>1</v>
      </c>
      <c r="O329" s="229">
        <f>IFERROR(MATCH(LARGE($AJ$6:$AJ$125,$A329),$AJ$6:$AJ$125,0),"")</f>
        <v>5</v>
      </c>
    </row>
    <row r="330">
      <c r="A330" s="220" t="n">
        <v>10</v>
      </c>
      <c r="B330" s="220" t="str">
        <f>IF($O330="","",INDEX($B$6:$B$125,$O330))</f>
        <v>Govardhan</v>
      </c>
      <c r="C330" s="220" t="str">
        <f>IF($O330="","",INDEX($Y$6:$Y$125,$O330))</f>
        <v>Indium Software</v>
      </c>
      <c r="D330" s="220" t="str">
        <f>IF($O330="","",INDEX($H$6:$H$125,$O330))</f>
        <v>Chennai</v>
      </c>
      <c r="E330" s="225">
        <f>IF($O330="","",INDEX($W$6:$W$125,$O330))</f>
        <v>8</v>
      </c>
      <c r="F330" s="220" t="str">
        <f>IF($O330="","",INDEX($I$6:$I$125,$O330))</f>
        <v>ZN Submission</v>
      </c>
      <c r="G330" s="220" t="str">
        <f>IF($O330="","",INDEX($K$6:$K$125,$O330))</f>
        <v>Client Review</v>
      </c>
      <c r="H330" s="222">
        <f>IF($O330="","",INDEX($M$6:$M$125,$O330))</f>
        <v>19</v>
      </c>
      <c r="I330" s="222">
        <f>IF($O330="","",INDEX($O$6:$O$125,$O330))</f>
        <v>30</v>
      </c>
      <c r="J330" s="223">
        <f>IF($O330="","",INDEX($P$6:$P$125,$O330))</f>
        <v>0.5789473684210527</v>
      </c>
      <c r="K330" s="220" t="str">
        <f>IF($O330="","",INDEX($T$6:$T$125,$O330))</f>
        <v>1-30 days</v>
      </c>
      <c r="L330" s="220" t="str">
        <f>IF($O330="","",INDEX($C$6:$C$125,$O330))</f>
        <v>Sarath</v>
      </c>
      <c r="M330" s="224">
        <f>IF($O330="","",INDEX($AD$6:$AD$125,$O330))</f>
        <v>1</v>
      </c>
      <c r="O330" s="229">
        <f>IFERROR(MATCH(LARGE($AJ$6:$AJ$125,$A330),$AJ$6:$AJ$125,0),"")</f>
        <v>6</v>
      </c>
    </row>
    <row r="331">
      <c r="A331" s="214" t="n">
        <v>11</v>
      </c>
      <c r="B331" s="214" t="str">
        <f>IF($O331="","",INDEX($B$6:$B$125,$O331))</f>
        <v>Saravana Ganesh S</v>
      </c>
      <c r="C331" s="214" t="str">
        <f>IF($O331="","",INDEX($Y$6:$Y$125,$O331))</f>
        <v>Primus Global</v>
      </c>
      <c r="D331" s="214" t="str">
        <f>IF($O331="","",INDEX($H$6:$H$125,$O331))</f>
        <v>Chennai</v>
      </c>
      <c r="E331" s="219">
        <f>IF($O331="","",INDEX($W$6:$W$125,$O331))</f>
        <v>4.9</v>
      </c>
      <c r="F331" s="214" t="str">
        <f>IF($O331="","",INDEX($I$6:$I$125,$O331))</f>
        <v>ZN Submission</v>
      </c>
      <c r="G331" s="214" t="str">
        <f>IF($O331="","",INDEX($K$6:$K$125,$O331))</f>
        <v>Client Review</v>
      </c>
      <c r="H331" s="216">
        <f>IF($O331="","",INDEX($M$6:$M$125,$O331))</f>
        <v>15</v>
      </c>
      <c r="I331" s="216">
        <f>IF($O331="","",INDEX($O$6:$O$125,$O331))</f>
        <v>20</v>
      </c>
      <c r="J331" s="217">
        <f>IF($O331="","",INDEX($P$6:$P$125,$O331))</f>
        <v>0.33333333333333326</v>
      </c>
      <c r="K331" s="214" t="str">
        <f>IF($O331="","",INDEX($T$6:$T$125,$O331))</f>
        <v>1-30 days</v>
      </c>
      <c r="L331" s="214" t="str">
        <f>IF($O331="","",INDEX($C$6:$C$125,$O331))</f>
        <v>Rujuta</v>
      </c>
      <c r="M331" s="218">
        <f>IF($O331="","",INDEX($AD$6:$AD$125,$O331))</f>
        <v>1</v>
      </c>
      <c r="O331" s="229">
        <f>IFERROR(MATCH(LARGE($AJ$6:$AJ$125,$A331),$AJ$6:$AJ$125,0),"")</f>
        <v>7</v>
      </c>
    </row>
    <row r="332">
      <c r="A332" s="220" t="n">
        <v>12</v>
      </c>
      <c r="B332" s="220" t="str">
        <f>IF($O332="","",INDEX($B$6:$B$125,$O332))</f>
        <v>Hariprakash</v>
      </c>
      <c r="C332" s="220" t="str">
        <f>IF($O332="","",INDEX($Y$6:$Y$125,$O332))</f>
        <v>Contentstack</v>
      </c>
      <c r="D332" s="220" t="str">
        <f>IF($O332="","",INDEX($H$6:$H$125,$O332))</f>
        <v>Chennai</v>
      </c>
      <c r="E332" s="225">
        <f>IF($O332="","",INDEX($W$6:$W$125,$O332))</f>
        <v>3.1</v>
      </c>
      <c r="F332" s="220" t="str">
        <f>IF($O332="","",INDEX($I$6:$I$125,$O332))</f>
        <v>ZN Submission</v>
      </c>
      <c r="G332" s="220" t="str">
        <f>IF($O332="","",INDEX($K$6:$K$125,$O332))</f>
        <v>Jd sent, waiting for acknowlegment.</v>
      </c>
      <c r="H332" s="222">
        <f>IF($O332="","",INDEX($M$6:$M$125,$O332))</f>
        <v>13.13</v>
      </c>
      <c r="I332" s="222">
        <f>IF($O332="","",INDEX($O$6:$O$125,$O332))</f>
        <v>22</v>
      </c>
      <c r="J332" s="223">
        <f>IF($O332="","",INDEX($P$6:$P$125,$O332))</f>
        <v>0.6755521706016754</v>
      </c>
      <c r="K332" s="220" t="str">
        <f>IF($O332="","",INDEX($T$6:$T$125,$O332))</f>
        <v>31-60 days</v>
      </c>
      <c r="L332" s="220" t="str">
        <f>IF($O332="","",INDEX($C$6:$C$125,$O332))</f>
        <v>Vandana</v>
      </c>
      <c r="M332" s="224">
        <f>IF($O332="","",INDEX($AD$6:$AD$125,$O332))</f>
        <v>1</v>
      </c>
      <c r="O332" s="229">
        <f>IFERROR(MATCH(LARGE($AJ$6:$AJ$125,$A332),$AJ$6:$AJ$125,0),"")</f>
        <v>10</v>
      </c>
    </row>
    <row r="334">
      <c r="A334" s="211" t="inlineStr">
        <is>
          <t>Deepest experience</t>
        </is>
      </c>
    </row>
    <row r="335">
      <c r="A335" s="210" t="inlineStr">
        <is>
          <t>Ranked by Total Exp from the Submission template detail block.</t>
        </is>
      </c>
    </row>
    <row r="336">
      <c r="A336" s="227" t="inlineStr">
        <is>
          <t>#</t>
        </is>
      </c>
      <c r="B336" s="228" t="inlineStr">
        <is>
          <t>Candidate</t>
        </is>
      </c>
      <c r="C336" s="228" t="inlineStr">
        <is>
          <t>Company</t>
        </is>
      </c>
      <c r="D336" s="228" t="inlineStr">
        <is>
          <t>City</t>
        </is>
      </c>
      <c r="E336" s="228" t="inlineStr">
        <is>
          <t>Experience</t>
        </is>
      </c>
      <c r="F336" s="228" t="inlineStr">
        <is>
          <t>Stage</t>
        </is>
      </c>
      <c r="G336" s="228" t="inlineStr">
        <is>
          <t>Sub-status</t>
        </is>
      </c>
      <c r="H336" s="228" t="inlineStr">
        <is>
          <t>Current CTC</t>
        </is>
      </c>
      <c r="I336" s="228" t="inlineStr">
        <is>
          <t>Expected CTC</t>
        </is>
      </c>
      <c r="J336" s="228" t="inlineStr">
        <is>
          <t>Hike</t>
        </is>
      </c>
      <c r="K336" s="228" t="inlineStr">
        <is>
          <t>Availability</t>
        </is>
      </c>
      <c r="L336" s="228" t="inlineStr">
        <is>
          <t>Recruiter</t>
        </is>
      </c>
      <c r="M336" s="228" t="inlineStr">
        <is>
          <t>Loc match</t>
        </is>
      </c>
      <c r="O336" s="213" t="inlineStr">
        <is>
          <t>row idx</t>
        </is>
      </c>
    </row>
    <row r="337">
      <c r="A337" s="214" t="n">
        <v>1</v>
      </c>
      <c r="B337" s="214" t="str">
        <f>IF($O337="","",INDEX($B$6:$B$125,$O337))</f>
        <v>Gnanamani</v>
      </c>
      <c r="C337" s="214" t="str">
        <f>IF($O337="","",INDEX($Y$6:$Y$125,$O337))</f>
        <v>Integra Software Services</v>
      </c>
      <c r="D337" s="214" t="str">
        <f>IF($O337="","",INDEX($H$6:$H$125,$O337))</f>
        <v>Puducherry</v>
      </c>
      <c r="E337" s="219">
        <f>IF($O337="","",INDEX($W$6:$W$125,$O337))</f>
        <v>9.6</v>
      </c>
      <c r="F337" s="214" t="str">
        <f>IF($O337="","",INDEX($I$6:$I$125,$O337))</f>
        <v>ZN Submission</v>
      </c>
      <c r="G337" s="214" t="str">
        <f>IF($O337="","",INDEX($K$6:$K$125,$O337))</f>
        <v>Jd sent awaiting for response</v>
      </c>
      <c r="H337" s="216">
        <f>IF($O337="","",INDEX($M$6:$M$125,$O337))</f>
        <v>29.95</v>
      </c>
      <c r="I337" s="216">
        <f>IF($O337="","",INDEX($O$6:$O$125,$O337))</f>
        <v>32</v>
      </c>
      <c r="J337" s="217">
        <f>IF($O337="","",INDEX($P$6:$P$125,$O337))</f>
        <v>0.06844741235392315</v>
      </c>
      <c r="K337" s="214" t="str">
        <f>IF($O337="","",INDEX($T$6:$T$125,$O337))</f>
        <v>31-60 days</v>
      </c>
      <c r="L337" s="214" t="str">
        <f>IF($O337="","",INDEX($C$6:$C$125,$O337))</f>
        <v>Vandana</v>
      </c>
      <c r="M337" s="218">
        <f>IF($O337="","",INDEX($AD$6:$AD$125,$O337))</f>
        <v>1</v>
      </c>
      <c r="O337" s="229">
        <f>IFERROR(MATCH(LARGE($AK$6:$AK$125,$A337),$AK$6:$AK$125,0),"")</f>
        <v>33</v>
      </c>
    </row>
    <row r="338">
      <c r="A338" s="220" t="n">
        <v>2</v>
      </c>
      <c r="B338" s="220" t="str">
        <f>IF($O338="","",INDEX($B$6:$B$125,$O338))</f>
        <v>M.Navin Kumar</v>
      </c>
      <c r="C338" s="220" t="str">
        <f>IF($O338="","",INDEX($Y$6:$Y$125,$O338))</f>
        <v>Nagarro</v>
      </c>
      <c r="D338" s="220" t="str">
        <f>IF($O338="","",INDEX($H$6:$H$125,$O338))</f>
        <v>Coimbatore</v>
      </c>
      <c r="E338" s="225">
        <f>IF($O338="","",INDEX($W$6:$W$125,$O338))</f>
        <v>9</v>
      </c>
      <c r="F338" s="220" t="str">
        <f>IF($O338="","",INDEX($I$6:$I$125,$O338))</f>
        <v>ZN Submission</v>
      </c>
      <c r="G338" s="220" t="str">
        <f>IF($O338="","",INDEX($K$6:$K$125,$O338))</f>
        <v>Client Review</v>
      </c>
      <c r="H338" s="222">
        <f>IF($O338="","",INDEX($M$6:$M$125,$O338))</f>
        <v>32.8</v>
      </c>
      <c r="I338" s="222">
        <f>IF($O338="","",INDEX($O$6:$O$125,$O338))</f>
        <v>35</v>
      </c>
      <c r="J338" s="223">
        <f>IF($O338="","",INDEX($P$6:$P$125,$O338))</f>
        <v>0.06707317073170738</v>
      </c>
      <c r="K338" s="220" t="str">
        <f>IF($O338="","",INDEX($T$6:$T$125,$O338))</f>
        <v>Not recorded</v>
      </c>
      <c r="L338" s="220" t="str">
        <f>IF($O338="","",INDEX($C$6:$C$125,$O338))</f>
        <v>Ananthy</v>
      </c>
      <c r="M338" s="224">
        <f>IF($O338="","",INDEX($AD$6:$AD$125,$O338))</f>
        <v>1</v>
      </c>
      <c r="O338" s="229">
        <f>IFERROR(MATCH(LARGE($AK$6:$AK$125,$A338),$AK$6:$AK$125,0),"")</f>
        <v>20</v>
      </c>
    </row>
    <row r="339">
      <c r="A339" s="214" t="n">
        <v>3</v>
      </c>
      <c r="B339" s="214" t="str">
        <f>IF($O339="","",INDEX($B$6:$B$125,$O339))</f>
        <v>Pavan Kumar Reddy</v>
      </c>
      <c r="C339" s="214" t="str">
        <f>IF($O339="","",INDEX($Y$6:$Y$125,$O339))</f>
        <v>HCL</v>
      </c>
      <c r="D339" s="214" t="str">
        <f>IF($O339="","",INDEX($H$6:$H$125,$O339))</f>
        <v>Bangalore</v>
      </c>
      <c r="E339" s="219">
        <f>IF($O339="","",INDEX($W$6:$W$125,$O339))</f>
        <v>9</v>
      </c>
      <c r="F339" s="214" t="str">
        <f>IF($O339="","",INDEX($I$6:$I$125,$O339))</f>
        <v>ZN Submission</v>
      </c>
      <c r="G339" s="214">
        <f>IF($O339="","",INDEX($K$6:$K$125,$O339))</f>
      </c>
      <c r="H339" s="216">
        <f>IF($O339="","",INDEX($M$6:$M$125,$O339))</f>
        <v>19</v>
      </c>
      <c r="I339" s="216">
        <f>IF($O339="","",INDEX($O$6:$O$125,$O339))</f>
        <v>26</v>
      </c>
      <c r="J339" s="217">
        <f>IF($O339="","",INDEX($P$6:$P$125,$O339))</f>
        <v>0.368421052631579</v>
      </c>
      <c r="K339" s="214" t="str">
        <f>IF($O339="","",INDEX($T$6:$T$125,$O339))</f>
        <v>31-60 days</v>
      </c>
      <c r="L339" s="214" t="str">
        <f>IF($O339="","",INDEX($C$6:$C$125,$O339))</f>
        <v>Sarath</v>
      </c>
      <c r="M339" s="218">
        <f>IF($O339="","",INDEX($AD$6:$AD$125,$O339))</f>
        <v>1</v>
      </c>
      <c r="O339" s="229">
        <f>IFERROR(MATCH(LARGE($AK$6:$AK$125,$A339),$AK$6:$AK$125,0),"")</f>
        <v>22</v>
      </c>
    </row>
    <row r="340">
      <c r="A340" s="220" t="n">
        <v>4</v>
      </c>
      <c r="B340" s="220" t="str">
        <f>IF($O340="","",INDEX($B$6:$B$125,$O340))</f>
        <v>Yuva Charan Reddy Durgam</v>
      </c>
      <c r="C340" s="220" t="str">
        <f>IF($O340="","",INDEX($Y$6:$Y$125,$O340))</f>
        <v>Virtusa</v>
      </c>
      <c r="D340" s="220" t="str">
        <f>IF($O340="","",INDEX($H$6:$H$125,$O340))</f>
        <v>Tirupati</v>
      </c>
      <c r="E340" s="225">
        <f>IF($O340="","",INDEX($W$6:$W$125,$O340))</f>
        <v>8.2</v>
      </c>
      <c r="F340" s="220" t="str">
        <f>IF($O340="","",INDEX($I$6:$I$125,$O340))</f>
        <v>ZN Submission</v>
      </c>
      <c r="G340" s="220" t="str">
        <f>IF($O340="","",INDEX($K$6:$K$125,$O340))</f>
        <v>Client Review</v>
      </c>
      <c r="H340" s="222">
        <f>IF($O340="","",INDEX($M$6:$M$125,$O340))</f>
        <v>20.5</v>
      </c>
      <c r="I340" s="222">
        <f>IF($O340="","",INDEX($O$6:$O$125,$O340))</f>
        <v>35</v>
      </c>
      <c r="J340" s="223">
        <f>IF($O340="","",INDEX($P$6:$P$125,$O340))</f>
        <v>0.7073170731707317</v>
      </c>
      <c r="K340" s="220" t="str">
        <f>IF($O340="","",INDEX($T$6:$T$125,$O340))</f>
        <v>Not recorded</v>
      </c>
      <c r="L340" s="220" t="str">
        <f>IF($O340="","",INDEX($C$6:$C$125,$O340))</f>
        <v>Ananthy</v>
      </c>
      <c r="M340" s="224">
        <f>IF($O340="","",INDEX($AD$6:$AD$125,$O340))</f>
        <v>1</v>
      </c>
      <c r="O340" s="229">
        <f>IFERROR(MATCH(LARGE($AK$6:$AK$125,$A340),$AK$6:$AK$125,0),"")</f>
        <v>16</v>
      </c>
    </row>
    <row r="341">
      <c r="A341" s="214" t="n">
        <v>5</v>
      </c>
      <c r="B341" s="214" t="str">
        <f>IF($O341="","",INDEX($B$6:$B$125,$O341))</f>
        <v>Govardhan</v>
      </c>
      <c r="C341" s="214" t="str">
        <f>IF($O341="","",INDEX($Y$6:$Y$125,$O341))</f>
        <v>Indium Software</v>
      </c>
      <c r="D341" s="214" t="str">
        <f>IF($O341="","",INDEX($H$6:$H$125,$O341))</f>
        <v>Chennai</v>
      </c>
      <c r="E341" s="219">
        <f>IF($O341="","",INDEX($W$6:$W$125,$O341))</f>
        <v>8</v>
      </c>
      <c r="F341" s="214" t="str">
        <f>IF($O341="","",INDEX($I$6:$I$125,$O341))</f>
        <v>ZN Submission</v>
      </c>
      <c r="G341" s="214" t="str">
        <f>IF($O341="","",INDEX($K$6:$K$125,$O341))</f>
        <v>Client Review</v>
      </c>
      <c r="H341" s="216">
        <f>IF($O341="","",INDEX($M$6:$M$125,$O341))</f>
        <v>19</v>
      </c>
      <c r="I341" s="216">
        <f>IF($O341="","",INDEX($O$6:$O$125,$O341))</f>
        <v>30</v>
      </c>
      <c r="J341" s="217">
        <f>IF($O341="","",INDEX($P$6:$P$125,$O341))</f>
        <v>0.5789473684210527</v>
      </c>
      <c r="K341" s="214" t="str">
        <f>IF($O341="","",INDEX($T$6:$T$125,$O341))</f>
        <v>1-30 days</v>
      </c>
      <c r="L341" s="214" t="str">
        <f>IF($O341="","",INDEX($C$6:$C$125,$O341))</f>
        <v>Sarath</v>
      </c>
      <c r="M341" s="218">
        <f>IF($O341="","",INDEX($AD$6:$AD$125,$O341))</f>
        <v>1</v>
      </c>
      <c r="O341" s="229">
        <f>IFERROR(MATCH(LARGE($AK$6:$AK$125,$A341),$AK$6:$AK$125,0),"")</f>
        <v>6</v>
      </c>
    </row>
    <row r="342">
      <c r="A342" s="220" t="n">
        <v>6</v>
      </c>
      <c r="B342" s="220" t="str">
        <f>IF($O342="","",INDEX($B$6:$B$125,$O342))</f>
        <v>Rajesh</v>
      </c>
      <c r="C342" s="220" t="str">
        <f>IF($O342="","",INDEX($Y$6:$Y$125,$O342))</f>
        <v>Cegeka</v>
      </c>
      <c r="D342" s="220" t="str">
        <f>IF($O342="","",INDEX($H$6:$H$125,$O342))</f>
        <v>Chennai</v>
      </c>
      <c r="E342" s="225">
        <f>IF($O342="","",INDEX($W$6:$W$125,$O342))</f>
        <v>8</v>
      </c>
      <c r="F342" s="220" t="str">
        <f>IF($O342="","",INDEX($I$6:$I$125,$O342))</f>
        <v>ZN Submission</v>
      </c>
      <c r="G342" s="220" t="str">
        <f>IF($O342="","",INDEX($K$6:$K$125,$O342))</f>
        <v>Client Review</v>
      </c>
      <c r="H342" s="222">
        <f>IF($O342="","",INDEX($M$6:$M$125,$O342))</f>
        <v>0</v>
      </c>
      <c r="I342" s="222">
        <f>IF($O342="","",INDEX($O$6:$O$125,$O342))</f>
        <v>0</v>
      </c>
      <c r="J342" s="223">
        <f>IF($O342="","",INDEX($P$6:$P$125,$O342))</f>
        <v>0</v>
      </c>
      <c r="K342" s="220" t="str">
        <f>IF($O342="","",INDEX($T$6:$T$125,$O342))</f>
        <v>Not recorded</v>
      </c>
      <c r="L342" s="220" t="str">
        <f>IF($O342="","",INDEX($C$6:$C$125,$O342))</f>
        <v>Sarath</v>
      </c>
      <c r="M342" s="224">
        <f>IF($O342="","",INDEX($AD$6:$AD$125,$O342))</f>
        <v>1</v>
      </c>
      <c r="O342" s="229">
        <f>IFERROR(MATCH(LARGE($AK$6:$AK$125,$A342),$AK$6:$AK$125,0),"")</f>
        <v>43</v>
      </c>
    </row>
    <row r="343">
      <c r="A343" s="214" t="n">
        <v>7</v>
      </c>
      <c r="B343" s="214" t="str">
        <f>IF($O343="","",INDEX($B$6:$B$125,$O343))</f>
        <v>Shabana</v>
      </c>
      <c r="C343" s="214" t="str">
        <f>IF($O343="","",INDEX($Y$6:$Y$125,$O343))</f>
        <v>Synechron Technologies</v>
      </c>
      <c r="D343" s="214" t="str">
        <f>IF($O343="","",INDEX($H$6:$H$125,$O343))</f>
        <v>Chennai</v>
      </c>
      <c r="E343" s="219">
        <f>IF($O343="","",INDEX($W$6:$W$125,$O343))</f>
        <v>8</v>
      </c>
      <c r="F343" s="214" t="str">
        <f>IF($O343="","",INDEX($I$6:$I$125,$O343))</f>
        <v>ZN Submission</v>
      </c>
      <c r="G343" s="214" t="str">
        <f>IF($O343="","",INDEX($K$6:$K$125,$O343))</f>
        <v>Client Review</v>
      </c>
      <c r="H343" s="216">
        <f>IF($O343="","",INDEX($M$6:$M$125,$O343))</f>
        <v>0</v>
      </c>
      <c r="I343" s="216">
        <f>IF($O343="","",INDEX($O$6:$O$125,$O343))</f>
        <v>0</v>
      </c>
      <c r="J343" s="217">
        <f>IF($O343="","",INDEX($P$6:$P$125,$O343))</f>
        <v>0</v>
      </c>
      <c r="K343" s="214" t="str">
        <f>IF($O343="","",INDEX($T$6:$T$125,$O343))</f>
        <v>Not recorded</v>
      </c>
      <c r="L343" s="214" t="str">
        <f>IF($O343="","",INDEX($C$6:$C$125,$O343))</f>
        <v>Sarath</v>
      </c>
      <c r="M343" s="218">
        <f>IF($O343="","",INDEX($AD$6:$AD$125,$O343))</f>
        <v>1</v>
      </c>
      <c r="O343" s="229">
        <f>IFERROR(MATCH(LARGE($AK$6:$AK$125,$A343),$AK$6:$AK$125,0),"")</f>
        <v>44</v>
      </c>
    </row>
    <row r="344">
      <c r="A344" s="220" t="n">
        <v>8</v>
      </c>
      <c r="B344" s="220" t="str">
        <f>IF($O344="","",INDEX($B$6:$B$125,$O344))</f>
        <v>Ankit Mahajan</v>
      </c>
      <c r="C344" s="220" t="str">
        <f>IF($O344="","",INDEX($Y$6:$Y$125,$O344))</f>
        <v>Samsara Group</v>
      </c>
      <c r="D344" s="220" t="str">
        <f>IF($O344="","",INDEX($H$6:$H$125,$O344))</f>
        <v>Mumbai</v>
      </c>
      <c r="E344" s="225">
        <f>IF($O344="","",INDEX($W$6:$W$125,$O344))</f>
        <v>8</v>
      </c>
      <c r="F344" s="220" t="str">
        <f>IF($O344="","",INDEX($I$6:$I$125,$O344))</f>
        <v>ZN Interview</v>
      </c>
      <c r="G344" s="220" t="str">
        <f>IF($O344="","",INDEX($K$6:$K$125,$O344))</f>
        <v>L1 Scheduled on 25th Aug</v>
      </c>
      <c r="H344" s="222">
        <f>IF($O344="","",INDEX($M$6:$M$125,$O344))</f>
        <v>17</v>
      </c>
      <c r="I344" s="222">
        <f>IF($O344="","",INDEX($O$6:$O$125,$O344))</f>
        <v>25</v>
      </c>
      <c r="J344" s="223">
        <f>IF($O344="","",INDEX($P$6:$P$125,$O344))</f>
        <v>0.47058823529411775</v>
      </c>
      <c r="K344" s="220" t="str">
        <f>IF($O344="","",INDEX($T$6:$T$125,$O344))</f>
        <v>31-60 days</v>
      </c>
      <c r="L344" s="220" t="str">
        <f>IF($O344="","",INDEX($C$6:$C$125,$O344))</f>
        <v>Sarath</v>
      </c>
      <c r="M344" s="224">
        <f>IF($O344="","",INDEX($AD$6:$AD$125,$O344))</f>
        <v>0</v>
      </c>
      <c r="O344" s="229">
        <f>IFERROR(MATCH(LARGE($AK$6:$AK$125,$A344),$AK$6:$AK$125,0),"")</f>
        <v>52</v>
      </c>
    </row>
    <row r="345">
      <c r="A345" s="214" t="n">
        <v>9</v>
      </c>
      <c r="B345" s="214" t="str">
        <f>IF($O345="","",INDEX($B$6:$B$125,$O345))</f>
        <v>Pasupathi</v>
      </c>
      <c r="C345" s="214" t="str">
        <f>IF($O345="","",INDEX($Y$6:$Y$125,$O345))</f>
        <v>Incedo</v>
      </c>
      <c r="D345" s="214" t="str">
        <f>IF($O345="","",INDEX($H$6:$H$125,$O345))</f>
        <v>Chennai</v>
      </c>
      <c r="E345" s="219">
        <f>IF($O345="","",INDEX($W$6:$W$125,$O345))</f>
        <v>7</v>
      </c>
      <c r="F345" s="214" t="str">
        <f>IF($O345="","",INDEX($I$6:$I$125,$O345))</f>
        <v>ZN Submission</v>
      </c>
      <c r="G345" s="214" t="str">
        <f>IF($O345="","",INDEX($K$6:$K$125,$O345))</f>
        <v>Client Review</v>
      </c>
      <c r="H345" s="216">
        <f>IF($O345="","",INDEX($M$6:$M$125,$O345))</f>
        <v>0</v>
      </c>
      <c r="I345" s="216">
        <f>IF($O345="","",INDEX($O$6:$O$125,$O345))</f>
        <v>0</v>
      </c>
      <c r="J345" s="217">
        <f>IF($O345="","",INDEX($P$6:$P$125,$O345))</f>
        <v>0</v>
      </c>
      <c r="K345" s="214" t="str">
        <f>IF($O345="","",INDEX($T$6:$T$125,$O345))</f>
        <v>Not recorded</v>
      </c>
      <c r="L345" s="214" t="str">
        <f>IF($O345="","",INDEX($C$6:$C$125,$O345))</f>
        <v>Sarath</v>
      </c>
      <c r="M345" s="218">
        <f>IF($O345="","",INDEX($AD$6:$AD$125,$O345))</f>
        <v>1</v>
      </c>
      <c r="O345" s="229">
        <f>IFERROR(MATCH(LARGE($AK$6:$AK$125,$A345),$AK$6:$AK$125,0),"")</f>
        <v>47</v>
      </c>
    </row>
    <row r="346">
      <c r="A346" s="220" t="n">
        <v>10</v>
      </c>
      <c r="B346" s="220" t="str">
        <f>IF($O346="","",INDEX($B$6:$B$125,$O346))</f>
        <v>Jayaselva Manikannan</v>
      </c>
      <c r="C346" s="220" t="str">
        <f>IF($O346="","",INDEX($Y$6:$Y$125,$O346))</f>
        <v>Akrivia HCM</v>
      </c>
      <c r="D346" s="220" t="str">
        <f>IF($O346="","",INDEX($H$6:$H$125,$O346))</f>
        <v>Chennai</v>
      </c>
      <c r="E346" s="225">
        <f>IF($O346="","",INDEX($W$6:$W$125,$O346))</f>
        <v>5.6</v>
      </c>
      <c r="F346" s="220" t="str">
        <f>IF($O346="","",INDEX($I$6:$I$125,$O346))</f>
        <v>ZN Submission</v>
      </c>
      <c r="G346" s="220" t="str">
        <f>IF($O346="","",INDEX($K$6:$K$125,$O346))</f>
        <v>Client Review</v>
      </c>
      <c r="H346" s="222">
        <f>IF($O346="","",INDEX($M$6:$M$125,$O346))</f>
        <v>17</v>
      </c>
      <c r="I346" s="222">
        <f>IF($O346="","",INDEX($O$6:$O$125,$O346))</f>
        <v>18</v>
      </c>
      <c r="J346" s="223">
        <f>IF($O346="","",INDEX($P$6:$P$125,$O346))</f>
        <v>0.05882352941176472</v>
      </c>
      <c r="K346" s="220" t="str">
        <f>IF($O346="","",INDEX($T$6:$T$125,$O346))</f>
        <v>Immediate</v>
      </c>
      <c r="L346" s="220" t="str">
        <f>IF($O346="","",INDEX($C$6:$C$125,$O346))</f>
        <v>Rujuta</v>
      </c>
      <c r="M346" s="224">
        <f>IF($O346="","",INDEX($AD$6:$AD$125,$O346))</f>
        <v>1</v>
      </c>
      <c r="O346" s="229">
        <f>IFERROR(MATCH(LARGE($AK$6:$AK$125,$A346),$AK$6:$AK$125,0),"")</f>
        <v>13</v>
      </c>
    </row>
    <row r="347">
      <c r="A347" s="214" t="n">
        <v>11</v>
      </c>
      <c r="B347" s="214" t="str">
        <f>IF($O347="","",INDEX($B$6:$B$125,$O347))</f>
        <v>Jahnavi</v>
      </c>
      <c r="C347" s="214" t="str">
        <f>IF($O347="","",INDEX($Y$6:$Y$125,$O347))</f>
        <v>Lloyds Technology Centre</v>
      </c>
      <c r="D347" s="214" t="str">
        <f>IF($O347="","",INDEX($H$6:$H$125,$O347))</f>
        <v>Ongole</v>
      </c>
      <c r="E347" s="219">
        <f>IF($O347="","",INDEX($W$6:$W$125,$O347))</f>
        <v>5.1</v>
      </c>
      <c r="F347" s="214" t="str">
        <f>IF($O347="","",INDEX($I$6:$I$125,$O347))</f>
        <v>ZN Submission</v>
      </c>
      <c r="G347" s="214" t="str">
        <f>IF($O347="","",INDEX($K$6:$K$125,$O347))</f>
        <v>JD sent awaiting for response</v>
      </c>
      <c r="H347" s="216">
        <f>IF($O347="","",INDEX($M$6:$M$125,$O347))</f>
        <v>18</v>
      </c>
      <c r="I347" s="216">
        <f>IF($O347="","",INDEX($O$6:$O$125,$O347))</f>
        <v>22</v>
      </c>
      <c r="J347" s="217">
        <f>IF($O347="","",INDEX($P$6:$P$125,$O347))</f>
        <v>0.22222222222222232</v>
      </c>
      <c r="K347" s="214" t="str">
        <f>IF($O347="","",INDEX($T$6:$T$125,$O347))</f>
        <v>1-30 days</v>
      </c>
      <c r="L347" s="214" t="str">
        <f>IF($O347="","",INDEX($C$6:$C$125,$O347))</f>
        <v>Vandana</v>
      </c>
      <c r="M347" s="218">
        <f>IF($O347="","",INDEX($AD$6:$AD$125,$O347))</f>
        <v>1</v>
      </c>
      <c r="O347" s="229">
        <f>IFERROR(MATCH(LARGE($AK$6:$AK$125,$A347),$AK$6:$AK$125,0),"")</f>
        <v>24</v>
      </c>
    </row>
    <row r="348">
      <c r="A348" s="220" t="n">
        <v>12</v>
      </c>
      <c r="B348" s="220" t="str">
        <f>IF($O348="","",INDEX($B$6:$B$125,$O348))</f>
        <v>Saravana Ganesh S</v>
      </c>
      <c r="C348" s="220" t="str">
        <f>IF($O348="","",INDEX($Y$6:$Y$125,$O348))</f>
        <v>Primus Global</v>
      </c>
      <c r="D348" s="220" t="str">
        <f>IF($O348="","",INDEX($H$6:$H$125,$O348))</f>
        <v>Chennai</v>
      </c>
      <c r="E348" s="225">
        <f>IF($O348="","",INDEX($W$6:$W$125,$O348))</f>
        <v>4.9</v>
      </c>
      <c r="F348" s="220" t="str">
        <f>IF($O348="","",INDEX($I$6:$I$125,$O348))</f>
        <v>ZN Submission</v>
      </c>
      <c r="G348" s="220" t="str">
        <f>IF($O348="","",INDEX($K$6:$K$125,$O348))</f>
        <v>Client Review</v>
      </c>
      <c r="H348" s="222">
        <f>IF($O348="","",INDEX($M$6:$M$125,$O348))</f>
        <v>15</v>
      </c>
      <c r="I348" s="222">
        <f>IF($O348="","",INDEX($O$6:$O$125,$O348))</f>
        <v>20</v>
      </c>
      <c r="J348" s="223">
        <f>IF($O348="","",INDEX($P$6:$P$125,$O348))</f>
        <v>0.33333333333333326</v>
      </c>
      <c r="K348" s="220" t="str">
        <f>IF($O348="","",INDEX($T$6:$T$125,$O348))</f>
        <v>1-30 days</v>
      </c>
      <c r="L348" s="220" t="str">
        <f>IF($O348="","",INDEX($C$6:$C$125,$O348))</f>
        <v>Rujuta</v>
      </c>
      <c r="M348" s="224">
        <f>IF($O348="","",INDEX($AD$6:$AD$125,$O348))</f>
        <v>1</v>
      </c>
      <c r="O348" s="229">
        <f>IFERROR(MATCH(LARGE($AK$6:$AK$125,$A348),$AK$6:$AK$125,0),"")</f>
        <v>7</v>
      </c>
    </row>
    <row r="350">
      <c r="A350" s="211" t="inlineStr">
        <is>
          <t>Scalar KPIs consumed by every view</t>
        </is>
      </c>
    </row>
    <row r="351">
      <c r="A351" s="227" t="inlineStr">
        <is>
          <t>Metric</t>
        </is>
      </c>
      <c r="B351" s="228" t="inlineStr">
        <is>
          <t>Value</t>
        </is>
      </c>
      <c r="C351" s="227" t="inlineStr">
        <is>
          <t>Definition</t>
        </is>
      </c>
    </row>
    <row r="352">
      <c r="A352" s="230" t="inlineStr">
        <is>
          <t>Candidates in pipeline</t>
        </is>
      </c>
      <c r="B352" s="231">
        <f>SUMPRODUCT($AE$6:$AE$125)</f>
        <v>52</v>
      </c>
      <c r="C352" s="232" t="inlineStr">
        <is>
          <t>Rows in Master Data-2026 passing the current filters</t>
        </is>
      </c>
    </row>
    <row r="353">
      <c r="A353" s="233" t="inlineStr">
        <is>
          <t>Total candidates on file</t>
        </is>
      </c>
      <c r="B353" s="234">
        <f>SUMPRODUCT(($B$6:$B$125&lt;&gt;"")*1)</f>
        <v>52</v>
      </c>
      <c r="C353" s="235" t="inlineStr">
        <is>
          <t>Unfiltered count in Master Data-2026</t>
        </is>
      </c>
    </row>
    <row r="354">
      <c r="A354" s="230" t="inlineStr">
        <is>
          <t>Historic pool (2025)</t>
        </is>
      </c>
      <c r="B354" s="231">
        <f>SUMPRODUCT((' Master Data-2025'!$D$2:$D$2007&lt;&gt;"")*1)</f>
        <v>78</v>
      </c>
      <c r="C354" s="232" t="inlineStr">
        <is>
          <t>Candidates recorded in Master Data-2025</t>
        </is>
      </c>
    </row>
    <row r="355">
      <c r="A355" s="233" t="inlineStr">
        <is>
          <t>At telephonic screening</t>
        </is>
      </c>
      <c r="B355" s="234">
        <f>SUMPRODUCT($AE$6:$AE$125*($J$6:$J$125=1))</f>
        <v>29</v>
      </c>
      <c r="C355" s="235" t="inlineStr">
        <is>
          <t>Stage order 1</t>
        </is>
      </c>
    </row>
    <row r="356">
      <c r="A356" s="230" t="inlineStr">
        <is>
          <t>Submitted to client</t>
        </is>
      </c>
      <c r="B356" s="231">
        <f>SUMPRODUCT($AE$6:$AE$125*($J$6:$J$125&gt;=2))</f>
        <v>23</v>
      </c>
      <c r="C356" s="232" t="inlineStr">
        <is>
          <t>Reached ZN Submission or beyond</t>
        </is>
      </c>
    </row>
    <row r="357">
      <c r="A357" s="233" t="inlineStr">
        <is>
          <t>In client interview</t>
        </is>
      </c>
      <c r="B357" s="234">
        <f>SUMPRODUCT($AE$6:$AE$125*($J$6:$J$125&gt;=3))</f>
        <v>3</v>
      </c>
      <c r="C357" s="235" t="inlineStr">
        <is>
          <t>Reached ZN Interview or beyond</t>
        </is>
      </c>
    </row>
    <row r="358">
      <c r="A358" s="230" t="inlineStr">
        <is>
          <t>Offers and hires</t>
        </is>
      </c>
      <c r="B358" s="231">
        <f>SUMPRODUCT($AE$6:$AE$125*($J$6:$J$125&gt;=5))</f>
        <v>0</v>
      </c>
      <c r="C358" s="232" t="inlineStr">
        <is>
          <t>Reached ZN Offer or beyond</t>
        </is>
      </c>
    </row>
    <row r="359">
      <c r="A359" s="233" t="inlineStr">
        <is>
          <t>Withdrawn / lost</t>
        </is>
      </c>
      <c r="B359" s="234">
        <f>SUMPRODUCT($AE$6:$AE$125*($I$6:$I$125="Candidate Withdrawn"))</f>
        <v>0</v>
      </c>
      <c r="C359" s="235" t="inlineStr">
        <is>
          <t>Exited the process</t>
        </is>
      </c>
    </row>
    <row r="360">
      <c r="A360" s="230" t="inlineStr">
        <is>
          <t>In client review now</t>
        </is>
      </c>
      <c r="B360" s="231">
        <f>SUMPRODUCT($AE$6:$AE$125*ISNUMBER(SEARCH("client review",$K$6:$K$125)))</f>
        <v>14</v>
      </c>
      <c r="C360" s="232" t="inlineStr">
        <is>
          <t>Sub-status contains ‘Client Review’</t>
        </is>
      </c>
    </row>
    <row r="361">
      <c r="A361" s="233" t="inlineStr">
        <is>
          <t>Submission rate</t>
        </is>
      </c>
      <c r="B361" s="236">
        <f>IFERROR(SUMPRODUCT($AE$6:$AE$125*($J$6:$J$125&gt;=2))/SUMPRODUCT($AE$6:$AE$125),0)</f>
        <v>0.4423076923076923</v>
      </c>
      <c r="C361" s="235" t="inlineStr">
        <is>
          <t>Submitted ÷ pipeline</t>
        </is>
      </c>
    </row>
    <row r="362">
      <c r="A362" s="230" t="inlineStr">
        <is>
          <t>Screen-to-interview rate</t>
        </is>
      </c>
      <c r="B362" s="237">
        <f>IFERROR(SUMPRODUCT($AE$6:$AE$125*($J$6:$J$125&gt;=3))/SUMPRODUCT($AE$6:$AE$125*($J$6:$J$125&gt;=2)),0)</f>
        <v>0.13043478260869565</v>
      </c>
      <c r="C362" s="232" t="inlineStr">
        <is>
          <t>Interviewed ÷ submitted</t>
        </is>
      </c>
    </row>
    <row r="363">
      <c r="A363" s="233" t="inlineStr">
        <is>
          <t>Offer conversion</t>
        </is>
      </c>
      <c r="B363" s="236">
        <f>IFERROR(SUMPRODUCT($AE$6:$AE$125*($J$6:$J$125&gt;=5))/SUMPRODUCT($AE$6:$AE$125*($J$6:$J$125&gt;=3)),0)</f>
        <v>0</v>
      </c>
      <c r="C363" s="235" t="inlineStr">
        <is>
          <t>Offers ÷ interviewed</t>
        </is>
      </c>
    </row>
    <row r="364">
      <c r="A364" s="230" t="inlineStr">
        <is>
          <t>Avg current CTC</t>
        </is>
      </c>
      <c r="B364" s="238">
        <f>IFERROR(SUMPRODUCT($AE$6:$AE$125*$M$6:$M$125)/SUMPRODUCT($AE$6:$AE$125*($M$6:$M$125&gt;0)),0)</f>
        <v>14.024666666666667</v>
      </c>
      <c r="C364" s="232" t="inlineStr">
        <is>
          <t>Mean of recorded current CTC</t>
        </is>
      </c>
    </row>
    <row r="365">
      <c r="A365" s="233" t="inlineStr">
        <is>
          <t>Avg expected CTC</t>
        </is>
      </c>
      <c r="B365" s="239">
        <f>IFERROR(SUMPRODUCT($AE$6:$AE$125*$O$6:$O$125)/SUMPRODUCT($AE$6:$AE$125*($O$6:$O$125&gt;0)),0)</f>
        <v>19.896551724137932</v>
      </c>
      <c r="C365" s="235" t="inlineStr">
        <is>
          <t>Mean of recorded expected CTC</t>
        </is>
      </c>
    </row>
    <row r="366">
      <c r="A366" s="230" t="inlineStr">
        <is>
          <t>Avg expected hike</t>
        </is>
      </c>
      <c r="B366" s="237">
        <f>IFERROR(SUMPRODUCT($AE$6:$AE$125*$P$6:$P$125)/SUMPRODUCT($AE$6:$AE$125*($P$6:$P$125&gt;0)),0)</f>
        <v>0.4881948670129424</v>
      </c>
      <c r="C366" s="232" t="inlineStr">
        <is>
          <t>Mean uplift on current CTC</t>
        </is>
      </c>
    </row>
    <row r="367">
      <c r="A367" s="233" t="inlineStr">
        <is>
          <t>Highest expected CTC</t>
        </is>
      </c>
      <c r="B367" s="239">
        <f>IFERROR(MAX($O$6:$O$125),0)</f>
        <v>35</v>
      </c>
      <c r="C367" s="235" t="inlineStr">
        <is>
          <t>Top ask in the pool</t>
        </is>
      </c>
    </row>
    <row r="368">
      <c r="A368" s="230" t="inlineStr">
        <is>
          <t>Avg experience</t>
        </is>
      </c>
      <c r="B368" s="240">
        <f>IFERROR(SUMPRODUCT($AE$6:$AE$125*$W$6:$W$125)/SUMPRODUCT($AE$6:$AE$125*($W$6:$W$125&gt;0)),0)</f>
        <v>5.5324</v>
      </c>
      <c r="C368" s="232" t="inlineStr">
        <is>
          <t>Where Total Exp is recorded</t>
        </is>
      </c>
    </row>
    <row r="369">
      <c r="A369" s="233" t="inlineStr">
        <is>
          <t>Most experienced</t>
        </is>
      </c>
      <c r="B369" s="241">
        <f>IFERROR(MAX($W$6:$W$125),0)</f>
        <v>9.6</v>
      </c>
      <c r="C369" s="235" t="inlineStr">
        <is>
          <t>Deepest profile on file</t>
        </is>
      </c>
    </row>
    <row r="370">
      <c r="A370" s="230" t="inlineStr">
        <is>
          <t>Meets experience bar</t>
        </is>
      </c>
      <c r="B370" s="231">
        <f>SUMPRODUCT($AE$6:$AE$125*($W$6:$W$125&gt;=MinExperience))</f>
        <v>18</v>
      </c>
      <c r="C370" s="232" t="inlineStr">
        <is>
          <t>Total Exp ≥ the bar set in Reference</t>
        </is>
      </c>
    </row>
    <row r="371">
      <c r="A371" s="233" t="inlineStr">
        <is>
          <t>Senior / lead calibre</t>
        </is>
      </c>
      <c r="B371" s="234">
        <f>SUMPRODUCT($AE$6:$AE$125*($W$6:$W$125&gt;=SeniorExperience))</f>
        <v>8</v>
      </c>
      <c r="C371" s="235" t="inlineStr">
        <is>
          <t>Total Exp ≥ senior bar</t>
        </is>
      </c>
    </row>
    <row r="372">
      <c r="A372" s="230" t="inlineStr">
        <is>
          <t>Joiner-ready</t>
        </is>
      </c>
      <c r="B372" s="231">
        <f>SUMPRODUCT($AE$6:$AE$125*($S$6:$S$125&gt;=0)*($S$6:$S$125&lt;=MaxNoticeDays))</f>
        <v>11</v>
      </c>
      <c r="C372" s="232" t="inlineStr">
        <is>
          <t>Notice within the acceptable window</t>
        </is>
      </c>
    </row>
    <row r="373">
      <c r="A373" s="233" t="inlineStr">
        <is>
          <t>Immediate joiners</t>
        </is>
      </c>
      <c r="B373" s="234">
        <f>SUMPRODUCT($AE$6:$AE$125*($S$6:$S$125=0))</f>
        <v>3</v>
      </c>
      <c r="C373" s="235" t="inlineStr">
        <is>
          <t>Notice = immediate</t>
        </is>
      </c>
    </row>
    <row r="374">
      <c r="A374" s="230" t="inlineStr">
        <is>
          <t>In target location</t>
        </is>
      </c>
      <c r="B374" s="231">
        <f>SUMPRODUCT($AE$6:$AE$125*$AD$6:$AD$125)</f>
        <v>39</v>
      </c>
      <c r="C374" s="232" t="inlineStr">
        <is>
          <t>City or preferred location matches the target</t>
        </is>
      </c>
    </row>
    <row r="375">
      <c r="A375" s="233" t="inlineStr">
        <is>
          <t>Target-location match</t>
        </is>
      </c>
      <c r="B375" s="236">
        <f>IFERROR(SUMPRODUCT($AE$6:$AE$125*$AD$6:$AD$125)/SUMPRODUCT($AE$6:$AE$125),0)</f>
        <v>0.75</v>
      </c>
      <c r="C375" s="235" t="inlineStr">
        <is>
          <t>Share of the filtered pool</t>
        </is>
      </c>
    </row>
    <row r="376">
      <c r="A376" s="230" t="inlineStr">
        <is>
          <t>Cities represented</t>
        </is>
      </c>
      <c r="B376" s="231">
        <f>SUMPRODUCT(($AP$6:$AP$25&gt;0)*($AO$6:$AO$25&lt;&gt;"Not recorded"))</f>
        <v>10</v>
      </c>
      <c r="C376" s="232" t="inlineStr">
        <is>
          <t>Distinct normalised cities in the filtered pool</t>
        </is>
      </c>
    </row>
    <row r="377">
      <c r="A377" s="233" t="inlineStr">
        <is>
          <t>Open requisitions</t>
        </is>
      </c>
      <c r="B377" s="234">
        <f>SUMPRODUCT(($AT$6:$AT$25&gt;0)*1)</f>
        <v>3</v>
      </c>
      <c r="C377" s="235" t="inlineStr">
        <is>
          <t>Distinct requisition titles being worked</t>
        </is>
      </c>
    </row>
    <row r="378">
      <c r="A378" s="230" t="inlineStr">
        <is>
          <t>Recruiters active</t>
        </is>
      </c>
      <c r="B378" s="231">
        <f>SUMPRODUCT(($AX$6:$AX$25&gt;0)*1)</f>
        <v>5</v>
      </c>
      <c r="C378" s="232" t="inlineStr">
        <is>
          <t>Distinct recruiters with live candidates</t>
        </is>
      </c>
    </row>
    <row r="379">
      <c r="A379" s="233" t="inlineStr">
        <is>
          <t>Profiles fully detailed</t>
        </is>
      </c>
      <c r="B379" s="234">
        <f>SUMPRODUCT($AE$6:$AE$125*$AC$6:$AC$125)</f>
        <v>25</v>
      </c>
      <c r="C379" s="235" t="inlineStr">
        <is>
          <t>Matched to the Submission template detail block</t>
        </is>
      </c>
    </row>
    <row r="380">
      <c r="A380" s="230" t="inlineStr">
        <is>
          <t>Detail coverage</t>
        </is>
      </c>
      <c r="B380" s="237">
        <f>IFERROR(SUMPRODUCT($AE$6:$AE$125*$AC$6:$AC$125)/SUMPRODUCT($AE$6:$AE$125),0)</f>
        <v>0.4807692307692308</v>
      </c>
      <c r="C380" s="232" t="inlineStr">
        <is>
          <t>Share with experience / company / notice detail</t>
        </is>
      </c>
    </row>
    <row r="381">
      <c r="A381" s="233" t="inlineStr">
        <is>
          <t>Strongest city</t>
        </is>
      </c>
      <c r="B381" s="242" t="str">
        <f>IF($A$232="","–",$A$232)</f>
        <v>Chennai</v>
      </c>
      <c r="C381" s="235" t="inlineStr">
        <is>
          <t>City with the most candidates</t>
        </is>
      </c>
    </row>
    <row r="382">
      <c r="A382" s="230" t="inlineStr">
        <is>
          <t>Busiest recruiter</t>
        </is>
      </c>
      <c r="B382" s="243" t="str">
        <f>IF($A$257="","–",$A$257)</f>
        <v>Ananthy</v>
      </c>
      <c r="C382" s="232" t="inlineStr">
        <is>
          <t>Most candidates sourced</t>
        </is>
      </c>
    </row>
    <row r="383">
      <c r="A383" s="233" t="inlineStr">
        <is>
          <t>Largest requisition</t>
        </is>
      </c>
      <c r="B383" s="242" t="str">
        <f>IF($A$245="","–",$A$245)</f>
        <v>Full Stack Developer</v>
      </c>
      <c r="C383" s="235" t="inlineStr">
        <is>
          <t>Requisition with the deepest pipeline</t>
        </is>
      </c>
    </row>
    <row r="390">
      <c r="A390" s="211" t="inlineStr">
        <is>
          <t>Data quality watchlist</t>
        </is>
      </c>
    </row>
    <row r="391">
      <c r="A391" s="227" t="inlineStr">
        <is>
          <t>Check</t>
        </is>
      </c>
      <c r="B391" s="228" t="inlineStr">
        <is>
          <t>Count</t>
        </is>
      </c>
      <c r="C391" s="227" t="inlineStr">
        <is>
          <t>Why it matters</t>
        </is>
      </c>
    </row>
    <row r="392">
      <c r="A392" s="230" t="inlineStr">
        <is>
          <t>Missing location</t>
        </is>
      </c>
      <c r="B392" s="244">
        <f>SUMPRODUCT(($B$6:$B$125&lt;&gt;"")*($G$6:$G$125=""))</f>
        <v>6</v>
      </c>
      <c r="C392" s="232" t="inlineStr">
        <is>
          <t>Excluded from every location metric</t>
        </is>
      </c>
    </row>
    <row r="393">
      <c r="A393" s="233" t="inlineStr">
        <is>
          <t>Missing requisition</t>
        </is>
      </c>
      <c r="B393" s="245">
        <f>SUMPRODUCT(($B$6:$B$125&lt;&gt;"")*($F$6:$F$125=""))</f>
        <v>3</v>
      </c>
      <c r="C393" s="235" t="inlineStr">
        <is>
          <t>Cannot be attributed to a role</t>
        </is>
      </c>
    </row>
    <row r="394">
      <c r="A394" s="230" t="inlineStr">
        <is>
          <t>Stage not in Reference</t>
        </is>
      </c>
      <c r="B394" s="244">
        <f>SUMPRODUCT(($B$6:$B$125&lt;&gt;"")*($J$6:$J$125=0)*($I$6:$I$125&lt;&gt;"Candidate Withdrawn"))</f>
        <v>0</v>
      </c>
      <c r="C394" s="232" t="inlineStr">
        <is>
          <t>Falls out of the funnel — add the value to Reference</t>
        </is>
      </c>
    </row>
    <row r="395">
      <c r="A395" s="233" t="inlineStr">
        <is>
          <t>No current CTC recorded</t>
        </is>
      </c>
      <c r="B395" s="245">
        <f>SUMPRODUCT(($B$6:$B$125&lt;&gt;"")*($M$6:$M$125=0))</f>
        <v>22</v>
      </c>
      <c r="C395" s="235" t="inlineStr">
        <is>
          <t>Excluded from CTC and hike averages</t>
        </is>
      </c>
    </row>
    <row r="396">
      <c r="A396" s="230" t="inlineStr">
        <is>
          <t>No notice period recorded</t>
        </is>
      </c>
      <c r="B396" s="244">
        <f>SUMPRODUCT(($B$6:$B$125&lt;&gt;"")*($S$6:$S$125=-1))</f>
        <v>31</v>
      </c>
      <c r="C396" s="232" t="inlineStr">
        <is>
          <t>Excluded from joiner-readiness</t>
        </is>
      </c>
    </row>
    <row r="397">
      <c r="A397" s="233" t="inlineStr">
        <is>
          <t>No submission detail</t>
        </is>
      </c>
      <c r="B397" s="245">
        <f>SUMPRODUCT(($B$6:$B$125&lt;&gt;"")*($AC$6:$AC$125=0))</f>
        <v>27</v>
      </c>
      <c r="C397" s="235" t="inlineStr">
        <is>
          <t>No experience, company or designation available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3CAD6"/>
    <outlinePr summaryBelow="1" summaryRight="1"/>
    <pageSetUpPr/>
  </sheetPr>
  <dimension ref="A1:J90"/>
  <sheetViews>
    <sheetView showGridLines="0" workbookViewId="0">
      <selection activeCell="A1" sqref="A1"/>
    </sheetView>
  </sheetViews>
  <sheetFormatPr baseColWidth="8" defaultRowHeight="15"/>
  <cols>
    <col width="2" customWidth="1" style="83" min="1" max="1"/>
    <col width="30" customWidth="1" style="83" min="2" max="2"/>
    <col width="26" customWidth="1" style="83" min="3" max="3"/>
    <col width="16" customWidth="1" style="83" min="4" max="4"/>
    <col width="2" customWidth="1" style="83" min="5" max="5"/>
    <col width="46" customWidth="1" style="83" min="6" max="6"/>
    <col width="2" customWidth="1" style="83" min="7" max="7"/>
  </cols>
  <sheetData>
    <row r="1">
      <c r="A1" s="84" t="n"/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</row>
    <row r="2">
      <c r="A2" s="84" t="n"/>
      <c r="B2" s="246" t="inlineStr">
        <is>
          <t>Reference &amp; Controlled Values</t>
        </is>
      </c>
      <c r="C2" s="84" t="n"/>
      <c r="D2" s="84" t="n"/>
      <c r="E2" s="84" t="n"/>
      <c r="F2" s="84" t="n"/>
      <c r="G2" s="84" t="n"/>
      <c r="H2" s="84" t="n"/>
      <c r="I2" s="84" t="n"/>
      <c r="J2" s="84" t="n"/>
    </row>
    <row r="3">
      <c r="A3" s="84" t="n"/>
      <c r="B3" s="113" t="inlineStr">
        <is>
          <t>Editable lookup layer. Everything downstream reads from here — extend these lists and the whole dashboard follows.</t>
        </is>
      </c>
      <c r="C3" s="84" t="n"/>
      <c r="D3" s="84" t="n"/>
      <c r="E3" s="84" t="n"/>
      <c r="F3" s="84" t="n"/>
      <c r="G3" s="84" t="n"/>
      <c r="H3" s="84" t="n"/>
      <c r="I3" s="84" t="n"/>
      <c r="J3" s="84" t="n"/>
    </row>
    <row r="4">
      <c r="A4" s="84" t="n"/>
      <c r="B4" s="84" t="n"/>
      <c r="C4" s="84" t="n"/>
      <c r="D4" s="84" t="n"/>
      <c r="E4" s="84" t="n"/>
      <c r="F4" s="84" t="n"/>
      <c r="G4" s="84" t="n"/>
      <c r="H4" s="84" t="n"/>
      <c r="I4" s="84" t="n"/>
      <c r="J4" s="84" t="n"/>
    </row>
    <row r="5">
      <c r="A5" s="84" t="n"/>
      <c r="B5" s="247" t="inlineStr">
        <is>
          <t>PIPELINE STAGES</t>
        </is>
      </c>
      <c r="C5" s="84" t="n"/>
      <c r="D5" s="84" t="n"/>
      <c r="E5" s="84" t="n"/>
      <c r="F5" s="84" t="n"/>
      <c r="G5" s="84" t="n"/>
      <c r="H5" s="84" t="n"/>
      <c r="I5" s="84" t="n"/>
      <c r="J5" s="84" t="n"/>
    </row>
    <row r="6">
      <c r="A6" s="84" t="n"/>
      <c r="B6" s="227" t="inlineStr">
        <is>
          <t>Stage (must match Master Data)</t>
        </is>
      </c>
      <c r="C6" s="228" t="inlineStr">
        <is>
          <t>Funnel order</t>
        </is>
      </c>
      <c r="D6" s="228" t="inlineStr">
        <is>
          <t>Type</t>
        </is>
      </c>
      <c r="E6" s="84" t="n"/>
      <c r="F6" s="248" t="inlineStr">
        <is>
          <t>Funnel order drives every stage KPI, the funnel chart and the pipeline ranking. 0 = candidate exited the process.</t>
        </is>
      </c>
      <c r="G6" s="84" t="n"/>
      <c r="H6" s="84" t="n"/>
      <c r="I6" s="84" t="n"/>
      <c r="J6" s="84" t="n"/>
    </row>
    <row r="7">
      <c r="A7" s="84" t="n"/>
      <c r="B7" s="249" t="inlineStr">
        <is>
          <t>Telephonic Screening</t>
        </is>
      </c>
      <c r="C7" s="243" t="n">
        <v>1</v>
      </c>
      <c r="D7" s="250" t="inlineStr">
        <is>
          <t>Progress</t>
        </is>
      </c>
      <c r="E7" s="84" t="n"/>
      <c r="G7" s="84" t="n"/>
      <c r="H7" s="84" t="n"/>
      <c r="I7" s="84" t="n"/>
      <c r="J7" s="84" t="n"/>
    </row>
    <row r="8">
      <c r="A8" s="84" t="n"/>
      <c r="B8" s="249" t="inlineStr">
        <is>
          <t>ZN Submission</t>
        </is>
      </c>
      <c r="C8" s="243" t="n">
        <v>2</v>
      </c>
      <c r="D8" s="250" t="inlineStr">
        <is>
          <t>Progress</t>
        </is>
      </c>
      <c r="E8" s="84" t="n"/>
      <c r="G8" s="84" t="n"/>
      <c r="H8" s="84" t="n"/>
      <c r="I8" s="84" t="n"/>
      <c r="J8" s="84" t="n"/>
    </row>
    <row r="9">
      <c r="A9" s="84" t="n"/>
      <c r="B9" s="249" t="inlineStr">
        <is>
          <t>ZN Interview</t>
        </is>
      </c>
      <c r="C9" s="243" t="n">
        <v>3</v>
      </c>
      <c r="D9" s="250" t="inlineStr">
        <is>
          <t>Progress</t>
        </is>
      </c>
      <c r="E9" s="84" t="n"/>
      <c r="G9" s="84" t="n"/>
      <c r="H9" s="84" t="n"/>
      <c r="I9" s="84" t="n"/>
      <c r="J9" s="84" t="n"/>
    </row>
    <row r="10">
      <c r="A10" s="84" t="n"/>
      <c r="B10" s="249" t="inlineStr">
        <is>
          <t>ZN Salary Discussion</t>
        </is>
      </c>
      <c r="C10" s="243" t="n">
        <v>4</v>
      </c>
      <c r="D10" s="250" t="inlineStr">
        <is>
          <t>Progress</t>
        </is>
      </c>
      <c r="E10" s="84" t="n"/>
      <c r="F10" s="84" t="n"/>
      <c r="G10" s="84" t="n"/>
      <c r="H10" s="84" t="n"/>
      <c r="I10" s="84" t="n"/>
      <c r="J10" s="84" t="n"/>
    </row>
    <row r="11">
      <c r="A11" s="84" t="n"/>
      <c r="B11" s="249" t="inlineStr">
        <is>
          <t>ZN Offer</t>
        </is>
      </c>
      <c r="C11" s="243" t="n">
        <v>5</v>
      </c>
      <c r="D11" s="250" t="inlineStr">
        <is>
          <t>Progress</t>
        </is>
      </c>
      <c r="E11" s="84" t="n"/>
      <c r="F11" s="84" t="n"/>
      <c r="G11" s="84" t="n"/>
      <c r="H11" s="84" t="n"/>
      <c r="I11" s="84" t="n"/>
      <c r="J11" s="84" t="n"/>
    </row>
    <row r="12">
      <c r="A12" s="84" t="n"/>
      <c r="B12" s="249" t="inlineStr">
        <is>
          <t>ZN Hire</t>
        </is>
      </c>
      <c r="C12" s="243" t="n">
        <v>6</v>
      </c>
      <c r="D12" s="250" t="inlineStr">
        <is>
          <t>Progress</t>
        </is>
      </c>
      <c r="E12" s="84" t="n"/>
      <c r="F12" s="84" t="n"/>
      <c r="G12" s="84" t="n"/>
      <c r="H12" s="84" t="n"/>
      <c r="I12" s="84" t="n"/>
      <c r="J12" s="84" t="n"/>
    </row>
    <row r="13">
      <c r="A13" s="84" t="n"/>
      <c r="B13" s="249" t="inlineStr">
        <is>
          <t>Candidate Withdrawn</t>
        </is>
      </c>
      <c r="C13" s="243" t="n">
        <v>0</v>
      </c>
      <c r="D13" s="250" t="inlineStr">
        <is>
          <t>Exit</t>
        </is>
      </c>
      <c r="E13" s="84" t="n"/>
      <c r="F13" s="84" t="n"/>
      <c r="G13" s="84" t="n"/>
      <c r="H13" s="84" t="n"/>
      <c r="I13" s="84" t="n"/>
      <c r="J13" s="84" t="n"/>
    </row>
    <row r="14">
      <c r="A14" s="84" t="n"/>
      <c r="B14" s="84" t="n"/>
      <c r="C14" s="84" t="n"/>
      <c r="D14" s="84" t="n"/>
      <c r="E14" s="84" t="n"/>
      <c r="F14" s="84" t="n"/>
      <c r="G14" s="84" t="n"/>
      <c r="H14" s="84" t="n"/>
      <c r="I14" s="84" t="n"/>
      <c r="J14" s="84" t="n"/>
    </row>
    <row r="15">
      <c r="A15" s="84" t="n"/>
      <c r="B15" s="247" t="inlineStr">
        <is>
          <t>LOCATION NORMALISATION MAP</t>
        </is>
      </c>
      <c r="C15" s="84" t="n"/>
      <c r="D15" s="84" t="n"/>
      <c r="E15" s="84" t="n"/>
      <c r="F15" s="84" t="n"/>
      <c r="G15" s="84" t="n"/>
      <c r="H15" s="84" t="n"/>
      <c r="I15" s="84" t="n"/>
      <c r="J15" s="84" t="n"/>
    </row>
    <row r="16">
      <c r="A16" s="84" t="n"/>
      <c r="B16" s="227" t="inlineStr">
        <is>
          <t>Text found in Current Location</t>
        </is>
      </c>
      <c r="C16" s="227" t="inlineStr">
        <is>
          <t>Normalised city</t>
        </is>
      </c>
      <c r="D16" s="228" t="inlineStr">
        <is>
          <t>#</t>
        </is>
      </c>
      <c r="E16" s="84" t="n"/>
      <c r="F16" s="84" t="n"/>
      <c r="G16" s="84" t="n"/>
      <c r="H16" s="84" t="n"/>
      <c r="I16" s="84" t="n"/>
      <c r="J16" s="84" t="n"/>
    </row>
    <row r="17">
      <c r="A17" s="84" t="n"/>
      <c r="B17" s="249" t="inlineStr">
        <is>
          <t>Velachery</t>
        </is>
      </c>
      <c r="C17" s="251" t="inlineStr">
        <is>
          <t>Chennai</t>
        </is>
      </c>
      <c r="D17" s="252" t="n">
        <v>1</v>
      </c>
      <c r="E17" s="84" t="n"/>
      <c r="F17" s="248" t="inlineStr">
        <is>
          <t>Free-text locations (‘Porur’, ‘Taramani, Chennai’) are matched against this list and rolled up to a city. Rows marked @@unused@@ are spare — overwrite them to add a locality; nothing else needs changing.</t>
        </is>
      </c>
      <c r="G17" s="84" t="n"/>
      <c r="H17" s="84" t="n"/>
      <c r="I17" s="84" t="n"/>
      <c r="J17" s="84" t="n"/>
    </row>
    <row r="18">
      <c r="A18" s="84" t="n"/>
      <c r="B18" s="249" t="inlineStr">
        <is>
          <t>Taramani</t>
        </is>
      </c>
      <c r="C18" s="251" t="inlineStr">
        <is>
          <t>Chennai</t>
        </is>
      </c>
      <c r="D18" s="252" t="n">
        <v>2</v>
      </c>
      <c r="E18" s="84" t="n"/>
      <c r="G18" s="84" t="n"/>
      <c r="H18" s="84" t="n"/>
      <c r="I18" s="84" t="n"/>
      <c r="J18" s="84" t="n"/>
    </row>
    <row r="19">
      <c r="A19" s="84" t="n"/>
      <c r="B19" s="249" t="inlineStr">
        <is>
          <t>Porur</t>
        </is>
      </c>
      <c r="C19" s="251" t="inlineStr">
        <is>
          <t>Chennai</t>
        </is>
      </c>
      <c r="D19" s="252" t="n">
        <v>3</v>
      </c>
      <c r="E19" s="84" t="n"/>
      <c r="G19" s="84" t="n"/>
      <c r="H19" s="84" t="n"/>
      <c r="I19" s="84" t="n"/>
      <c r="J19" s="84" t="n"/>
    </row>
    <row r="20">
      <c r="A20" s="84" t="n"/>
      <c r="B20" s="249" t="inlineStr">
        <is>
          <t>OMR</t>
        </is>
      </c>
      <c r="C20" s="251" t="inlineStr">
        <is>
          <t>Chennai</t>
        </is>
      </c>
      <c r="D20" s="252" t="n">
        <v>4</v>
      </c>
      <c r="E20" s="84" t="n"/>
      <c r="G20" s="84" t="n"/>
      <c r="H20" s="84" t="n"/>
      <c r="I20" s="84" t="n"/>
      <c r="J20" s="84" t="n"/>
    </row>
    <row r="21">
      <c r="A21" s="84" t="n"/>
      <c r="B21" s="249" t="inlineStr">
        <is>
          <t>Pallikaranai</t>
        </is>
      </c>
      <c r="C21" s="251" t="inlineStr">
        <is>
          <t>Chennai</t>
        </is>
      </c>
      <c r="D21" s="252" t="n">
        <v>5</v>
      </c>
      <c r="E21" s="84" t="n"/>
      <c r="G21" s="84" t="n"/>
      <c r="H21" s="84" t="n"/>
      <c r="I21" s="84" t="n"/>
      <c r="J21" s="84" t="n"/>
    </row>
    <row r="22">
      <c r="A22" s="84" t="n"/>
      <c r="B22" s="249" t="inlineStr">
        <is>
          <t>KK Nagar</t>
        </is>
      </c>
      <c r="C22" s="251" t="inlineStr">
        <is>
          <t>Chennai</t>
        </is>
      </c>
      <c r="D22" s="252" t="n">
        <v>6</v>
      </c>
      <c r="E22" s="84" t="n"/>
      <c r="G22" s="84" t="n"/>
      <c r="H22" s="84" t="n"/>
      <c r="I22" s="84" t="n"/>
      <c r="J22" s="84" t="n"/>
    </row>
    <row r="23">
      <c r="A23" s="84" t="n"/>
      <c r="B23" s="249" t="inlineStr">
        <is>
          <t>Vyasarpadi</t>
        </is>
      </c>
      <c r="C23" s="251" t="inlineStr">
        <is>
          <t>Chennai</t>
        </is>
      </c>
      <c r="D23" s="252" t="n">
        <v>7</v>
      </c>
      <c r="E23" s="84" t="n"/>
      <c r="F23" s="84" t="n"/>
      <c r="G23" s="84" t="n"/>
      <c r="H23" s="84" t="n"/>
      <c r="I23" s="84" t="n"/>
      <c r="J23" s="84" t="n"/>
    </row>
    <row r="24">
      <c r="A24" s="84" t="n"/>
      <c r="B24" s="249" t="inlineStr">
        <is>
          <t>Perungudi</t>
        </is>
      </c>
      <c r="C24" s="251" t="inlineStr">
        <is>
          <t>Chennai</t>
        </is>
      </c>
      <c r="D24" s="252" t="n">
        <v>8</v>
      </c>
      <c r="E24" s="84" t="n"/>
      <c r="F24" s="84" t="n"/>
      <c r="G24" s="84" t="n"/>
      <c r="H24" s="84" t="n"/>
      <c r="I24" s="84" t="n"/>
      <c r="J24" s="84" t="n"/>
    </row>
    <row r="25">
      <c r="A25" s="84" t="n"/>
      <c r="B25" s="249" t="inlineStr">
        <is>
          <t>Guindy</t>
        </is>
      </c>
      <c r="C25" s="251" t="inlineStr">
        <is>
          <t>Chennai</t>
        </is>
      </c>
      <c r="D25" s="252" t="n">
        <v>9</v>
      </c>
      <c r="E25" s="84" t="n"/>
      <c r="F25" s="84" t="n"/>
      <c r="G25" s="84" t="n"/>
      <c r="H25" s="84" t="n"/>
      <c r="I25" s="84" t="n"/>
      <c r="J25" s="84" t="n"/>
    </row>
    <row r="26">
      <c r="A26" s="84" t="n"/>
      <c r="B26" s="249" t="inlineStr">
        <is>
          <t>Adyar</t>
        </is>
      </c>
      <c r="C26" s="251" t="inlineStr">
        <is>
          <t>Chennai</t>
        </is>
      </c>
      <c r="D26" s="252" t="n">
        <v>10</v>
      </c>
      <c r="E26" s="84" t="n"/>
      <c r="F26" s="84" t="n"/>
      <c r="G26" s="84" t="n"/>
      <c r="H26" s="84" t="n"/>
      <c r="I26" s="84" t="n"/>
      <c r="J26" s="84" t="n"/>
    </row>
    <row r="27">
      <c r="A27" s="84" t="n"/>
      <c r="B27" s="249" t="inlineStr">
        <is>
          <t>Tambaram</t>
        </is>
      </c>
      <c r="C27" s="251" t="inlineStr">
        <is>
          <t>Chennai</t>
        </is>
      </c>
      <c r="D27" s="252" t="n">
        <v>11</v>
      </c>
      <c r="E27" s="84" t="n"/>
      <c r="F27" s="84" t="n"/>
      <c r="G27" s="84" t="n"/>
      <c r="H27" s="84" t="n"/>
      <c r="I27" s="84" t="n"/>
      <c r="J27" s="84" t="n"/>
    </row>
    <row r="28">
      <c r="A28" s="84" t="n"/>
      <c r="B28" s="249" t="inlineStr">
        <is>
          <t>Anna Nagar</t>
        </is>
      </c>
      <c r="C28" s="251" t="inlineStr">
        <is>
          <t>Chennai</t>
        </is>
      </c>
      <c r="D28" s="252" t="n">
        <v>12</v>
      </c>
      <c r="E28" s="84" t="n"/>
      <c r="F28" s="84" t="n"/>
      <c r="G28" s="84" t="n"/>
      <c r="H28" s="84" t="n"/>
      <c r="I28" s="84" t="n"/>
      <c r="J28" s="84" t="n"/>
    </row>
    <row r="29">
      <c r="A29" s="84" t="n"/>
      <c r="B29" s="249" t="inlineStr">
        <is>
          <t>Sholinganallur</t>
        </is>
      </c>
      <c r="C29" s="251" t="inlineStr">
        <is>
          <t>Chennai</t>
        </is>
      </c>
      <c r="D29" s="252" t="n">
        <v>13</v>
      </c>
      <c r="E29" s="84" t="n"/>
      <c r="F29" s="84" t="n"/>
      <c r="G29" s="84" t="n"/>
      <c r="H29" s="84" t="n"/>
      <c r="I29" s="84" t="n"/>
      <c r="J29" s="84" t="n"/>
    </row>
    <row r="30">
      <c r="A30" s="84" t="n"/>
      <c r="B30" s="249" t="inlineStr">
        <is>
          <t>Thoraipakkam</t>
        </is>
      </c>
      <c r="C30" s="251" t="inlineStr">
        <is>
          <t>Chennai</t>
        </is>
      </c>
      <c r="D30" s="252" t="n">
        <v>14</v>
      </c>
      <c r="E30" s="84" t="n"/>
      <c r="F30" s="84" t="n"/>
      <c r="G30" s="84" t="n"/>
      <c r="H30" s="84" t="n"/>
      <c r="I30" s="84" t="n"/>
      <c r="J30" s="84" t="n"/>
    </row>
    <row r="31">
      <c r="A31" s="84" t="n"/>
      <c r="B31" s="249" t="inlineStr">
        <is>
          <t>Ambattur</t>
        </is>
      </c>
      <c r="C31" s="251" t="inlineStr">
        <is>
          <t>Chennai</t>
        </is>
      </c>
      <c r="D31" s="252" t="n">
        <v>15</v>
      </c>
      <c r="E31" s="84" t="n"/>
      <c r="F31" s="84" t="n"/>
      <c r="G31" s="84" t="n"/>
      <c r="H31" s="84" t="n"/>
      <c r="I31" s="84" t="n"/>
      <c r="J31" s="84" t="n"/>
    </row>
    <row r="32">
      <c r="A32" s="84" t="n"/>
      <c r="B32" s="249" t="inlineStr">
        <is>
          <t>Chennai</t>
        </is>
      </c>
      <c r="C32" s="251" t="inlineStr">
        <is>
          <t>Chennai</t>
        </is>
      </c>
      <c r="D32" s="252" t="n">
        <v>16</v>
      </c>
      <c r="E32" s="84" t="n"/>
      <c r="F32" s="84" t="n"/>
      <c r="G32" s="84" t="n"/>
      <c r="H32" s="84" t="n"/>
      <c r="I32" s="84" t="n"/>
      <c r="J32" s="84" t="n"/>
    </row>
    <row r="33">
      <c r="A33" s="84" t="n"/>
      <c r="B33" s="249" t="inlineStr">
        <is>
          <t>Bengaluru</t>
        </is>
      </c>
      <c r="C33" s="251" t="inlineStr">
        <is>
          <t>Bangalore</t>
        </is>
      </c>
      <c r="D33" s="252" t="n">
        <v>17</v>
      </c>
      <c r="E33" s="84" t="n"/>
      <c r="F33" s="84" t="n"/>
      <c r="G33" s="84" t="n"/>
      <c r="H33" s="84" t="n"/>
      <c r="I33" s="84" t="n"/>
      <c r="J33" s="84" t="n"/>
    </row>
    <row r="34">
      <c r="A34" s="84" t="n"/>
      <c r="B34" s="249" t="inlineStr">
        <is>
          <t>Bangalore</t>
        </is>
      </c>
      <c r="C34" s="251" t="inlineStr">
        <is>
          <t>Bangalore</t>
        </is>
      </c>
      <c r="D34" s="252" t="n">
        <v>18</v>
      </c>
      <c r="E34" s="84" t="n"/>
      <c r="F34" s="84" t="n"/>
      <c r="G34" s="84" t="n"/>
      <c r="H34" s="84" t="n"/>
      <c r="I34" s="84" t="n"/>
      <c r="J34" s="84" t="n"/>
    </row>
    <row r="35">
      <c r="A35" s="84" t="n"/>
      <c r="B35" s="249" t="inlineStr">
        <is>
          <t>Hyderabad</t>
        </is>
      </c>
      <c r="C35" s="251" t="inlineStr">
        <is>
          <t>Hyderabad</t>
        </is>
      </c>
      <c r="D35" s="252" t="n">
        <v>19</v>
      </c>
      <c r="E35" s="84" t="n"/>
      <c r="F35" s="84" t="n"/>
      <c r="G35" s="84" t="n"/>
      <c r="H35" s="84" t="n"/>
      <c r="I35" s="84" t="n"/>
      <c r="J35" s="84" t="n"/>
    </row>
    <row r="36">
      <c r="A36" s="84" t="n"/>
      <c r="B36" s="249" t="inlineStr">
        <is>
          <t>Coimbatore</t>
        </is>
      </c>
      <c r="C36" s="251" t="inlineStr">
        <is>
          <t>Coimbatore</t>
        </is>
      </c>
      <c r="D36" s="252" t="n">
        <v>20</v>
      </c>
      <c r="E36" s="84" t="n"/>
      <c r="F36" s="84" t="n"/>
      <c r="G36" s="84" t="n"/>
      <c r="H36" s="84" t="n"/>
      <c r="I36" s="84" t="n"/>
      <c r="J36" s="84" t="n"/>
    </row>
    <row r="37">
      <c r="A37" s="84" t="n"/>
      <c r="B37" s="249" t="inlineStr">
        <is>
          <t>Madurai</t>
        </is>
      </c>
      <c r="C37" s="251" t="inlineStr">
        <is>
          <t>Madurai</t>
        </is>
      </c>
      <c r="D37" s="252" t="n">
        <v>21</v>
      </c>
      <c r="E37" s="84" t="n"/>
      <c r="F37" s="84" t="n"/>
      <c r="G37" s="84" t="n"/>
      <c r="H37" s="84" t="n"/>
      <c r="I37" s="84" t="n"/>
      <c r="J37" s="84" t="n"/>
    </row>
    <row r="38">
      <c r="A38" s="84" t="n"/>
      <c r="B38" s="249" t="inlineStr">
        <is>
          <t>Salem</t>
        </is>
      </c>
      <c r="C38" s="251" t="inlineStr">
        <is>
          <t>Salem</t>
        </is>
      </c>
      <c r="D38" s="252" t="n">
        <v>22</v>
      </c>
      <c r="E38" s="84" t="n"/>
      <c r="F38" s="84" t="n"/>
      <c r="G38" s="84" t="n"/>
      <c r="H38" s="84" t="n"/>
      <c r="I38" s="84" t="n"/>
      <c r="J38" s="84" t="n"/>
    </row>
    <row r="39">
      <c r="A39" s="84" t="n"/>
      <c r="B39" s="249" t="inlineStr">
        <is>
          <t>Erode</t>
        </is>
      </c>
      <c r="C39" s="251" t="inlineStr">
        <is>
          <t>Erode</t>
        </is>
      </c>
      <c r="D39" s="252" t="n">
        <v>23</v>
      </c>
      <c r="E39" s="84" t="n"/>
      <c r="F39" s="84" t="n"/>
      <c r="G39" s="84" t="n"/>
      <c r="H39" s="84" t="n"/>
      <c r="I39" s="84" t="n"/>
      <c r="J39" s="84" t="n"/>
    </row>
    <row r="40">
      <c r="A40" s="84" t="n"/>
      <c r="B40" s="249" t="inlineStr">
        <is>
          <t>Tirupati</t>
        </is>
      </c>
      <c r="C40" s="251" t="inlineStr">
        <is>
          <t>Tirupati</t>
        </is>
      </c>
      <c r="D40" s="252" t="n">
        <v>24</v>
      </c>
      <c r="E40" s="84" t="n"/>
      <c r="F40" s="84" t="n"/>
      <c r="G40" s="84" t="n"/>
      <c r="H40" s="84" t="n"/>
      <c r="I40" s="84" t="n"/>
      <c r="J40" s="84" t="n"/>
    </row>
    <row r="41">
      <c r="A41" s="84" t="n"/>
      <c r="B41" s="249" t="inlineStr">
        <is>
          <t>Tirunelveli</t>
        </is>
      </c>
      <c r="C41" s="251" t="inlineStr">
        <is>
          <t>Tirunelveli</t>
        </is>
      </c>
      <c r="D41" s="252" t="n">
        <v>25</v>
      </c>
      <c r="E41" s="84" t="n"/>
      <c r="F41" s="84" t="n"/>
      <c r="G41" s="84" t="n"/>
      <c r="H41" s="84" t="n"/>
      <c r="I41" s="84" t="n"/>
      <c r="J41" s="84" t="n"/>
    </row>
    <row r="42">
      <c r="A42" s="84" t="n"/>
      <c r="B42" s="249" t="inlineStr">
        <is>
          <t>Ongole</t>
        </is>
      </c>
      <c r="C42" s="251" t="inlineStr">
        <is>
          <t>Ongole</t>
        </is>
      </c>
      <c r="D42" s="252" t="n">
        <v>26</v>
      </c>
      <c r="E42" s="84" t="n"/>
      <c r="F42" s="84" t="n"/>
      <c r="G42" s="84" t="n"/>
      <c r="H42" s="84" t="n"/>
      <c r="I42" s="84" t="n"/>
      <c r="J42" s="84" t="n"/>
    </row>
    <row r="43">
      <c r="A43" s="84" t="n"/>
      <c r="B43" s="249" t="inlineStr">
        <is>
          <t>Puducherry</t>
        </is>
      </c>
      <c r="C43" s="251" t="inlineStr">
        <is>
          <t>Puducherry</t>
        </is>
      </c>
      <c r="D43" s="252" t="n">
        <v>27</v>
      </c>
      <c r="E43" s="84" t="n"/>
      <c r="F43" s="84" t="n"/>
      <c r="G43" s="84" t="n"/>
      <c r="H43" s="84" t="n"/>
      <c r="I43" s="84" t="n"/>
      <c r="J43" s="84" t="n"/>
    </row>
    <row r="44">
      <c r="A44" s="84" t="n"/>
      <c r="B44" s="249" t="inlineStr">
        <is>
          <t>Kovilpatti</t>
        </is>
      </c>
      <c r="C44" s="251" t="inlineStr">
        <is>
          <t>Kovilpatti</t>
        </is>
      </c>
      <c r="D44" s="252" t="n">
        <v>28</v>
      </c>
      <c r="E44" s="84" t="n"/>
      <c r="F44" s="84" t="n"/>
      <c r="G44" s="84" t="n"/>
      <c r="H44" s="84" t="n"/>
      <c r="I44" s="84" t="n"/>
      <c r="J44" s="84" t="n"/>
    </row>
    <row r="45">
      <c r="A45" s="84" t="n"/>
      <c r="B45" s="249" t="inlineStr">
        <is>
          <t>Trichy</t>
        </is>
      </c>
      <c r="C45" s="251" t="inlineStr">
        <is>
          <t>Trichy</t>
        </is>
      </c>
      <c r="D45" s="252" t="n">
        <v>29</v>
      </c>
      <c r="E45" s="84" t="n"/>
      <c r="F45" s="84" t="n"/>
      <c r="G45" s="84" t="n"/>
      <c r="H45" s="84" t="n"/>
      <c r="I45" s="84" t="n"/>
      <c r="J45" s="84" t="n"/>
    </row>
    <row r="46">
      <c r="A46" s="84" t="n"/>
      <c r="B46" s="249" t="inlineStr">
        <is>
          <t>Mumbai</t>
        </is>
      </c>
      <c r="C46" s="251" t="inlineStr">
        <is>
          <t>Mumbai</t>
        </is>
      </c>
      <c r="D46" s="252" t="n">
        <v>30</v>
      </c>
      <c r="E46" s="84" t="n"/>
      <c r="F46" s="84" t="n"/>
      <c r="G46" s="84" t="n"/>
      <c r="H46" s="84" t="n"/>
      <c r="I46" s="84" t="n"/>
      <c r="J46" s="84" t="n"/>
    </row>
    <row r="4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</row>
    <row r="48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</row>
    <row r="49">
      <c r="A49" s="84" t="n"/>
      <c r="B49" s="247" t="inlineStr">
        <is>
          <t>HIRING PARAMETERS</t>
        </is>
      </c>
      <c r="C49" s="84" t="n"/>
      <c r="D49" s="84" t="n"/>
      <c r="E49" s="84" t="n"/>
      <c r="F49" s="84" t="n"/>
      <c r="G49" s="84" t="n"/>
      <c r="H49" s="84" t="n"/>
      <c r="I49" s="84" t="n"/>
      <c r="J49" s="84" t="n"/>
    </row>
    <row r="50">
      <c r="A50" s="84" t="n"/>
      <c r="B50" s="227" t="inlineStr">
        <is>
          <t>Parameter</t>
        </is>
      </c>
      <c r="C50" s="228" t="inlineStr">
        <is>
          <t>Value</t>
        </is>
      </c>
      <c r="D50" s="227" t="inlineStr">
        <is>
          <t>What it controls</t>
        </is>
      </c>
      <c r="E50" s="84" t="n"/>
      <c r="F50" s="84" t="n"/>
      <c r="G50" s="84" t="n"/>
      <c r="H50" s="84" t="n"/>
      <c r="I50" s="84" t="n"/>
      <c r="J50" s="84" t="n"/>
    </row>
    <row r="51">
      <c r="A51" s="84" t="n"/>
      <c r="B51" s="249" t="inlineStr">
        <is>
          <t>Target / preferred location</t>
        </is>
      </c>
      <c r="C51" s="253" t="inlineStr">
        <is>
          <t>Chennai</t>
        </is>
      </c>
      <c r="D51" s="84" t="n"/>
      <c r="E51" s="84" t="n"/>
      <c r="F51" s="248" t="inlineStr">
        <is>
          <t>Drives the location-match KPI on every view.</t>
        </is>
      </c>
      <c r="G51" s="84" t="n"/>
      <c r="H51" s="84" t="n"/>
      <c r="I51" s="84" t="n"/>
      <c r="J51" s="84" t="n"/>
    </row>
    <row r="52">
      <c r="A52" s="84" t="n"/>
      <c r="B52" s="249" t="inlineStr">
        <is>
          <t>Minimum experience bar (years)</t>
        </is>
      </c>
      <c r="C52" s="253" t="n">
        <v>4</v>
      </c>
      <c r="D52" s="84" t="n"/>
      <c r="E52" s="84" t="n"/>
      <c r="F52" s="248" t="inlineStr">
        <is>
          <t>Drives ‘Meets experience bar’. Compared to Total Exp from Submission template.</t>
        </is>
      </c>
      <c r="G52" s="84" t="n"/>
      <c r="H52" s="84" t="n"/>
      <c r="I52" s="84" t="n"/>
      <c r="J52" s="84" t="n"/>
    </row>
    <row r="53">
      <c r="A53" s="84" t="n"/>
      <c r="B53" s="249" t="inlineStr">
        <is>
          <t>Senior experience bar (years)</t>
        </is>
      </c>
      <c r="C53" s="253" t="n">
        <v>8</v>
      </c>
      <c r="D53" s="84" t="n"/>
      <c r="E53" s="84" t="n"/>
      <c r="F53" s="248" t="inlineStr">
        <is>
          <t>Used to size the senior / lead segment of the pool.</t>
        </is>
      </c>
      <c r="G53" s="84" t="n"/>
      <c r="H53" s="84" t="n"/>
      <c r="I53" s="84" t="n"/>
      <c r="J53" s="84" t="n"/>
    </row>
    <row r="54">
      <c r="A54" s="84" t="n"/>
      <c r="B54" s="249" t="inlineStr">
        <is>
          <t>Max acceptable notice (days)</t>
        </is>
      </c>
      <c r="C54" s="253" t="n">
        <v>30</v>
      </c>
      <c r="D54" s="84" t="n"/>
      <c r="E54" s="84" t="n"/>
      <c r="F54" s="248" t="inlineStr">
        <is>
          <t>Drives the ‘joiner-ready’ KPI.</t>
        </is>
      </c>
      <c r="G54" s="84" t="n"/>
      <c r="H54" s="84" t="n"/>
      <c r="I54" s="84" t="n"/>
      <c r="J54" s="84" t="n"/>
    </row>
    <row r="55">
      <c r="A55" s="84" t="n"/>
      <c r="B55" s="84" t="n"/>
      <c r="C55" s="84" t="n"/>
      <c r="D55" s="84" t="n"/>
      <c r="E55" s="84" t="n"/>
      <c r="F55" s="84" t="n"/>
      <c r="G55" s="84" t="n"/>
      <c r="H55" s="84" t="n"/>
      <c r="I55" s="84" t="n"/>
      <c r="J55" s="84" t="n"/>
    </row>
    <row r="56">
      <c r="A56" s="84" t="n"/>
      <c r="B56" s="254" t="inlineStr">
        <is>
          <t>Blue cells are inputs — edit them.</t>
        </is>
      </c>
      <c r="C56" s="84" t="n"/>
      <c r="D56" s="84" t="n"/>
      <c r="E56" s="84" t="n"/>
      <c r="F56" s="84" t="n"/>
      <c r="G56" s="84" t="n"/>
      <c r="H56" s="84" t="n"/>
      <c r="I56" s="84" t="n"/>
      <c r="J56" s="84" t="n"/>
    </row>
    <row r="57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4" t="n"/>
      <c r="J57" s="84" t="n"/>
    </row>
    <row r="58">
      <c r="A58" s="84" t="n"/>
      <c r="B58" s="84" t="n"/>
      <c r="C58" s="84" t="n"/>
      <c r="D58" s="84" t="n"/>
      <c r="E58" s="84" t="n"/>
      <c r="F58" s="84" t="n"/>
      <c r="G58" s="84" t="n"/>
      <c r="H58" s="84" t="n"/>
      <c r="I58" s="84" t="n"/>
      <c r="J58" s="84" t="n"/>
    </row>
    <row r="59">
      <c r="A59" s="84" t="n"/>
      <c r="B59" s="247" t="inlineStr">
        <is>
          <t>BANDING</t>
        </is>
      </c>
      <c r="C59" s="84" t="n"/>
      <c r="D59" s="84" t="n"/>
      <c r="E59" s="84" t="n"/>
      <c r="F59" s="84" t="n"/>
      <c r="G59" s="84" t="n"/>
      <c r="H59" s="84" t="n"/>
      <c r="I59" s="84" t="n"/>
      <c r="J59" s="84" t="n"/>
    </row>
    <row r="60">
      <c r="A60" s="84" t="n"/>
      <c r="B60" s="255" t="inlineStr">
        <is>
          <t>Notice buckets</t>
        </is>
      </c>
      <c r="C60" s="255" t="inlineStr">
        <is>
          <t>Experience bands</t>
        </is>
      </c>
      <c r="D60" s="255" t="inlineStr">
        <is>
          <t>Hike bands</t>
        </is>
      </c>
      <c r="E60" s="84" t="n"/>
      <c r="F60" s="84" t="n"/>
      <c r="G60" s="84" t="n"/>
      <c r="H60" s="84" t="n"/>
      <c r="I60" s="84" t="n"/>
      <c r="J60" s="84" t="n"/>
    </row>
    <row r="61">
      <c r="A61" s="84" t="n"/>
      <c r="B61" s="256" t="inlineStr">
        <is>
          <t>Immediate</t>
        </is>
      </c>
      <c r="C61" s="256" t="inlineStr">
        <is>
          <t>Under 3 yrs</t>
        </is>
      </c>
      <c r="D61" s="256" t="inlineStr">
        <is>
          <t>Under 20%</t>
        </is>
      </c>
      <c r="E61" s="84" t="n"/>
      <c r="F61" s="84" t="n"/>
      <c r="G61" s="84" t="n"/>
      <c r="H61" s="84" t="n"/>
      <c r="I61" s="84" t="n"/>
      <c r="J61" s="84" t="n"/>
    </row>
    <row r="62">
      <c r="A62" s="84" t="n"/>
      <c r="B62" s="256" t="inlineStr">
        <is>
          <t>1-30 days</t>
        </is>
      </c>
      <c r="C62" s="256" t="inlineStr">
        <is>
          <t>3 - 4 yrs</t>
        </is>
      </c>
      <c r="D62" s="256" t="inlineStr">
        <is>
          <t>20 - 40%</t>
        </is>
      </c>
      <c r="E62" s="84" t="n"/>
      <c r="F62" s="84" t="n"/>
      <c r="G62" s="84" t="n"/>
      <c r="H62" s="84" t="n"/>
      <c r="I62" s="84" t="n"/>
      <c r="J62" s="84" t="n"/>
    </row>
    <row r="63">
      <c r="A63" s="84" t="n"/>
      <c r="B63" s="256" t="inlineStr">
        <is>
          <t>31-60 days</t>
        </is>
      </c>
      <c r="C63" s="256" t="inlineStr">
        <is>
          <t>4 - 5 yrs</t>
        </is>
      </c>
      <c r="D63" s="256" t="inlineStr">
        <is>
          <t>40 - 60%</t>
        </is>
      </c>
      <c r="E63" s="84" t="n"/>
      <c r="F63" s="84" t="n"/>
      <c r="G63" s="84" t="n"/>
      <c r="H63" s="84" t="n"/>
      <c r="I63" s="84" t="n"/>
      <c r="J63" s="84" t="n"/>
    </row>
    <row r="64">
      <c r="A64" s="84" t="n"/>
      <c r="B64" s="256" t="inlineStr">
        <is>
          <t>60+ days</t>
        </is>
      </c>
      <c r="C64" s="256" t="inlineStr">
        <is>
          <t>5 - 7 yrs</t>
        </is>
      </c>
      <c r="D64" s="256" t="inlineStr">
        <is>
          <t>60 - 80%</t>
        </is>
      </c>
      <c r="E64" s="84" t="n"/>
      <c r="F64" s="84" t="n"/>
      <c r="G64" s="84" t="n"/>
      <c r="H64" s="84" t="n"/>
      <c r="I64" s="84" t="n"/>
      <c r="J64" s="84" t="n"/>
    </row>
    <row r="65">
      <c r="A65" s="84" t="n"/>
      <c r="B65" s="256" t="inlineStr">
        <is>
          <t>Not recorded</t>
        </is>
      </c>
      <c r="C65" s="256" t="inlineStr">
        <is>
          <t>7 - 9 yrs</t>
        </is>
      </c>
      <c r="D65" s="256" t="inlineStr">
        <is>
          <t>80 - 100%</t>
        </is>
      </c>
      <c r="E65" s="84" t="n"/>
      <c r="F65" s="84" t="n"/>
      <c r="G65" s="84" t="n"/>
      <c r="H65" s="84" t="n"/>
      <c r="I65" s="84" t="n"/>
      <c r="J65" s="84" t="n"/>
    </row>
    <row r="66">
      <c r="A66" s="84" t="n"/>
      <c r="B66" s="84" t="n"/>
      <c r="C66" s="256" t="inlineStr">
        <is>
          <t>9 yrs +</t>
        </is>
      </c>
      <c r="D66" s="256" t="inlineStr">
        <is>
          <t>Over 100%</t>
        </is>
      </c>
      <c r="E66" s="84" t="n"/>
      <c r="F66" s="84" t="n"/>
      <c r="G66" s="84" t="n"/>
      <c r="H66" s="84" t="n"/>
      <c r="I66" s="84" t="n"/>
      <c r="J66" s="84" t="n"/>
    </row>
    <row r="67">
      <c r="A67" s="84" t="n"/>
      <c r="B67" s="84" t="n"/>
      <c r="C67" s="84" t="n"/>
      <c r="D67" s="84" t="n"/>
      <c r="E67" s="84" t="n"/>
      <c r="F67" s="84" t="n"/>
      <c r="G67" s="84" t="n"/>
      <c r="H67" s="84" t="n"/>
      <c r="I67" s="84" t="n"/>
      <c r="J67" s="84" t="n"/>
    </row>
    <row r="68">
      <c r="A68" s="84" t="n"/>
      <c r="B68" s="84" t="n"/>
      <c r="C68" s="84" t="n"/>
      <c r="D68" s="84" t="n"/>
      <c r="E68" s="84" t="n"/>
      <c r="F68" s="84" t="n"/>
      <c r="G68" s="84" t="n"/>
      <c r="H68" s="84" t="n"/>
      <c r="I68" s="84" t="n"/>
      <c r="J68" s="84" t="n"/>
    </row>
    <row r="69">
      <c r="A69" s="84" t="n"/>
      <c r="B69" s="84" t="n"/>
      <c r="C69" s="84" t="n"/>
      <c r="D69" s="84" t="n"/>
      <c r="E69" s="84" t="n"/>
      <c r="F69" s="84" t="n"/>
      <c r="G69" s="84" t="n"/>
      <c r="H69" s="84" t="n"/>
      <c r="I69" s="84" t="n"/>
      <c r="J69" s="84" t="n"/>
    </row>
    <row r="70">
      <c r="A70" s="84" t="n"/>
      <c r="B70" s="84" t="n"/>
      <c r="C70" s="84" t="n"/>
      <c r="D70" s="84" t="n"/>
      <c r="E70" s="84" t="n"/>
      <c r="F70" s="84" t="n"/>
      <c r="G70" s="84" t="n"/>
      <c r="H70" s="84" t="n"/>
      <c r="I70" s="84" t="n"/>
      <c r="J70" s="84" t="n"/>
    </row>
    <row r="71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4" t="n"/>
      <c r="J71" s="84" t="n"/>
    </row>
    <row r="72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4" t="n"/>
      <c r="J72" s="84" t="n"/>
    </row>
    <row r="7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4" t="n"/>
      <c r="J73" s="84" t="n"/>
    </row>
    <row r="74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4" t="n"/>
      <c r="J74" s="84" t="n"/>
    </row>
    <row r="75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4" t="n"/>
      <c r="J75" s="84" t="n"/>
    </row>
    <row r="76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4" t="n"/>
      <c r="J76" s="84" t="n"/>
    </row>
    <row r="77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4" t="n"/>
      <c r="J77" s="84" t="n"/>
    </row>
    <row r="78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4" t="n"/>
      <c r="J78" s="84" t="n"/>
    </row>
    <row r="79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4" t="n"/>
      <c r="J79" s="84" t="n"/>
    </row>
    <row r="80">
      <c r="A80" s="84" t="n"/>
      <c r="B80" s="84" t="n"/>
      <c r="C80" s="84" t="n"/>
      <c r="D80" s="84" t="n"/>
      <c r="E80" s="84" t="n"/>
      <c r="F80" s="84" t="n"/>
      <c r="G80" s="84" t="n"/>
      <c r="H80" s="84" t="n"/>
      <c r="I80" s="84" t="n"/>
      <c r="J80" s="84" t="n"/>
    </row>
    <row r="81">
      <c r="A81" s="84" t="n"/>
      <c r="B81" s="84" t="n"/>
      <c r="C81" s="84" t="n"/>
      <c r="D81" s="84" t="n"/>
      <c r="E81" s="84" t="n"/>
      <c r="F81" s="84" t="n"/>
      <c r="G81" s="84" t="n"/>
      <c r="H81" s="84" t="n"/>
      <c r="I81" s="84" t="n"/>
      <c r="J81" s="84" t="n"/>
    </row>
    <row r="82">
      <c r="A82" s="84" t="n"/>
      <c r="B82" s="84" t="n"/>
      <c r="C82" s="84" t="n"/>
      <c r="D82" s="84" t="n"/>
      <c r="E82" s="84" t="n"/>
      <c r="F82" s="84" t="n"/>
      <c r="G82" s="84" t="n"/>
      <c r="H82" s="84" t="n"/>
      <c r="I82" s="84" t="n"/>
      <c r="J82" s="84" t="n"/>
    </row>
    <row r="83">
      <c r="A83" s="84" t="n"/>
      <c r="B83" s="84" t="n"/>
      <c r="C83" s="84" t="n"/>
      <c r="D83" s="84" t="n"/>
      <c r="E83" s="84" t="n"/>
      <c r="F83" s="84" t="n"/>
      <c r="G83" s="84" t="n"/>
      <c r="H83" s="84" t="n"/>
      <c r="I83" s="84" t="n"/>
      <c r="J83" s="84" t="n"/>
    </row>
    <row r="84">
      <c r="A84" s="84" t="n"/>
      <c r="B84" s="84" t="n"/>
      <c r="C84" s="84" t="n"/>
      <c r="D84" s="84" t="n"/>
      <c r="E84" s="84" t="n"/>
      <c r="F84" s="84" t="n"/>
      <c r="G84" s="84" t="n"/>
      <c r="H84" s="84" t="n"/>
      <c r="I84" s="84" t="n"/>
      <c r="J84" s="84" t="n"/>
    </row>
    <row r="85">
      <c r="A85" s="84" t="n"/>
      <c r="B85" s="84" t="n"/>
      <c r="C85" s="84" t="n"/>
      <c r="D85" s="84" t="n"/>
      <c r="E85" s="84" t="n"/>
      <c r="F85" s="84" t="n"/>
      <c r="G85" s="84" t="n"/>
      <c r="H85" s="84" t="n"/>
      <c r="I85" s="84" t="n"/>
      <c r="J85" s="84" t="n"/>
    </row>
    <row r="86">
      <c r="A86" s="84" t="n"/>
      <c r="B86" s="84" t="n"/>
      <c r="C86" s="84" t="n"/>
      <c r="D86" s="84" t="n"/>
      <c r="E86" s="84" t="n"/>
      <c r="F86" s="84" t="n"/>
      <c r="G86" s="84" t="n"/>
      <c r="H86" s="84" t="n"/>
      <c r="I86" s="84" t="n"/>
      <c r="J86" s="84" t="n"/>
    </row>
    <row r="87">
      <c r="A87" s="84" t="n"/>
      <c r="B87" s="84" t="n"/>
      <c r="C87" s="84" t="n"/>
      <c r="D87" s="84" t="n"/>
      <c r="E87" s="84" t="n"/>
      <c r="F87" s="84" t="n"/>
      <c r="G87" s="84" t="n"/>
      <c r="H87" s="84" t="n"/>
      <c r="I87" s="84" t="n"/>
      <c r="J87" s="84" t="n"/>
    </row>
    <row r="88">
      <c r="A88" s="84" t="n"/>
      <c r="B88" s="84" t="n"/>
      <c r="C88" s="84" t="n"/>
      <c r="D88" s="84" t="n"/>
      <c r="E88" s="84" t="n"/>
      <c r="F88" s="84" t="n"/>
      <c r="G88" s="84" t="n"/>
      <c r="H88" s="84" t="n"/>
      <c r="I88" s="84" t="n"/>
      <c r="J88" s="84" t="n"/>
    </row>
    <row r="89">
      <c r="A89" s="84" t="n"/>
      <c r="B89" s="84" t="n"/>
      <c r="C89" s="84" t="n"/>
      <c r="D89" s="84" t="n"/>
      <c r="E89" s="84" t="n"/>
      <c r="F89" s="84" t="n"/>
      <c r="G89" s="84" t="n"/>
      <c r="H89" s="84" t="n"/>
      <c r="I89" s="84" t="n"/>
      <c r="J89" s="84" t="n"/>
    </row>
    <row r="90">
      <c r="A90" s="84" t="n"/>
      <c r="B90" s="84" t="n"/>
      <c r="C90" s="84" t="n"/>
      <c r="D90" s="84" t="n"/>
      <c r="E90" s="84" t="n"/>
      <c r="F90" s="84" t="n"/>
      <c r="G90" s="84" t="n"/>
      <c r="H90" s="84" t="n"/>
      <c r="I90" s="84" t="n"/>
      <c r="J90" s="84" t="n"/>
    </row>
  </sheetData>
  <mergeCells count="2">
    <mergeCell ref="F17:F22"/>
    <mergeCell ref="F6:F9"/>
  </mergeCells>
  <dataValidations count="2">
    <dataValidation sqref="C52:C53" showDropDown="0" showInputMessage="0" showErrorMessage="1" allowBlank="0" errorTitle="Out of range" error="Experience bars must be between 0 and 60 years." type="decimal" operator="between">
      <formula1>0</formula1>
      <formula2>60</formula2>
    </dataValidation>
    <dataValidation sqref="C54" showDropDown="0" showInputMessage="0" showErrorMessage="1" allowBlank="0" errorTitle="Out of range" error="Notice window must be between 0 and 365 days." type="whole" operator="between">
      <formula1>0</formula1>
      <formula2>365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2026-08-31T08:18:33Z</dcterms:modified>
</cp:coreProperties>
</file>